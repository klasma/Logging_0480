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46226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46226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46226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46226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46226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46226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46226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46226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25183-2022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46226</v>
      </c>
      <c r="F13" t="inlineStr">
        <is>
          <t>SÖDERMANLANDS LÄN</t>
        </is>
      </c>
      <c r="G13" t="inlineStr">
        <is>
          <t>NYKÖPING</t>
        </is>
      </c>
      <c r="I13" t="n">
        <v>3</v>
      </c>
      <c r="J13" t="n">
        <v>0</v>
      </c>
      <c r="K13" t="n">
        <v>4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7</v>
      </c>
      <c r="U13" t="n">
        <v>2</v>
      </c>
      <c r="V13" s="2" t="inlineStr">
        <is>
          <t>Ask
Backtimjan
Svinrot
Blåmossa
Gulvaxing
Toppvaxing
Ängsvaxing agg.</t>
        </is>
      </c>
      <c r="W13">
        <f>HYPERLINK("https://klasma.github.io/Logging_0480/artfynd/A 25183-2022 artfynd.xlsx", "A 25183-2022")</f>
        <v/>
      </c>
      <c r="X13">
        <f>HYPERLINK("https://klasma.github.io/Logging_0480/kartor/A 25183-2022 karta.png", "A 25183-2022")</f>
        <v/>
      </c>
      <c r="Y13">
        <f>HYPERLINK("https://klasma.github.io/Logging_0480/kartor_geotiff/A 25183-2022 georefererad karta.tif", "A 25183-2022")</f>
        <v/>
      </c>
      <c r="AA13">
        <f>HYPERLINK("https://klasma.github.io/Logging_0480/klagomål/A 25183-2022 FSC-klagomål.docx", "A 25183-2022")</f>
        <v/>
      </c>
      <c r="AB13">
        <f>HYPERLINK("https://klasma.github.io/Logging_0480/klagomålsmail/A 25183-2022 FSC-klagomål mail.docx", "A 25183-2022")</f>
        <v/>
      </c>
      <c r="AC13">
        <f>HYPERLINK("https://klasma.github.io/Logging_0480/tillsyn/A 25183-2022 tillsynsbegäran.docx", "A 25183-2022")</f>
        <v/>
      </c>
      <c r="AD13">
        <f>HYPERLINK("https://klasma.github.io/Logging_0480/tillsynsmail/A 25183-2022 tillsynsbegäran mail.docx", "A 25183-2022")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46226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46226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46226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46226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46226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46226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46226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46226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46226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46226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46226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46226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46226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46226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46226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46226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Grönsångare
Svinrot
Spillkråka
Ärtsångare</t>
        </is>
      </c>
      <c r="W30">
        <f>HYPERLINK("https://klasma.github.io/Logging_0480/artfynd/A 24273-2026 artfynd.xlsx", "A 24273-2026")</f>
        <v/>
      </c>
      <c r="X30">
        <f>HYPERLINK("https://klasma.github.io/Logging_0480/kartor/A 24273-2026 karta.png", "A 24273-2026")</f>
        <v/>
      </c>
      <c r="Y30">
        <f>HYPERLINK("https://klasma.github.io/Logging_0480/kartor_geotiff/A 24273-2026 georefererad karta.tif", "A 24273-2026")</f>
        <v/>
      </c>
      <c r="AA30">
        <f>HYPERLINK("https://klasma.github.io/Logging_0480/klagomål/A 24273-2026 FSC-klagomål.docx", "A 24273-2026")</f>
        <v/>
      </c>
      <c r="AB30">
        <f>HYPERLINK("https://klasma.github.io/Logging_0480/klagomålsmail/A 24273-2026 FSC-klagomål mail.docx", "A 24273-2026")</f>
        <v/>
      </c>
      <c r="AC30">
        <f>HYPERLINK("https://klasma.github.io/Logging_0480/tillsyn/A 24273-2026 tillsynsbegäran.docx", "A 24273-2026")</f>
        <v/>
      </c>
      <c r="AD30">
        <f>HYPERLINK("https://klasma.github.io/Logging_0480/tillsynsmail/A 24273-2026 tillsynsbegäran mail.docx", "A 24273-2026")</f>
        <v/>
      </c>
      <c r="AE30">
        <f>HYPERLINK("https://klasma.github.io/Logging_0480/fåglar/A 24273-2026 prioriterade fågelarter.docx", "A 24273-2026")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46226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46226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7</v>
      </c>
      <c r="V32" s="2" t="inlineStr">
        <is>
          <t>Knärot
Fjällig taggsvamp s.str.
Granbarkgnagare
Blåsippa</t>
        </is>
      </c>
      <c r="W32">
        <f>HYPERLINK("https://klasma.github.io/Logging_0480/artfynd/A 33265-2024 artfynd.xlsx", "A 33265-2024")</f>
        <v/>
      </c>
      <c r="X32">
        <f>HYPERLINK("https://klasma.github.io/Logging_0480/kartor/A 33265-2024 karta.png", "A 33265-2024")</f>
        <v/>
      </c>
      <c r="Y32">
        <f>HYPERLINK("https://klasma.github.io/Logging_0480/kartor_geotiff/A 33265-2024 georefererad karta.tif", "A 33265-2024")</f>
        <v/>
      </c>
      <c r="Z32">
        <f>HYPERLINK("https://klasma.github.io/Logging_0480/knärot/A 33265-2024 karta knärot.png", "A 33265-2024")</f>
        <v/>
      </c>
      <c r="AA32">
        <f>HYPERLINK("https://klasma.github.io/Logging_0480/klagomål/A 33265-2024 FSC-klagomål.docx", "A 33265-2024")</f>
        <v/>
      </c>
      <c r="AB32">
        <f>HYPERLINK("https://klasma.github.io/Logging_0480/klagomålsmail/A 33265-2024 FSC-klagomål mail.docx", "A 33265-2024")</f>
        <v/>
      </c>
      <c r="AC32">
        <f>HYPERLINK("https://klasma.github.io/Logging_0480/tillsyn/A 33265-2024 tillsynsbegäran.docx", "A 33265-2024")</f>
        <v/>
      </c>
      <c r="AD32">
        <f>HYPERLINK("https://klasma.github.io/Logging_0480/tillsynsmail/A 33265-2024 tillsynsbegäran mail.docx", "A 33265-2024")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46226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46226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46226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46226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46226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46226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46226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46226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54227-2025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46226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Grantaggsvamp
Skarp dropptaggsvamp
Zontaggsvamp</t>
        </is>
      </c>
      <c r="W41">
        <f>HYPERLINK("https://klasma.github.io/Logging_0480/artfynd/A 54227-2025 artfynd.xlsx", "A 54227-2025")</f>
        <v/>
      </c>
      <c r="X41">
        <f>HYPERLINK("https://klasma.github.io/Logging_0480/kartor/A 54227-2025 karta.png", "A 54227-2025")</f>
        <v/>
      </c>
      <c r="Y41">
        <f>HYPERLINK("https://klasma.github.io/Logging_0480/kartor_geotiff/A 54227-2025 georefererad karta.tif", "A 54227-2025")</f>
        <v/>
      </c>
      <c r="AA41">
        <f>HYPERLINK("https://klasma.github.io/Logging_0480/klagomål/A 54227-2025 FSC-klagomål.docx", "A 54227-2025")</f>
        <v/>
      </c>
      <c r="AB41">
        <f>HYPERLINK("https://klasma.github.io/Logging_0480/klagomålsmail/A 54227-2025 FSC-klagomål mail.docx", "A 54227-2025")</f>
        <v/>
      </c>
      <c r="AC41">
        <f>HYPERLINK("https://klasma.github.io/Logging_0480/tillsyn/A 54227-2025 tillsynsbegäran.docx", "A 54227-2025")</f>
        <v/>
      </c>
      <c r="AD41">
        <f>HYPERLINK("https://klasma.github.io/Logging_0480/tillsynsmail/A 54227-2025 tillsynsbegäran mail.docx", "A 54227-2025")</f>
        <v/>
      </c>
    </row>
    <row r="42" ht="15" customHeight="1">
      <c r="A42" t="inlineStr">
        <is>
          <t>A 39740-2022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46226</v>
      </c>
      <c r="F42" t="inlineStr">
        <is>
          <t>SÖDERMANLANDS LÄN</t>
        </is>
      </c>
      <c r="G42" t="inlineStr">
        <is>
          <t>NYKÖPING</t>
        </is>
      </c>
      <c r="H42" t="inlineStr">
        <is>
          <t>Kommuner</t>
        </is>
      </c>
      <c r="I42" t="n">
        <v>3.4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Tallticka
Vågbandad barkbock
Blåsippa</t>
        </is>
      </c>
      <c r="W42">
        <f>HYPERLINK("https://klasma.github.io/Logging_0480/artfynd/A 39740-2022 artfynd.xlsx", "A 39740-2022")</f>
        <v/>
      </c>
      <c r="X42">
        <f>HYPERLINK("https://klasma.github.io/Logging_0480/kartor/A 39740-2022 karta.png", "A 39740-2022")</f>
        <v/>
      </c>
      <c r="Y42">
        <f>HYPERLINK("https://klasma.github.io/Logging_0480/kartor_geotiff/A 39740-2022 georefererad karta.tif", "A 39740-2022")</f>
        <v/>
      </c>
      <c r="AA42">
        <f>HYPERLINK("https://klasma.github.io/Logging_0480/klagomål/A 39740-2022 FSC-klagomål.docx", "A 39740-2022")</f>
        <v/>
      </c>
      <c r="AB42">
        <f>HYPERLINK("https://klasma.github.io/Logging_0480/klagomålsmail/A 39740-2022 FSC-klagomål mail.docx", "A 39740-2022")</f>
        <v/>
      </c>
      <c r="AC42">
        <f>HYPERLINK("https://klasma.github.io/Logging_0480/tillsyn/A 39740-2022 tillsynsbegäran.docx", "A 39740-2022")</f>
        <v/>
      </c>
      <c r="AD42">
        <f>HYPERLINK("https://klasma.github.io/Logging_0480/tillsynsmail/A 39740-2022 tillsynsbegäran mail.docx", "A 39740-2022")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46226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Skogshare
Nattskärra
Revlummer</t>
        </is>
      </c>
      <c r="W43">
        <f>HYPERLINK("https://klasma.github.io/Logging_0480/artfynd/A 58783-2025 artfynd.xlsx", "A 58783-2025")</f>
        <v/>
      </c>
      <c r="X43">
        <f>HYPERLINK("https://klasma.github.io/Logging_0480/kartor/A 58783-2025 karta.png", "A 58783-2025")</f>
        <v/>
      </c>
      <c r="Y43">
        <f>HYPERLINK("https://klasma.github.io/Logging_0480/kartor_geotiff/A 58783-2025 georefererad karta.tif", "A 58783-2025")</f>
        <v/>
      </c>
      <c r="AA43">
        <f>HYPERLINK("https://klasma.github.io/Logging_0480/klagomål/A 58783-2025 FSC-klagomål.docx", "A 58783-2025")</f>
        <v/>
      </c>
      <c r="AB43">
        <f>HYPERLINK("https://klasma.github.io/Logging_0480/klagomålsmail/A 58783-2025 FSC-klagomål mail.docx", "A 58783-2025")</f>
        <v/>
      </c>
      <c r="AC43">
        <f>HYPERLINK("https://klasma.github.io/Logging_0480/tillsyn/A 58783-2025 tillsynsbegäran.docx", "A 58783-2025")</f>
        <v/>
      </c>
      <c r="AD43">
        <f>HYPERLINK("https://klasma.github.io/Logging_0480/tillsynsmail/A 58783-2025 tillsynsbegäran mail.docx", "A 58783-2025")</f>
        <v/>
      </c>
      <c r="AE43">
        <f>HYPERLINK("https://klasma.github.io/Logging_0480/fåglar/A 58783-2025 prioriterade fågelarter.docx", "A 58783-2025")</f>
        <v/>
      </c>
    </row>
    <row r="44" ht="15" customHeight="1">
      <c r="A44" t="inlineStr">
        <is>
          <t>A 11640-2022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44631</v>
      </c>
      <c r="E44" s="1" t="n">
        <v>46226</v>
      </c>
      <c r="F44" t="inlineStr">
        <is>
          <t>SÖDERMANLANDS LÄN</t>
        </is>
      </c>
      <c r="G44" t="inlineStr">
        <is>
          <t>NYKÖPING</t>
        </is>
      </c>
      <c r="H44" t="inlineStr">
        <is>
          <t>Kyrkan</t>
        </is>
      </c>
      <c r="I44" t="n">
        <v>7.6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Fjällig taggsvamp s.str.
Granbarkgnagare
Grovticka</t>
        </is>
      </c>
      <c r="W44">
        <f>HYPERLINK("https://klasma.github.io/Logging_0480/artfynd/A 11640-2022 artfynd.xlsx", "A 11640-2022")</f>
        <v/>
      </c>
      <c r="X44">
        <f>HYPERLINK("https://klasma.github.io/Logging_0480/kartor/A 11640-2022 karta.png", "A 11640-2022")</f>
        <v/>
      </c>
      <c r="Y44">
        <f>HYPERLINK("https://klasma.github.io/Logging_0480/kartor_geotiff/A 11640-2022 georefererad karta.tif", "A 11640-2022")</f>
        <v/>
      </c>
      <c r="AA44">
        <f>HYPERLINK("https://klasma.github.io/Logging_0480/klagomål/A 11640-2022 FSC-klagomål.docx", "A 11640-2022")</f>
        <v/>
      </c>
      <c r="AB44">
        <f>HYPERLINK("https://klasma.github.io/Logging_0480/klagomålsmail/A 11640-2022 FSC-klagomål mail.docx", "A 11640-2022")</f>
        <v/>
      </c>
      <c r="AC44">
        <f>HYPERLINK("https://klasma.github.io/Logging_0480/tillsyn/A 11640-2022 tillsynsbegäran.docx", "A 11640-2022")</f>
        <v/>
      </c>
      <c r="AD44">
        <f>HYPERLINK("https://klasma.github.io/Logging_0480/tillsynsmail/A 11640-2022 tillsynsbegäran mail.docx", "A 11640-2022")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46226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46226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53573-2022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46226</v>
      </c>
      <c r="F47" t="inlineStr">
        <is>
          <t>SÖDERMANLANDS LÄN</t>
        </is>
      </c>
      <c r="G47" t="inlineStr">
        <is>
          <t>NYKÖPING</t>
        </is>
      </c>
      <c r="H47" t="inlineStr">
        <is>
          <t>Övriga Aktiebolag</t>
        </is>
      </c>
      <c r="I47" t="n">
        <v>9.199999999999999</v>
      </c>
      <c r="J47" t="n">
        <v>0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Dofttaggsvamp
Fjällig taggsvamp s.str.
Sotvaxskivling</t>
        </is>
      </c>
      <c r="W47">
        <f>HYPERLINK("https://klasma.github.io/Logging_0480/artfynd/A 53573-2022 artfynd.xlsx", "A 53573-2022")</f>
        <v/>
      </c>
      <c r="X47">
        <f>HYPERLINK("https://klasma.github.io/Logging_0480/kartor/A 53573-2022 karta.png", "A 53573-2022")</f>
        <v/>
      </c>
      <c r="Y47">
        <f>HYPERLINK("https://klasma.github.io/Logging_0480/kartor_geotiff/A 53573-2022 georefererad karta.tif", "A 53573-2022")</f>
        <v/>
      </c>
      <c r="AA47">
        <f>HYPERLINK("https://klasma.github.io/Logging_0480/klagomål/A 53573-2022 FSC-klagomål.docx", "A 53573-2022")</f>
        <v/>
      </c>
      <c r="AB47">
        <f>HYPERLINK("https://klasma.github.io/Logging_0480/klagomålsmail/A 53573-2022 FSC-klagomål mail.docx", "A 53573-2022")</f>
        <v/>
      </c>
      <c r="AC47">
        <f>HYPERLINK("https://klasma.github.io/Logging_0480/tillsyn/A 53573-2022 tillsynsbegäran.docx", "A 53573-2022")</f>
        <v/>
      </c>
      <c r="AD47">
        <f>HYPERLINK("https://klasma.github.io/Logging_0480/tillsynsmail/A 53573-2022 tillsynsbegäran mail.docx", "A 53573-2022")</f>
        <v/>
      </c>
    </row>
    <row r="48" ht="15" customHeight="1">
      <c r="A48" t="inlineStr">
        <is>
          <t>A 38203-2022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46226</v>
      </c>
      <c r="F48" t="inlineStr">
        <is>
          <t>SÖDERMANLANDS LÄN</t>
        </is>
      </c>
      <c r="G48" t="inlineStr">
        <is>
          <t>NYKÖPING</t>
        </is>
      </c>
      <c r="I48" t="n">
        <v>1.9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Gulsparv
Kösa
Linmåra/småsnärjmåra</t>
        </is>
      </c>
      <c r="W48">
        <f>HYPERLINK("https://klasma.github.io/Logging_0480/artfynd/A 38203-2022 artfynd.xlsx", "A 38203-2022")</f>
        <v/>
      </c>
      <c r="X48">
        <f>HYPERLINK("https://klasma.github.io/Logging_0480/kartor/A 38203-2022 karta.png", "A 38203-2022")</f>
        <v/>
      </c>
      <c r="Y48">
        <f>HYPERLINK("https://klasma.github.io/Logging_0480/kartor_geotiff/A 38203-2022 georefererad karta.tif", "A 38203-2022")</f>
        <v/>
      </c>
      <c r="AA48">
        <f>HYPERLINK("https://klasma.github.io/Logging_0480/klagomål/A 38203-2022 FSC-klagomål.docx", "A 38203-2022")</f>
        <v/>
      </c>
      <c r="AB48">
        <f>HYPERLINK("https://klasma.github.io/Logging_0480/klagomålsmail/A 38203-2022 FSC-klagomål mail.docx", "A 38203-2022")</f>
        <v/>
      </c>
      <c r="AC48">
        <f>HYPERLINK("https://klasma.github.io/Logging_0480/tillsyn/A 38203-2022 tillsynsbegäran.docx", "A 38203-2022")</f>
        <v/>
      </c>
      <c r="AD48">
        <f>HYPERLINK("https://klasma.github.io/Logging_0480/tillsynsmail/A 38203-2022 tillsynsbegäran mail.docx", "A 38203-2022")</f>
        <v/>
      </c>
      <c r="AE48">
        <f>HYPERLINK("https://klasma.github.io/Logging_0480/fåglar/A 38203-2022 prioriterade fågelarter.docx", "A 38203-2022")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46226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46226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46226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46226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Entita
Fläcknycklar</t>
        </is>
      </c>
      <c r="W52">
        <f>HYPERLINK("https://klasma.github.io/Logging_0480/artfynd/A 5865-2024 artfynd.xlsx", "A 5865-2024")</f>
        <v/>
      </c>
      <c r="X52">
        <f>HYPERLINK("https://klasma.github.io/Logging_0480/kartor/A 5865-2024 karta.png", "A 5865-2024")</f>
        <v/>
      </c>
      <c r="Y52">
        <f>HYPERLINK("https://klasma.github.io/Logging_0480/kartor_geotiff/A 5865-2024 georefererad karta.tif", "A 5865-2024")</f>
        <v/>
      </c>
      <c r="AA52">
        <f>HYPERLINK("https://klasma.github.io/Logging_0480/klagomål/A 5865-2024 FSC-klagomål.docx", "A 5865-2024")</f>
        <v/>
      </c>
      <c r="AB52">
        <f>HYPERLINK("https://klasma.github.io/Logging_0480/klagomålsmail/A 5865-2024 FSC-klagomål mail.docx", "A 5865-2024")</f>
        <v/>
      </c>
      <c r="AC52">
        <f>HYPERLINK("https://klasma.github.io/Logging_0480/tillsyn/A 5865-2024 tillsynsbegäran.docx", "A 5865-2024")</f>
        <v/>
      </c>
      <c r="AD52">
        <f>HYPERLINK("https://klasma.github.io/Logging_0480/tillsynsmail/A 5865-2024 tillsynsbegäran mail.docx", "A 5865-2024")</f>
        <v/>
      </c>
      <c r="AE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46226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46226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46226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56725-2025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46226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0.6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Vanlig snok
Revlummer</t>
        </is>
      </c>
      <c r="W56">
        <f>HYPERLINK("https://klasma.github.io/Logging_0480/artfynd/A 56725-2025 artfynd.xlsx", "A 56725-2025")</f>
        <v/>
      </c>
      <c r="X56">
        <f>HYPERLINK("https://klasma.github.io/Logging_0480/kartor/A 56725-2025 karta.png", "A 56725-2025")</f>
        <v/>
      </c>
      <c r="Y56">
        <f>HYPERLINK("https://klasma.github.io/Logging_0480/kartor_geotiff/A 56725-2025 georefererad karta.tif", "A 56725-2025")</f>
        <v/>
      </c>
      <c r="AA56">
        <f>HYPERLINK("https://klasma.github.io/Logging_0480/klagomål/A 56725-2025 FSC-klagomål.docx", "A 56725-2025")</f>
        <v/>
      </c>
      <c r="AB56">
        <f>HYPERLINK("https://klasma.github.io/Logging_0480/klagomålsmail/A 56725-2025 FSC-klagomål mail.docx", "A 56725-2025")</f>
        <v/>
      </c>
      <c r="AC56">
        <f>HYPERLINK("https://klasma.github.io/Logging_0480/tillsyn/A 56725-2025 tillsynsbegäran.docx", "A 56725-2025")</f>
        <v/>
      </c>
      <c r="AD56">
        <f>HYPERLINK("https://klasma.github.io/Logging_0480/tillsynsmail/A 56725-2025 tillsynsbegäran mail.docx", "A 56725-2025")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46226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46226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Gullklöver
Gullviva</t>
        </is>
      </c>
      <c r="W58">
        <f>HYPERLINK("https://klasma.github.io/Logging_0480/artfynd/A 60518-2022 artfynd.xlsx", "A 60518-2022")</f>
        <v/>
      </c>
      <c r="X58">
        <f>HYPERLINK("https://klasma.github.io/Logging_0480/kartor/A 60518-2022 karta.png", "A 60518-2022")</f>
        <v/>
      </c>
      <c r="Y58">
        <f>HYPERLINK("https://klasma.github.io/Logging_0480/kartor_geotiff/A 60518-2022 georefererad karta.tif", "A 60518-2022")</f>
        <v/>
      </c>
      <c r="AA58">
        <f>HYPERLINK("https://klasma.github.io/Logging_0480/klagomål/A 60518-2022 FSC-klagomål.docx", "A 60518-2022")</f>
        <v/>
      </c>
      <c r="AB58">
        <f>HYPERLINK("https://klasma.github.io/Logging_0480/klagomålsmail/A 60518-2022 FSC-klagomål mail.docx", "A 60518-2022")</f>
        <v/>
      </c>
      <c r="AC58">
        <f>HYPERLINK("https://klasma.github.io/Logging_0480/tillsyn/A 60518-2022 tillsynsbegäran.docx", "A 60518-2022")</f>
        <v/>
      </c>
      <c r="AD58">
        <f>HYPERLINK("https://klasma.github.io/Logging_0480/tillsynsmail/A 60518-2022 tillsynsbegäran mail.docx", "A 60518-2022")</f>
        <v/>
      </c>
    </row>
    <row r="59" ht="15" customHeight="1">
      <c r="A59" t="inlineStr">
        <is>
          <t>A 5857-2024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46226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Törnskata
Revlummer</t>
        </is>
      </c>
      <c r="W59">
        <f>HYPERLINK("https://klasma.github.io/Logging_0480/artfynd/A 5857-2024 artfynd.xlsx", "A 5857-2024")</f>
        <v/>
      </c>
      <c r="X59">
        <f>HYPERLINK("https://klasma.github.io/Logging_0480/kartor/A 5857-2024 karta.png", "A 5857-2024")</f>
        <v/>
      </c>
      <c r="Y59">
        <f>HYPERLINK("https://klasma.github.io/Logging_0480/kartor_geotiff/A 5857-2024 georefererad karta.tif", "A 5857-2024")</f>
        <v/>
      </c>
      <c r="AA59">
        <f>HYPERLINK("https://klasma.github.io/Logging_0480/klagomål/A 5857-2024 FSC-klagomål.docx", "A 5857-2024")</f>
        <v/>
      </c>
      <c r="AB59">
        <f>HYPERLINK("https://klasma.github.io/Logging_0480/klagomålsmail/A 5857-2024 FSC-klagomål mail.docx", "A 5857-2024")</f>
        <v/>
      </c>
      <c r="AC59">
        <f>HYPERLINK("https://klasma.github.io/Logging_0480/tillsyn/A 5857-2024 tillsynsbegäran.docx", "A 5857-2024")</f>
        <v/>
      </c>
      <c r="AD59">
        <f>HYPERLINK("https://klasma.github.io/Logging_0480/tillsynsmail/A 5857-2024 tillsynsbegäran mail.docx", "A 5857-2024")</f>
        <v/>
      </c>
      <c r="AE59">
        <f>HYPERLINK("https://klasma.github.io/Logging_0480/fåglar/A 5857-2024 prioriterade fågelarter.docx", "A 5857-2024")</f>
        <v/>
      </c>
    </row>
    <row r="60" ht="15" customHeight="1">
      <c r="A60" t="inlineStr">
        <is>
          <t>A 55945-2025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46226</v>
      </c>
      <c r="F60" t="inlineStr">
        <is>
          <t>SÖDERMANLANDS LÄN</t>
        </is>
      </c>
      <c r="G60" t="inlineStr">
        <is>
          <t>NYKÖPING</t>
        </is>
      </c>
      <c r="I60" t="n">
        <v>9.1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Blanksvart spiklav
Motaggsvamp</t>
        </is>
      </c>
      <c r="W60">
        <f>HYPERLINK("https://klasma.github.io/Logging_0480/artfynd/A 55945-2025 artfynd.xlsx", "A 55945-2025")</f>
        <v/>
      </c>
      <c r="X60">
        <f>HYPERLINK("https://klasma.github.io/Logging_0480/kartor/A 55945-2025 karta.png", "A 55945-2025")</f>
        <v/>
      </c>
      <c r="Y60">
        <f>HYPERLINK("https://klasma.github.io/Logging_0480/kartor_geotiff/A 55945-2025 georefererad karta.tif", "A 55945-2025")</f>
        <v/>
      </c>
      <c r="AA60">
        <f>HYPERLINK("https://klasma.github.io/Logging_0480/klagomål/A 55945-2025 FSC-klagomål.docx", "A 55945-2025")</f>
        <v/>
      </c>
      <c r="AB60">
        <f>HYPERLINK("https://klasma.github.io/Logging_0480/klagomålsmail/A 55945-2025 FSC-klagomål mail.docx", "A 55945-2025")</f>
        <v/>
      </c>
      <c r="AC60">
        <f>HYPERLINK("https://klasma.github.io/Logging_0480/tillsyn/A 55945-2025 tillsynsbegäran.docx", "A 55945-2025")</f>
        <v/>
      </c>
      <c r="AD60">
        <f>HYPERLINK("https://klasma.github.io/Logging_0480/tillsynsmail/A 55945-2025 tillsynsbegäran mail.docx", "A 55945-2025")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46226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Grönpyrola
Mattlummer</t>
        </is>
      </c>
      <c r="W61">
        <f>HYPERLINK("https://klasma.github.io/Logging_0480/artfynd/A 58167-2025 artfynd.xlsx", "A 58167-2025")</f>
        <v/>
      </c>
      <c r="X61">
        <f>HYPERLINK("https://klasma.github.io/Logging_0480/kartor/A 58167-2025 karta.png", "A 58167-2025")</f>
        <v/>
      </c>
      <c r="Y61">
        <f>HYPERLINK("https://klasma.github.io/Logging_0480/kartor_geotiff/A 58167-2025 georefererad karta.tif", "A 58167-2025")</f>
        <v/>
      </c>
      <c r="AA61">
        <f>HYPERLINK("https://klasma.github.io/Logging_0480/klagomål/A 58167-2025 FSC-klagomål.docx", "A 58167-2025")</f>
        <v/>
      </c>
      <c r="AB61">
        <f>HYPERLINK("https://klasma.github.io/Logging_0480/klagomålsmail/A 58167-2025 FSC-klagomål mail.docx", "A 58167-2025")</f>
        <v/>
      </c>
      <c r="AC61">
        <f>HYPERLINK("https://klasma.github.io/Logging_0480/tillsyn/A 58167-2025 tillsynsbegäran.docx", "A 58167-2025")</f>
        <v/>
      </c>
      <c r="AD61">
        <f>HYPERLINK("https://klasma.github.io/Logging_0480/tillsynsmail/A 58167-2025 tillsynsbegäran mail.docx", "A 58167-2025")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46226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38366-2021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44406</v>
      </c>
      <c r="E63" s="1" t="n">
        <v>46226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Berguv
Skogsklocka</t>
        </is>
      </c>
      <c r="W63">
        <f>HYPERLINK("https://klasma.github.io/Logging_0480/artfynd/A 38366-2021 artfynd.xlsx", "A 38366-2021")</f>
        <v/>
      </c>
      <c r="X63">
        <f>HYPERLINK("https://klasma.github.io/Logging_0480/kartor/A 38366-2021 karta.png", "A 38366-2021")</f>
        <v/>
      </c>
      <c r="Y63">
        <f>HYPERLINK("https://klasma.github.io/Logging_0480/kartor_geotiff/A 38366-2021 georefererad karta.tif", "A 38366-2021")</f>
        <v/>
      </c>
      <c r="AA63">
        <f>HYPERLINK("https://klasma.github.io/Logging_0480/klagomål/A 38366-2021 FSC-klagomål.docx", "A 38366-2021")</f>
        <v/>
      </c>
      <c r="AB63">
        <f>HYPERLINK("https://klasma.github.io/Logging_0480/klagomålsmail/A 38366-2021 FSC-klagomål mail.docx", "A 38366-2021")</f>
        <v/>
      </c>
      <c r="AC63">
        <f>HYPERLINK("https://klasma.github.io/Logging_0480/tillsyn/A 38366-2021 tillsynsbegäran.docx", "A 38366-2021")</f>
        <v/>
      </c>
      <c r="AD63">
        <f>HYPERLINK("https://klasma.github.io/Logging_0480/tillsynsmail/A 38366-2021 tillsynsbegäran mail.docx", "A 38366-2021")</f>
        <v/>
      </c>
      <c r="AE63">
        <f>HYPERLINK("https://klasma.github.io/Logging_0480/fåglar/A 38366-2021 prioriterade fågelarter.docx", "A 38366-2021")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46226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A 56728-2025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46226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2.5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10</v>
      </c>
      <c r="U65" t="n">
        <v>0</v>
      </c>
      <c r="V65" s="2" t="inlineStr">
        <is>
          <t>Sandödla
Vanlig snok</t>
        </is>
      </c>
      <c r="W65">
        <f>HYPERLINK("https://klasma.github.io/Logging_0480/artfynd/A 56728-2025 artfynd.xlsx", "A 56728-2025")</f>
        <v/>
      </c>
      <c r="X65">
        <f>HYPERLINK("https://klasma.github.io/Logging_0480/kartor/A 56728-2025 karta.png", "A 56728-2025")</f>
        <v/>
      </c>
      <c r="Y65">
        <f>HYPERLINK("https://klasma.github.io/Logging_0480/kartor_geotiff/A 56728-2025 georefererad karta.tif", "A 56728-2025")</f>
        <v/>
      </c>
      <c r="AA65">
        <f>HYPERLINK("https://klasma.github.io/Logging_0480/klagomål/A 56728-2025 FSC-klagomål.docx", "A 56728-2025")</f>
        <v/>
      </c>
      <c r="AB65">
        <f>HYPERLINK("https://klasma.github.io/Logging_0480/klagomålsmail/A 56728-2025 FSC-klagomål mail.docx", "A 56728-2025")</f>
        <v/>
      </c>
      <c r="AC65">
        <f>HYPERLINK("https://klasma.github.io/Logging_0480/tillsyn/A 56728-2025 tillsynsbegäran.docx", "A 56728-2025")</f>
        <v/>
      </c>
      <c r="AD65">
        <f>HYPERLINK("https://klasma.github.io/Logging_0480/tillsynsmail/A 56728-2025 tillsynsbegäran mail.docx", "A 56728-2025")</f>
        <v/>
      </c>
    </row>
    <row r="66" ht="15" customHeight="1">
      <c r="A66" t="inlineStr">
        <is>
          <t>A 6276-2026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46055</v>
      </c>
      <c r="E66" s="1" t="n">
        <v>46226</v>
      </c>
      <c r="F66" t="inlineStr">
        <is>
          <t>SÖDERMANLANDS LÄN</t>
        </is>
      </c>
      <c r="G66" t="inlineStr">
        <is>
          <t>NYKÖPING</t>
        </is>
      </c>
      <c r="I66" t="n">
        <v>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Duvhök
Granbarkgnagare</t>
        </is>
      </c>
      <c r="W66">
        <f>HYPERLINK("https://klasma.github.io/Logging_0480/artfynd/A 6276-2026 artfynd.xlsx", "A 6276-2026")</f>
        <v/>
      </c>
      <c r="X66">
        <f>HYPERLINK("https://klasma.github.io/Logging_0480/kartor/A 6276-2026 karta.png", "A 6276-2026")</f>
        <v/>
      </c>
      <c r="Y66">
        <f>HYPERLINK("https://klasma.github.io/Logging_0480/kartor_geotiff/A 6276-2026 georefererad karta.tif", "A 6276-2026")</f>
        <v/>
      </c>
      <c r="AA66">
        <f>HYPERLINK("https://klasma.github.io/Logging_0480/klagomål/A 6276-2026 FSC-klagomål.docx", "A 6276-2026")</f>
        <v/>
      </c>
      <c r="AB66">
        <f>HYPERLINK("https://klasma.github.io/Logging_0480/klagomålsmail/A 6276-2026 FSC-klagomål mail.docx", "A 6276-2026")</f>
        <v/>
      </c>
      <c r="AC66">
        <f>HYPERLINK("https://klasma.github.io/Logging_0480/tillsyn/A 6276-2026 tillsynsbegäran.docx", "A 6276-2026")</f>
        <v/>
      </c>
      <c r="AD66">
        <f>HYPERLINK("https://klasma.github.io/Logging_0480/tillsynsmail/A 6276-2026 tillsynsbegäran mail.docx", "A 6276-2026")</f>
        <v/>
      </c>
      <c r="AE66">
        <f>HYPERLINK("https://klasma.github.io/Logging_0480/fåglar/A 6276-2026 prioriterade fågelarter.docx", "A 6276-2026")</f>
        <v/>
      </c>
    </row>
    <row r="67" ht="15" customHeight="1">
      <c r="A67" t="inlineStr">
        <is>
          <t>A 55497-2021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46226</v>
      </c>
      <c r="F67" t="inlineStr">
        <is>
          <t>SÖDERMANLANDS LÄN</t>
        </is>
      </c>
      <c r="G67" t="inlineStr">
        <is>
          <t>NYKÖPING</t>
        </is>
      </c>
      <c r="I67" t="n">
        <v>7.7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Älg
Nattskärra</t>
        </is>
      </c>
      <c r="W67">
        <f>HYPERLINK("https://klasma.github.io/Logging_0480/artfynd/A 55497-2021 artfynd.xlsx", "A 55497-2021")</f>
        <v/>
      </c>
      <c r="X67">
        <f>HYPERLINK("https://klasma.github.io/Logging_0480/kartor/A 55497-2021 karta.png", "A 55497-2021")</f>
        <v/>
      </c>
      <c r="Y67">
        <f>HYPERLINK("https://klasma.github.io/Logging_0480/kartor_geotiff/A 55497-2021 georefererad karta.tif", "A 55497-2021")</f>
        <v/>
      </c>
      <c r="AA67">
        <f>HYPERLINK("https://klasma.github.io/Logging_0480/klagomål/A 55497-2021 FSC-klagomål.docx", "A 55497-2021")</f>
        <v/>
      </c>
      <c r="AB67">
        <f>HYPERLINK("https://klasma.github.io/Logging_0480/klagomålsmail/A 55497-2021 FSC-klagomål mail.docx", "A 55497-2021")</f>
        <v/>
      </c>
      <c r="AC67">
        <f>HYPERLINK("https://klasma.github.io/Logging_0480/tillsyn/A 55497-2021 tillsynsbegäran.docx", "A 55497-2021")</f>
        <v/>
      </c>
      <c r="AD67">
        <f>HYPERLINK("https://klasma.github.io/Logging_0480/tillsynsmail/A 55497-2021 tillsynsbegäran mail.docx", "A 55497-2021")</f>
        <v/>
      </c>
      <c r="AE67">
        <f>HYPERLINK("https://klasma.github.io/Logging_0480/fåglar/A 55497-2021 prioriterade fågelarter.docx", "A 55497-2021")</f>
        <v/>
      </c>
    </row>
    <row r="68" ht="15" customHeight="1">
      <c r="A68" t="inlineStr">
        <is>
          <t>A 38366-2021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44406</v>
      </c>
      <c r="E68" s="1" t="n">
        <v>46226</v>
      </c>
      <c r="F68" t="inlineStr">
        <is>
          <t>SÖDERMANLANDS LÄN</t>
        </is>
      </c>
      <c r="G68" t="inlineStr">
        <is>
          <t>NYKÖPING</t>
        </is>
      </c>
      <c r="H68" t="inlineStr">
        <is>
          <t>Holmen skog AB</t>
        </is>
      </c>
      <c r="I68" t="n">
        <v>2.6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Berguv
Skogsklocka</t>
        </is>
      </c>
      <c r="W68">
        <f>HYPERLINK("https://klasma.github.io/Logging_0480/artfynd/A 38366-2021 artfynd.xlsx", "A 38366-2021")</f>
        <v/>
      </c>
      <c r="X68">
        <f>HYPERLINK("https://klasma.github.io/Logging_0480/kartor/A 38366-2021 karta.png", "A 38366-2021")</f>
        <v/>
      </c>
      <c r="Y68">
        <f>HYPERLINK("https://klasma.github.io/Logging_0480/kartor_geotiff/A 38366-2021 georefererad karta.tif", "A 38366-2021")</f>
        <v/>
      </c>
      <c r="AA68">
        <f>HYPERLINK("https://klasma.github.io/Logging_0480/klagomål/A 38366-2021 FSC-klagomål.docx", "A 38366-2021")</f>
        <v/>
      </c>
      <c r="AB68">
        <f>HYPERLINK("https://klasma.github.io/Logging_0480/klagomålsmail/A 38366-2021 FSC-klagomål mail.docx", "A 38366-2021")</f>
        <v/>
      </c>
      <c r="AC68">
        <f>HYPERLINK("https://klasma.github.io/Logging_0480/tillsyn/A 38366-2021 tillsynsbegäran.docx", "A 38366-2021")</f>
        <v/>
      </c>
      <c r="AD68">
        <f>HYPERLINK("https://klasma.github.io/Logging_0480/tillsynsmail/A 38366-2021 tillsynsbegäran mail.docx", "A 38366-2021")</f>
        <v/>
      </c>
      <c r="AE68">
        <f>HYPERLINK("https://klasma.github.io/Logging_0480/fåglar/A 38366-2021 prioriterade fågelarter.docx", "A 38366-2021")</f>
        <v/>
      </c>
    </row>
    <row r="69" ht="15" customHeight="1">
      <c r="A69" t="inlineStr">
        <is>
          <t>A 29766-2022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46226</v>
      </c>
      <c r="F69" t="inlineStr">
        <is>
          <t>SÖDERMANLANDS LÄN</t>
        </is>
      </c>
      <c r="G69" t="inlineStr">
        <is>
          <t>NYKÖPING</t>
        </is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Broskvaxing
Kungsfågel</t>
        </is>
      </c>
      <c r="W69">
        <f>HYPERLINK("https://klasma.github.io/Logging_0480/artfynd/A 29766-2022 artfynd.xlsx", "A 29766-2022")</f>
        <v/>
      </c>
      <c r="X69">
        <f>HYPERLINK("https://klasma.github.io/Logging_0480/kartor/A 29766-2022 karta.png", "A 29766-2022")</f>
        <v/>
      </c>
      <c r="Y69">
        <f>HYPERLINK("https://klasma.github.io/Logging_0480/kartor_geotiff/A 29766-2022 georefererad karta.tif", "A 29766-2022")</f>
        <v/>
      </c>
      <c r="AA69">
        <f>HYPERLINK("https://klasma.github.io/Logging_0480/klagomål/A 29766-2022 FSC-klagomål.docx", "A 29766-2022")</f>
        <v/>
      </c>
      <c r="AB69">
        <f>HYPERLINK("https://klasma.github.io/Logging_0480/klagomålsmail/A 29766-2022 FSC-klagomål mail.docx", "A 29766-2022")</f>
        <v/>
      </c>
      <c r="AC69">
        <f>HYPERLINK("https://klasma.github.io/Logging_0480/tillsyn/A 29766-2022 tillsynsbegäran.docx", "A 29766-2022")</f>
        <v/>
      </c>
      <c r="AD69">
        <f>HYPERLINK("https://klasma.github.io/Logging_0480/tillsynsmail/A 29766-2022 tillsynsbegäran mail.docx", "A 29766-2022")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46226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t="n">
        <v>0</v>
      </c>
      <c r="V70" s="2" t="inlineStr">
        <is>
          <t>Bombmurkla
Grönpyrola</t>
        </is>
      </c>
      <c r="W70">
        <f>HYPERLINK("https://klasma.github.io/Logging_0480/artfynd/A 34310-2022 artfynd.xlsx", "A 34310-2022")</f>
        <v/>
      </c>
      <c r="X70">
        <f>HYPERLINK("https://klasma.github.io/Logging_0480/kartor/A 34310-2022 karta.png", "A 34310-2022")</f>
        <v/>
      </c>
      <c r="Y70">
        <f>HYPERLINK("https://klasma.github.io/Logging_0480/kartor_geotiff/A 34310-2022 georefererad karta.tif", "A 34310-2022")</f>
        <v/>
      </c>
      <c r="AA70">
        <f>HYPERLINK("https://klasma.github.io/Logging_0480/klagomål/A 34310-2022 FSC-klagomål.docx", "A 34310-2022")</f>
        <v/>
      </c>
      <c r="AB70">
        <f>HYPERLINK("https://klasma.github.io/Logging_0480/klagomålsmail/A 34310-2022 FSC-klagomål mail.docx", "A 34310-2022")</f>
        <v/>
      </c>
      <c r="AC70">
        <f>HYPERLINK("https://klasma.github.io/Logging_0480/tillsyn/A 34310-2022 tillsynsbegäran.docx", "A 34310-2022")</f>
        <v/>
      </c>
      <c r="AD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46226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46226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46226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46226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46226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46226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46226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46226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46226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46226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46226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46226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46226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2829-2025 artfynd.xlsx", "A 2829-2025")</f>
        <v/>
      </c>
      <c r="X83">
        <f>HYPERLINK("https://klasma.github.io/Logging_0480/kartor/A 2829-2025 karta.png", "A 2829-2025")</f>
        <v/>
      </c>
      <c r="Y83">
        <f>HYPERLINK("https://klasma.github.io/Logging_0480/kartor_geotiff/A 2829-2025 georefererad karta.tif", "A 2829-2025")</f>
        <v/>
      </c>
      <c r="AA83">
        <f>HYPERLINK("https://klasma.github.io/Logging_0480/klagomål/A 2829-2025 FSC-klagomål.docx", "A 2829-2025")</f>
        <v/>
      </c>
      <c r="AB83">
        <f>HYPERLINK("https://klasma.github.io/Logging_0480/klagomålsmail/A 2829-2025 FSC-klagomål mail.docx", "A 2829-2025")</f>
        <v/>
      </c>
      <c r="AC83">
        <f>HYPERLINK("https://klasma.github.io/Logging_0480/tillsyn/A 2829-2025 tillsynsbegäran.docx", "A 2829-2025")</f>
        <v/>
      </c>
      <c r="AD83">
        <f>HYPERLINK("https://klasma.github.io/Logging_0480/tillsynsmail/A 2829-2025 tillsynsbegäran mail.docx", "A 2829-2025")</f>
        <v/>
      </c>
      <c r="AE83">
        <f>HYPERLINK("https://klasma.github.io/Logging_0480/fåglar/A 2829-2025 prioriterade fågelarter.docx", "A 2829-2025")</f>
        <v/>
      </c>
    </row>
    <row r="84" ht="15" customHeight="1">
      <c r="A84" t="inlineStr">
        <is>
          <t>A 65889-2021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46226</v>
      </c>
      <c r="F84" t="inlineStr">
        <is>
          <t>SÖDERMANLANDS LÄN</t>
        </is>
      </c>
      <c r="G84" t="inlineStr">
        <is>
          <t>NYKÖPING</t>
        </is>
      </c>
      <c r="I84" t="n">
        <v>4.8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Backstarr</t>
        </is>
      </c>
      <c r="W84">
        <f>HYPERLINK("https://klasma.github.io/Logging_0480/artfynd/A 65889-2021 artfynd.xlsx", "A 65889-2021")</f>
        <v/>
      </c>
      <c r="X84">
        <f>HYPERLINK("https://klasma.github.io/Logging_0480/kartor/A 65889-2021 karta.png", "A 65889-2021")</f>
        <v/>
      </c>
      <c r="Y84">
        <f>HYPERLINK("https://klasma.github.io/Logging_0480/kartor_geotiff/A 65889-2021 georefererad karta.tif", "A 65889-2021")</f>
        <v/>
      </c>
      <c r="AA84">
        <f>HYPERLINK("https://klasma.github.io/Logging_0480/klagomål/A 65889-2021 FSC-klagomål.docx", "A 65889-2021")</f>
        <v/>
      </c>
      <c r="AB84">
        <f>HYPERLINK("https://klasma.github.io/Logging_0480/klagomålsmail/A 65889-2021 FSC-klagomål mail.docx", "A 65889-2021")</f>
        <v/>
      </c>
      <c r="AC84">
        <f>HYPERLINK("https://klasma.github.io/Logging_0480/tillsyn/A 65889-2021 tillsynsbegäran.docx", "A 65889-2021")</f>
        <v/>
      </c>
      <c r="AD84">
        <f>HYPERLINK("https://klasma.github.io/Logging_0480/tillsynsmail/A 65889-2021 tillsynsbegäran mail.docx", "A 65889-2021")</f>
        <v/>
      </c>
    </row>
    <row r="85" ht="15" customHeight="1">
      <c r="A85" t="inlineStr">
        <is>
          <t>A 18500-2024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45424</v>
      </c>
      <c r="E85" s="1" t="n">
        <v>46226</v>
      </c>
      <c r="F85" t="inlineStr">
        <is>
          <t>SÖDERMANLANDS LÄN</t>
        </is>
      </c>
      <c r="G85" t="inlineStr">
        <is>
          <t>NYKÖPING</t>
        </is>
      </c>
      <c r="I85" t="n">
        <v>2.4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Tornseglare</t>
        </is>
      </c>
      <c r="W85">
        <f>HYPERLINK("https://klasma.github.io/Logging_0480/artfynd/A 18500-2024 artfynd.xlsx", "A 18500-2024")</f>
        <v/>
      </c>
      <c r="X85">
        <f>HYPERLINK("https://klasma.github.io/Logging_0480/kartor/A 18500-2024 karta.png", "A 18500-2024")</f>
        <v/>
      </c>
      <c r="Y85">
        <f>HYPERLINK("https://klasma.github.io/Logging_0480/kartor_geotiff/A 18500-2024 georefererad karta.tif", "A 18500-2024")</f>
        <v/>
      </c>
      <c r="AA85">
        <f>HYPERLINK("https://klasma.github.io/Logging_0480/klagomål/A 18500-2024 FSC-klagomål.docx", "A 18500-2024")</f>
        <v/>
      </c>
      <c r="AB85">
        <f>HYPERLINK("https://klasma.github.io/Logging_0480/klagomålsmail/A 18500-2024 FSC-klagomål mail.docx", "A 18500-2024")</f>
        <v/>
      </c>
      <c r="AC85">
        <f>HYPERLINK("https://klasma.github.io/Logging_0480/tillsyn/A 18500-2024 tillsynsbegäran.docx", "A 18500-2024")</f>
        <v/>
      </c>
      <c r="AD85">
        <f>HYPERLINK("https://klasma.github.io/Logging_0480/tillsynsmail/A 18500-2024 tillsynsbegäran mail.docx", "A 18500-2024")</f>
        <v/>
      </c>
      <c r="AE85">
        <f>HYPERLINK("https://klasma.github.io/Logging_0480/fåglar/A 18500-2024 prioriterade fågelarter.docx", "A 18500-2024")</f>
        <v/>
      </c>
    </row>
    <row r="86" ht="15" customHeight="1">
      <c r="A86" t="inlineStr">
        <is>
          <t>A 28704-2025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46226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HYPERLINK("https://klasma.github.io/Logging_0480/artfynd/A 28704-2025 artfynd.xlsx", "A 28704-2025")</f>
        <v/>
      </c>
      <c r="X86">
        <f>HYPERLINK("https://klasma.github.io/Logging_0480/kartor/A 28704-2025 karta.png", "A 28704-2025")</f>
        <v/>
      </c>
      <c r="Y86">
        <f>HYPERLINK("https://klasma.github.io/Logging_0480/kartor_geotiff/A 28704-2025 georefererad karta.tif", "A 28704-2025")</f>
        <v/>
      </c>
      <c r="AA86">
        <f>HYPERLINK("https://klasma.github.io/Logging_0480/klagomål/A 28704-2025 FSC-klagomål.docx", "A 28704-2025")</f>
        <v/>
      </c>
      <c r="AB86">
        <f>HYPERLINK("https://klasma.github.io/Logging_0480/klagomålsmail/A 28704-2025 FSC-klagomål mail.docx", "A 28704-2025")</f>
        <v/>
      </c>
      <c r="AC86">
        <f>HYPERLINK("https://klasma.github.io/Logging_0480/tillsyn/A 28704-2025 tillsynsbegäran.docx", "A 28704-2025")</f>
        <v/>
      </c>
      <c r="AD86">
        <f>HYPERLINK("https://klasma.github.io/Logging_0480/tillsynsmail/A 28704-2025 tillsynsbegäran mail.docx", "A 28704-2025")</f>
        <v/>
      </c>
    </row>
    <row r="87" ht="15" customHeight="1">
      <c r="A87" t="inlineStr">
        <is>
          <t>A 10886-2026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46226</v>
      </c>
      <c r="F87" t="inlineStr">
        <is>
          <t>SÖDERMANLANDS LÄN</t>
        </is>
      </c>
      <c r="G87" t="inlineStr">
        <is>
          <t>NYKÖPING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HYPERLINK("https://klasma.github.io/Logging_0480/artfynd/A 10886-2026 artfynd.xlsx", "A 10886-2026")</f>
        <v/>
      </c>
      <c r="X87">
        <f>HYPERLINK("https://klasma.github.io/Logging_0480/kartor/A 10886-2026 karta.png", "A 10886-2026")</f>
        <v/>
      </c>
      <c r="Y87">
        <f>HYPERLINK("https://klasma.github.io/Logging_0480/kartor_geotiff/A 10886-2026 georefererad karta.tif", "A 10886-2026")</f>
        <v/>
      </c>
      <c r="AA87">
        <f>HYPERLINK("https://klasma.github.io/Logging_0480/klagomål/A 10886-2026 FSC-klagomål.docx", "A 10886-2026")</f>
        <v/>
      </c>
      <c r="AB87">
        <f>HYPERLINK("https://klasma.github.io/Logging_0480/klagomålsmail/A 10886-2026 FSC-klagomål mail.docx", "A 10886-2026")</f>
        <v/>
      </c>
      <c r="AC87">
        <f>HYPERLINK("https://klasma.github.io/Logging_0480/tillsyn/A 10886-2026 tillsynsbegäran.docx", "A 10886-2026")</f>
        <v/>
      </c>
      <c r="AD87">
        <f>HYPERLINK("https://klasma.github.io/Logging_0480/tillsynsmail/A 10886-2026 tillsynsbegäran mail.docx", "A 10886-2026")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46226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HYPERLINK("https://klasma.github.io/Logging_0480/artfynd/A 45122-2025 artfynd.xlsx", "A 45122-2025")</f>
        <v/>
      </c>
      <c r="X88">
        <f>HYPERLINK("https://klasma.github.io/Logging_0480/kartor/A 45122-2025 karta.png", "A 45122-2025")</f>
        <v/>
      </c>
      <c r="Y88">
        <f>HYPERLINK("https://klasma.github.io/Logging_0480/kartor_geotiff/A 45122-2025 georefererad karta.tif", "A 45122-2025")</f>
        <v/>
      </c>
      <c r="AA88">
        <f>HYPERLINK("https://klasma.github.io/Logging_0480/klagomål/A 45122-2025 FSC-klagomål.docx", "A 45122-2025")</f>
        <v/>
      </c>
      <c r="AB88">
        <f>HYPERLINK("https://klasma.github.io/Logging_0480/klagomålsmail/A 45122-2025 FSC-klagomål mail.docx", "A 45122-2025")</f>
        <v/>
      </c>
      <c r="AC88">
        <f>HYPERLINK("https://klasma.github.io/Logging_0480/tillsyn/A 45122-2025 tillsynsbegäran.docx", "A 45122-2025")</f>
        <v/>
      </c>
      <c r="AD88">
        <f>HYPERLINK("https://klasma.github.io/Logging_0480/tillsynsmail/A 45122-2025 tillsynsbegäran mail.docx", "A 45122-2025")</f>
        <v/>
      </c>
      <c r="AE88">
        <f>HYPERLINK("https://klasma.github.io/Logging_0480/fåglar/A 45122-2025 prioriterade fågelarter.docx", "A 45122-2025")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46226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Sexfläckig bastardsvärmare</t>
        </is>
      </c>
      <c r="W89">
        <f>HYPERLINK("https://klasma.github.io/Logging_0480/artfynd/A 50014-2025 artfynd.xlsx", "A 50014-2025")</f>
        <v/>
      </c>
      <c r="X89">
        <f>HYPERLINK("https://klasma.github.io/Logging_0480/kartor/A 50014-2025 karta.png", "A 50014-2025")</f>
        <v/>
      </c>
      <c r="Y89">
        <f>HYPERLINK("https://klasma.github.io/Logging_0480/kartor_geotiff/A 50014-2025 georefererad karta.tif", "A 50014-2025")</f>
        <v/>
      </c>
      <c r="AA89">
        <f>HYPERLINK("https://klasma.github.io/Logging_0480/klagomål/A 50014-2025 FSC-klagomål.docx", "A 50014-2025")</f>
        <v/>
      </c>
      <c r="AB89">
        <f>HYPERLINK("https://klasma.github.io/Logging_0480/klagomålsmail/A 50014-2025 FSC-klagomål mail.docx", "A 50014-2025")</f>
        <v/>
      </c>
      <c r="AC89">
        <f>HYPERLINK("https://klasma.github.io/Logging_0480/tillsyn/A 50014-2025 tillsynsbegäran.docx", "A 50014-2025")</f>
        <v/>
      </c>
      <c r="AD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46226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HYPERLINK("https://klasma.github.io/Logging_0480/artfynd/A 50871-2025 artfynd.xlsx", "A 50871-2025")</f>
        <v/>
      </c>
      <c r="X90">
        <f>HYPERLINK("https://klasma.github.io/Logging_0480/kartor/A 50871-2025 karta.png", "A 50871-2025")</f>
        <v/>
      </c>
      <c r="Y90">
        <f>HYPERLINK("https://klasma.github.io/Logging_0480/kartor_geotiff/A 50871-2025 georefererad karta.tif", "A 50871-2025")</f>
        <v/>
      </c>
      <c r="AA90">
        <f>HYPERLINK("https://klasma.github.io/Logging_0480/klagomål/A 50871-2025 FSC-klagomål.docx", "A 50871-2025")</f>
        <v/>
      </c>
      <c r="AB90">
        <f>HYPERLINK("https://klasma.github.io/Logging_0480/klagomålsmail/A 50871-2025 FSC-klagomål mail.docx", "A 50871-2025")</f>
        <v/>
      </c>
      <c r="AC90">
        <f>HYPERLINK("https://klasma.github.io/Logging_0480/tillsyn/A 50871-2025 tillsynsbegäran.docx", "A 50871-2025")</f>
        <v/>
      </c>
      <c r="AD90">
        <f>HYPERLINK("https://klasma.github.io/Logging_0480/tillsynsmail/A 50871-2025 tillsynsbegäran mail.docx", "A 50871-2025")</f>
        <v/>
      </c>
      <c r="AE90">
        <f>HYPERLINK("https://klasma.github.io/Logging_0480/fåglar/A 50871-2025 prioriterade fågelarter.docx", "A 50871-2025")</f>
        <v/>
      </c>
    </row>
    <row r="91" ht="15" customHeight="1">
      <c r="A91" t="inlineStr">
        <is>
          <t>A 52384-2025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46226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Törnskata</t>
        </is>
      </c>
      <c r="W91">
        <f>HYPERLINK("https://klasma.github.io/Logging_0480/artfynd/A 52384-2025 artfynd.xlsx", "A 52384-2025")</f>
        <v/>
      </c>
      <c r="X91">
        <f>HYPERLINK("https://klasma.github.io/Logging_0480/kartor/A 52384-2025 karta.png", "A 52384-2025")</f>
        <v/>
      </c>
      <c r="Y91">
        <f>HYPERLINK("https://klasma.github.io/Logging_0480/kartor_geotiff/A 52384-2025 georefererad karta.tif", "A 52384-2025")</f>
        <v/>
      </c>
      <c r="AA91">
        <f>HYPERLINK("https://klasma.github.io/Logging_0480/klagomål/A 52384-2025 FSC-klagomål.docx", "A 52384-2025")</f>
        <v/>
      </c>
      <c r="AB91">
        <f>HYPERLINK("https://klasma.github.io/Logging_0480/klagomålsmail/A 52384-2025 FSC-klagomål mail.docx", "A 52384-2025")</f>
        <v/>
      </c>
      <c r="AC91">
        <f>HYPERLINK("https://klasma.github.io/Logging_0480/tillsyn/A 52384-2025 tillsynsbegäran.docx", "A 52384-2025")</f>
        <v/>
      </c>
      <c r="AD91">
        <f>HYPERLINK("https://klasma.github.io/Logging_0480/tillsynsmail/A 52384-2025 tillsynsbegäran mail.docx", "A 52384-2025")</f>
        <v/>
      </c>
      <c r="AE91">
        <f>HYPERLINK("https://klasma.github.io/Logging_0480/fåglar/A 52384-2025 prioriterade fågelarter.docx", "A 52384-2025")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46226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59905-2025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46226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11.7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HYPERLINK("https://klasma.github.io/Logging_0480/artfynd/A 59905-2025 artfynd.xlsx", "A 59905-2025")</f>
        <v/>
      </c>
      <c r="X93">
        <f>HYPERLINK("https://klasma.github.io/Logging_0480/kartor/A 59905-2025 karta.png", "A 59905-2025")</f>
        <v/>
      </c>
      <c r="Y93">
        <f>HYPERLINK("https://klasma.github.io/Logging_0480/kartor_geotiff/A 59905-2025 georefererad karta.tif", "A 59905-2025")</f>
        <v/>
      </c>
      <c r="AA93">
        <f>HYPERLINK("https://klasma.github.io/Logging_0480/klagomål/A 59905-2025 FSC-klagomål.docx", "A 59905-2025")</f>
        <v/>
      </c>
      <c r="AB93">
        <f>HYPERLINK("https://klasma.github.io/Logging_0480/klagomålsmail/A 59905-2025 FSC-klagomål mail.docx", "A 59905-2025")</f>
        <v/>
      </c>
      <c r="AC93">
        <f>HYPERLINK("https://klasma.github.io/Logging_0480/tillsyn/A 59905-2025 tillsynsbegäran.docx", "A 59905-2025")</f>
        <v/>
      </c>
      <c r="AD93">
        <f>HYPERLINK("https://klasma.github.io/Logging_0480/tillsynsmail/A 59905-2025 tillsynsbegäran mail.docx", "A 59905-2025")</f>
        <v/>
      </c>
    </row>
    <row r="94" ht="15" customHeight="1">
      <c r="A94" t="inlineStr">
        <is>
          <t>A 21129-2024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46226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Liljekonvalj</t>
        </is>
      </c>
      <c r="W94">
        <f>HYPERLINK("https://klasma.github.io/Logging_0480/artfynd/A 21129-2024 artfynd.xlsx", "A 21129-2024")</f>
        <v/>
      </c>
      <c r="X94">
        <f>HYPERLINK("https://klasma.github.io/Logging_0480/kartor/A 21129-2024 karta.png", "A 21129-2024")</f>
        <v/>
      </c>
      <c r="Y94">
        <f>HYPERLINK("https://klasma.github.io/Logging_0480/kartor_geotiff/A 21129-2024 georefererad karta.tif", "A 21129-2024")</f>
        <v/>
      </c>
      <c r="AA94">
        <f>HYPERLINK("https://klasma.github.io/Logging_0480/klagomål/A 21129-2024 FSC-klagomål.docx", "A 21129-2024")</f>
        <v/>
      </c>
      <c r="AB94">
        <f>HYPERLINK("https://klasma.github.io/Logging_0480/klagomålsmail/A 21129-2024 FSC-klagomål mail.docx", "A 21129-2024")</f>
        <v/>
      </c>
      <c r="AC94">
        <f>HYPERLINK("https://klasma.github.io/Logging_0480/tillsyn/A 21129-2024 tillsynsbegäran.docx", "A 21129-2024")</f>
        <v/>
      </c>
      <c r="AD94">
        <f>HYPERLINK("https://klasma.github.io/Logging_0480/tillsynsmail/A 21129-2024 tillsynsbegäran mail.docx", "A 21129-2024")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46226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HYPERLINK("https://klasma.github.io/Logging_0480/artfynd/A 5385-2026 artfynd.xlsx", "A 5385-2026")</f>
        <v/>
      </c>
      <c r="X95">
        <f>HYPERLINK("https://klasma.github.io/Logging_0480/kartor/A 5385-2026 karta.png", "A 5385-2026")</f>
        <v/>
      </c>
      <c r="Y95">
        <f>HYPERLINK("https://klasma.github.io/Logging_0480/kartor_geotiff/A 5385-2026 georefererad karta.tif", "A 5385-2026")</f>
        <v/>
      </c>
      <c r="AA95">
        <f>HYPERLINK("https://klasma.github.io/Logging_0480/klagomål/A 5385-2026 FSC-klagomål.docx", "A 5385-2026")</f>
        <v/>
      </c>
      <c r="AB95">
        <f>HYPERLINK("https://klasma.github.io/Logging_0480/klagomålsmail/A 5385-2026 FSC-klagomål mail.docx", "A 5385-2026")</f>
        <v/>
      </c>
      <c r="AC95">
        <f>HYPERLINK("https://klasma.github.io/Logging_0480/tillsyn/A 5385-2026 tillsynsbegäran.docx", "A 5385-2026")</f>
        <v/>
      </c>
      <c r="AD95">
        <f>HYPERLINK("https://klasma.github.io/Logging_0480/tillsynsmail/A 5385-2026 tillsynsbegäran mail.docx", "A 5385-2026")</f>
        <v/>
      </c>
      <c r="AE95">
        <f>HYPERLINK("https://klasma.github.io/Logging_0480/fåglar/A 5385-2026 prioriterade fågelarter.docx", "A 5385-2026")</f>
        <v/>
      </c>
    </row>
    <row r="96" ht="15" customHeight="1">
      <c r="A96" t="inlineStr">
        <is>
          <t>A 59329-2023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45252</v>
      </c>
      <c r="E96" s="1" t="n">
        <v>46226</v>
      </c>
      <c r="F96" t="inlineStr">
        <is>
          <t>SÖDERMANLANDS LÄN</t>
        </is>
      </c>
      <c r="G96" t="inlineStr">
        <is>
          <t>NYKÖPING</t>
        </is>
      </c>
      <c r="I96" t="n">
        <v>22.1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HYPERLINK("https://klasma.github.io/Logging_0480/artfynd/A 59329-2023 artfynd.xlsx", "A 59329-2023")</f>
        <v/>
      </c>
      <c r="X96">
        <f>HYPERLINK("https://klasma.github.io/Logging_0480/kartor/A 59329-2023 karta.png", "A 59329-2023")</f>
        <v/>
      </c>
      <c r="Y96">
        <f>HYPERLINK("https://klasma.github.io/Logging_0480/kartor_geotiff/A 59329-2023 georefererad karta.tif", "A 59329-2023")</f>
        <v/>
      </c>
      <c r="AA96">
        <f>HYPERLINK("https://klasma.github.io/Logging_0480/klagomål/A 59329-2023 FSC-klagomål.docx", "A 59329-2023")</f>
        <v/>
      </c>
      <c r="AB96">
        <f>HYPERLINK("https://klasma.github.io/Logging_0480/klagomålsmail/A 59329-2023 FSC-klagomål mail.docx", "A 59329-2023")</f>
        <v/>
      </c>
      <c r="AC96">
        <f>HYPERLINK("https://klasma.github.io/Logging_0480/tillsyn/A 59329-2023 tillsynsbegäran.docx", "A 59329-2023")</f>
        <v/>
      </c>
      <c r="AD96">
        <f>HYPERLINK("https://klasma.github.io/Logging_0480/tillsynsmail/A 59329-2023 tillsynsbegäran mail.docx", "A 59329-2023")</f>
        <v/>
      </c>
    </row>
    <row r="97" ht="15" customHeight="1">
      <c r="A97" t="inlineStr">
        <is>
          <t>A 63423-2025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46226</v>
      </c>
      <c r="F97" t="inlineStr">
        <is>
          <t>SÖDERMANLANDS LÄN</t>
        </is>
      </c>
      <c r="G97" t="inlineStr">
        <is>
          <t>NYKÖPING</t>
        </is>
      </c>
      <c r="I97" t="n">
        <v>7.4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63423-2025 artfynd.xlsx", "A 63423-2025")</f>
        <v/>
      </c>
      <c r="X97">
        <f>HYPERLINK("https://klasma.github.io/Logging_0480/kartor/A 63423-2025 karta.png", "A 63423-2025")</f>
        <v/>
      </c>
      <c r="Y97">
        <f>HYPERLINK("https://klasma.github.io/Logging_0480/kartor_geotiff/A 63423-2025 georefererad karta.tif", "A 63423-2025")</f>
        <v/>
      </c>
      <c r="AA97">
        <f>HYPERLINK("https://klasma.github.io/Logging_0480/klagomål/A 63423-2025 FSC-klagomål.docx", "A 63423-2025")</f>
        <v/>
      </c>
      <c r="AB97">
        <f>HYPERLINK("https://klasma.github.io/Logging_0480/klagomålsmail/A 63423-2025 FSC-klagomål mail.docx", "A 63423-2025")</f>
        <v/>
      </c>
      <c r="AC97">
        <f>HYPERLINK("https://klasma.github.io/Logging_0480/tillsyn/A 63423-2025 tillsynsbegäran.docx", "A 63423-2025")</f>
        <v/>
      </c>
      <c r="AD97">
        <f>HYPERLINK("https://klasma.github.io/Logging_0480/tillsynsmail/A 63423-2025 tillsynsbegäran mail.docx", "A 63423-2025")</f>
        <v/>
      </c>
    </row>
    <row r="98" ht="15" customHeight="1">
      <c r="A98" t="inlineStr">
        <is>
          <t>A 8387-2024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46226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Gulsparv</t>
        </is>
      </c>
      <c r="W98">
        <f>HYPERLINK("https://klasma.github.io/Logging_0480/artfynd/A 8387-2024 artfynd.xlsx", "A 8387-2024")</f>
        <v/>
      </c>
      <c r="X98">
        <f>HYPERLINK("https://klasma.github.io/Logging_0480/kartor/A 8387-2024 karta.png", "A 8387-2024")</f>
        <v/>
      </c>
      <c r="Y98">
        <f>HYPERLINK("https://klasma.github.io/Logging_0480/kartor_geotiff/A 8387-2024 georefererad karta.tif", "A 8387-2024")</f>
        <v/>
      </c>
      <c r="AA98">
        <f>HYPERLINK("https://klasma.github.io/Logging_0480/klagomål/A 8387-2024 FSC-klagomål.docx", "A 8387-2024")</f>
        <v/>
      </c>
      <c r="AB98">
        <f>HYPERLINK("https://klasma.github.io/Logging_0480/klagomålsmail/A 8387-2024 FSC-klagomål mail.docx", "A 8387-2024")</f>
        <v/>
      </c>
      <c r="AC98">
        <f>HYPERLINK("https://klasma.github.io/Logging_0480/tillsyn/A 8387-2024 tillsynsbegäran.docx", "A 8387-2024")</f>
        <v/>
      </c>
      <c r="AD98">
        <f>HYPERLINK("https://klasma.github.io/Logging_0480/tillsynsmail/A 8387-2024 tillsynsbegäran mail.docx", "A 8387-2024")</f>
        <v/>
      </c>
      <c r="AE98">
        <f>HYPERLINK("https://klasma.github.io/Logging_0480/fåglar/A 8387-2024 prioriterade fågelarter.docx", "A 8387-2024")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46226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21021-2026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46145</v>
      </c>
      <c r="E100" s="1" t="n">
        <v>46226</v>
      </c>
      <c r="F100" t="inlineStr">
        <is>
          <t>SÖDERMANLANDS LÄN</t>
        </is>
      </c>
      <c r="G100" t="inlineStr">
        <is>
          <t>NYKÖPING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HYPERLINK("https://klasma.github.io/Logging_0480/artfynd/A 21021-2026 artfynd.xlsx", "A 21021-2026")</f>
        <v/>
      </c>
      <c r="X100">
        <f>HYPERLINK("https://klasma.github.io/Logging_0480/kartor/A 21021-2026 karta.png", "A 21021-2026")</f>
        <v/>
      </c>
      <c r="Y100">
        <f>HYPERLINK("https://klasma.github.io/Logging_0480/kartor_geotiff/A 21021-2026 georefererad karta.tif", "A 21021-2026")</f>
        <v/>
      </c>
      <c r="AA100">
        <f>HYPERLINK("https://klasma.github.io/Logging_0480/klagomål/A 21021-2026 FSC-klagomål.docx", "A 21021-2026")</f>
        <v/>
      </c>
      <c r="AB100">
        <f>HYPERLINK("https://klasma.github.io/Logging_0480/klagomålsmail/A 21021-2026 FSC-klagomål mail.docx", "A 21021-2026")</f>
        <v/>
      </c>
      <c r="AC100">
        <f>HYPERLINK("https://klasma.github.io/Logging_0480/tillsyn/A 21021-2026 tillsynsbegäran.docx", "A 21021-2026")</f>
        <v/>
      </c>
      <c r="AD100">
        <f>HYPERLINK("https://klasma.github.io/Logging_0480/tillsynsmail/A 21021-2026 tillsynsbegäran mail.docx", "A 21021-2026")</f>
        <v/>
      </c>
    </row>
    <row r="101" ht="15" customHeight="1">
      <c r="A101" t="inlineStr">
        <is>
          <t>A 4305-2026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46226</v>
      </c>
      <c r="F101" t="inlineStr">
        <is>
          <t>SÖDERMANLANDS LÄN</t>
        </is>
      </c>
      <c r="G101" t="inlineStr">
        <is>
          <t>NYKÖPING</t>
        </is>
      </c>
      <c r="I101" t="n">
        <v>3.8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Tallticka</t>
        </is>
      </c>
      <c r="W101">
        <f>HYPERLINK("https://klasma.github.io/Logging_0480/artfynd/A 4305-2026 artfynd.xlsx", "A 4305-2026")</f>
        <v/>
      </c>
      <c r="X101">
        <f>HYPERLINK("https://klasma.github.io/Logging_0480/kartor/A 4305-2026 karta.png", "A 4305-2026")</f>
        <v/>
      </c>
      <c r="Y101">
        <f>HYPERLINK("https://klasma.github.io/Logging_0480/kartor_geotiff/A 4305-2026 georefererad karta.tif", "A 4305-2026")</f>
        <v/>
      </c>
      <c r="AA101">
        <f>HYPERLINK("https://klasma.github.io/Logging_0480/klagomål/A 4305-2026 FSC-klagomål.docx", "A 4305-2026")</f>
        <v/>
      </c>
      <c r="AB101">
        <f>HYPERLINK("https://klasma.github.io/Logging_0480/klagomålsmail/A 4305-2026 FSC-klagomål mail.docx", "A 4305-2026")</f>
        <v/>
      </c>
      <c r="AC101">
        <f>HYPERLINK("https://klasma.github.io/Logging_0480/tillsyn/A 4305-2026 tillsynsbegäran.docx", "A 4305-2026")</f>
        <v/>
      </c>
      <c r="AD101">
        <f>HYPERLINK("https://klasma.github.io/Logging_0480/tillsynsmail/A 4305-2026 tillsynsbegäran mail.docx", "A 4305-2026")</f>
        <v/>
      </c>
    </row>
    <row r="102" ht="15" customHeight="1">
      <c r="A102" t="inlineStr">
        <is>
          <t>A 22495-2026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46226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Vedticka</t>
        </is>
      </c>
      <c r="W102">
        <f>HYPERLINK("https://klasma.github.io/Logging_0480/artfynd/A 22495-2026 artfynd.xlsx", "A 22495-2026")</f>
        <v/>
      </c>
      <c r="X102">
        <f>HYPERLINK("https://klasma.github.io/Logging_0480/kartor/A 22495-2026 karta.png", "A 22495-2026")</f>
        <v/>
      </c>
      <c r="Y102">
        <f>HYPERLINK("https://klasma.github.io/Logging_0480/kartor_geotiff/A 22495-2026 georefererad karta.tif", "A 22495-2026")</f>
        <v/>
      </c>
      <c r="AA102">
        <f>HYPERLINK("https://klasma.github.io/Logging_0480/klagomål/A 22495-2026 FSC-klagomål.docx", "A 22495-2026")</f>
        <v/>
      </c>
      <c r="AB102">
        <f>HYPERLINK("https://klasma.github.io/Logging_0480/klagomålsmail/A 22495-2026 FSC-klagomål mail.docx", "A 22495-2026")</f>
        <v/>
      </c>
      <c r="AC102">
        <f>HYPERLINK("https://klasma.github.io/Logging_0480/tillsyn/A 22495-2026 tillsynsbegäran.docx", "A 22495-2026")</f>
        <v/>
      </c>
      <c r="AD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4903-2022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46226</v>
      </c>
      <c r="F103" t="inlineStr">
        <is>
          <t>SÖDERMANLANDS LÄN</t>
        </is>
      </c>
      <c r="G103" t="inlineStr">
        <is>
          <t>NYKÖPING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Knärot</t>
        </is>
      </c>
      <c r="W103">
        <f>HYPERLINK("https://klasma.github.io/Logging_0480/artfynd/A 4903-2022 artfynd.xlsx", "A 4903-2022")</f>
        <v/>
      </c>
      <c r="X103">
        <f>HYPERLINK("https://klasma.github.io/Logging_0480/kartor/A 4903-2022 karta.png", "A 4903-2022")</f>
        <v/>
      </c>
      <c r="Y103">
        <f>HYPERLINK("https://klasma.github.io/Logging_0480/kartor_geotiff/A 4903-2022 georefererad karta.tif", "A 4903-2022")</f>
        <v/>
      </c>
      <c r="Z103">
        <f>HYPERLINK("https://klasma.github.io/Logging_0480/knärot/A 4903-2022 karta knärot.png", "A 4903-2022")</f>
        <v/>
      </c>
      <c r="AA103">
        <f>HYPERLINK("https://klasma.github.io/Logging_0480/klagomål/A 4903-2022 FSC-klagomål.docx", "A 4903-2022")</f>
        <v/>
      </c>
      <c r="AB103">
        <f>HYPERLINK("https://klasma.github.io/Logging_0480/klagomålsmail/A 4903-2022 FSC-klagomål mail.docx", "A 4903-2022")</f>
        <v/>
      </c>
      <c r="AC103">
        <f>HYPERLINK("https://klasma.github.io/Logging_0480/tillsyn/A 4903-2022 tillsynsbegäran.docx", "A 4903-2022")</f>
        <v/>
      </c>
      <c r="AD103">
        <f>HYPERLINK("https://klasma.github.io/Logging_0480/tillsynsmail/A 4903-2022 tillsynsbegäran mail.docx", "A 4903-2022")</f>
        <v/>
      </c>
    </row>
    <row r="104" ht="15" customHeight="1">
      <c r="A104" t="inlineStr">
        <is>
          <t>A 50554-2023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46226</v>
      </c>
      <c r="F104" t="inlineStr">
        <is>
          <t>SÖDERMANLANDS LÄN</t>
        </is>
      </c>
      <c r="G104" t="inlineStr">
        <is>
          <t>NYKÖPING</t>
        </is>
      </c>
      <c r="I104" t="n">
        <v>10.9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50554-2023 artfynd.xlsx", "A 50554-2023")</f>
        <v/>
      </c>
      <c r="X104">
        <f>HYPERLINK("https://klasma.github.io/Logging_0480/kartor/A 50554-2023 karta.png", "A 50554-2023")</f>
        <v/>
      </c>
      <c r="Y104">
        <f>HYPERLINK("https://klasma.github.io/Logging_0480/kartor_geotiff/A 50554-2023 georefererad karta.tif", "A 50554-2023")</f>
        <v/>
      </c>
      <c r="AA104">
        <f>HYPERLINK("https://klasma.github.io/Logging_0480/klagomål/A 50554-2023 FSC-klagomål.docx", "A 50554-2023")</f>
        <v/>
      </c>
      <c r="AB104">
        <f>HYPERLINK("https://klasma.github.io/Logging_0480/klagomålsmail/A 50554-2023 FSC-klagomål mail.docx", "A 50554-2023")</f>
        <v/>
      </c>
      <c r="AC104">
        <f>HYPERLINK("https://klasma.github.io/Logging_0480/tillsyn/A 50554-2023 tillsynsbegäran.docx", "A 50554-2023")</f>
        <v/>
      </c>
      <c r="AD104">
        <f>HYPERLINK("https://klasma.github.io/Logging_0480/tillsynsmail/A 50554-2023 tillsynsbegäran mail.docx", "A 50554-2023")</f>
        <v/>
      </c>
    </row>
    <row r="105" ht="15" customHeight="1">
      <c r="A105" t="inlineStr">
        <is>
          <t>A 5509-2023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46226</v>
      </c>
      <c r="F105" t="inlineStr">
        <is>
          <t>SÖDERMANLANDS LÄN</t>
        </is>
      </c>
      <c r="G105" t="inlineStr">
        <is>
          <t>NYKÖPING</t>
        </is>
      </c>
      <c r="I105" t="n">
        <v>1.2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HYPERLINK("https://klasma.github.io/Logging_0480/artfynd/A 5509-2023 artfynd.xlsx", "A 5509-2023")</f>
        <v/>
      </c>
      <c r="X105">
        <f>HYPERLINK("https://klasma.github.io/Logging_0480/kartor/A 5509-2023 karta.png", "A 5509-2023")</f>
        <v/>
      </c>
      <c r="Y105">
        <f>HYPERLINK("https://klasma.github.io/Logging_0480/kartor_geotiff/A 5509-2023 georefererad karta.tif", "A 5509-2023")</f>
        <v/>
      </c>
      <c r="AA105">
        <f>HYPERLINK("https://klasma.github.io/Logging_0480/klagomål/A 5509-2023 FSC-klagomål.docx", "A 5509-2023")</f>
        <v/>
      </c>
      <c r="AB105">
        <f>HYPERLINK("https://klasma.github.io/Logging_0480/klagomålsmail/A 5509-2023 FSC-klagomål mail.docx", "A 5509-2023")</f>
        <v/>
      </c>
      <c r="AC105">
        <f>HYPERLINK("https://klasma.github.io/Logging_0480/tillsyn/A 5509-2023 tillsynsbegäran.docx", "A 5509-2023")</f>
        <v/>
      </c>
      <c r="AD105">
        <f>HYPERLINK("https://klasma.github.io/Logging_0480/tillsynsmail/A 5509-2023 tillsynsbegäran mail.docx", "A 5509-2023")</f>
        <v/>
      </c>
    </row>
    <row r="106" ht="15" customHeight="1">
      <c r="A106" t="inlineStr">
        <is>
          <t>A 20415-2024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46226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6.4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Gulsparv</t>
        </is>
      </c>
      <c r="W106">
        <f>HYPERLINK("https://klasma.github.io/Logging_0480/artfynd/A 20415-2024 artfynd.xlsx", "A 20415-2024")</f>
        <v/>
      </c>
      <c r="X106">
        <f>HYPERLINK("https://klasma.github.io/Logging_0480/kartor/A 20415-2024 karta.png", "A 20415-2024")</f>
        <v/>
      </c>
      <c r="Y106">
        <f>HYPERLINK("https://klasma.github.io/Logging_0480/kartor_geotiff/A 20415-2024 georefererad karta.tif", "A 20415-2024")</f>
        <v/>
      </c>
      <c r="AA106">
        <f>HYPERLINK("https://klasma.github.io/Logging_0480/klagomål/A 20415-2024 FSC-klagomål.docx", "A 20415-2024")</f>
        <v/>
      </c>
      <c r="AB106">
        <f>HYPERLINK("https://klasma.github.io/Logging_0480/klagomålsmail/A 20415-2024 FSC-klagomål mail.docx", "A 20415-2024")</f>
        <v/>
      </c>
      <c r="AC106">
        <f>HYPERLINK("https://klasma.github.io/Logging_0480/tillsyn/A 20415-2024 tillsynsbegäran.docx", "A 20415-2024")</f>
        <v/>
      </c>
      <c r="AD106">
        <f>HYPERLINK("https://klasma.github.io/Logging_0480/tillsynsmail/A 20415-2024 tillsynsbegäran mail.docx", "A 20415-2024")</f>
        <v/>
      </c>
      <c r="AE106">
        <f>HYPERLINK("https://klasma.github.io/Logging_0480/fåglar/A 20415-2024 prioriterade fågelarter.docx", "A 20415-2024")</f>
        <v/>
      </c>
    </row>
    <row r="107" ht="15" customHeight="1">
      <c r="A107" t="inlineStr">
        <is>
          <t>A 20425-2024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45435</v>
      </c>
      <c r="E107" s="1" t="n">
        <v>46226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Kommuner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Skogsalm</t>
        </is>
      </c>
      <c r="W107">
        <f>HYPERLINK("https://klasma.github.io/Logging_0480/artfynd/A 20425-2024 artfynd.xlsx", "A 20425-2024")</f>
        <v/>
      </c>
      <c r="X107">
        <f>HYPERLINK("https://klasma.github.io/Logging_0480/kartor/A 20425-2024 karta.png", "A 20425-2024")</f>
        <v/>
      </c>
      <c r="Y107">
        <f>HYPERLINK("https://klasma.github.io/Logging_0480/kartor_geotiff/A 20425-2024 georefererad karta.tif", "A 20425-2024")</f>
        <v/>
      </c>
      <c r="AA107">
        <f>HYPERLINK("https://klasma.github.io/Logging_0480/klagomål/A 20425-2024 FSC-klagomål.docx", "A 20425-2024")</f>
        <v/>
      </c>
      <c r="AB107">
        <f>HYPERLINK("https://klasma.github.io/Logging_0480/klagomålsmail/A 20425-2024 FSC-klagomål mail.docx", "A 20425-2024")</f>
        <v/>
      </c>
      <c r="AC107">
        <f>HYPERLINK("https://klasma.github.io/Logging_0480/tillsyn/A 20425-2024 tillsynsbegäran.docx", "A 20425-2024")</f>
        <v/>
      </c>
      <c r="AD107">
        <f>HYPERLINK("https://klasma.github.io/Logging_0480/tillsynsmail/A 20425-2024 tillsynsbegäran mail.docx", "A 20425-2024")</f>
        <v/>
      </c>
    </row>
    <row r="108" ht="15" customHeight="1">
      <c r="A108" t="inlineStr">
        <is>
          <t>A 31182-2026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46226</v>
      </c>
      <c r="F108" t="inlineStr">
        <is>
          <t>SÖDERMANLANDS LÄN</t>
        </is>
      </c>
      <c r="G108" t="inlineStr">
        <is>
          <t>NYKÖPING</t>
        </is>
      </c>
      <c r="I108" t="n">
        <v>5.1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31182-2026 artfynd.xlsx", "A 31182-2026")</f>
        <v/>
      </c>
      <c r="X108">
        <f>HYPERLINK("https://klasma.github.io/Logging_0480/kartor/A 31182-2026 karta.png", "A 31182-2026")</f>
        <v/>
      </c>
      <c r="Y108">
        <f>HYPERLINK("https://klasma.github.io/Logging_0480/kartor_geotiff/A 31182-2026 georefererad karta.tif", "A 31182-2026")</f>
        <v/>
      </c>
      <c r="AA108">
        <f>HYPERLINK("https://klasma.github.io/Logging_0480/klagomål/A 31182-2026 FSC-klagomål.docx", "A 31182-2026")</f>
        <v/>
      </c>
      <c r="AB108">
        <f>HYPERLINK("https://klasma.github.io/Logging_0480/klagomålsmail/A 31182-2026 FSC-klagomål mail.docx", "A 31182-2026")</f>
        <v/>
      </c>
      <c r="AC108">
        <f>HYPERLINK("https://klasma.github.io/Logging_0480/tillsyn/A 31182-2026 tillsynsbegäran.docx", "A 31182-2026")</f>
        <v/>
      </c>
      <c r="AD108">
        <f>HYPERLINK("https://klasma.github.io/Logging_0480/tillsynsmail/A 31182-2026 tillsynsbegäran mail.docx", "A 31182-2026")</f>
        <v/>
      </c>
    </row>
    <row r="109" ht="15" customHeight="1">
      <c r="A109" t="inlineStr">
        <is>
          <t>A 13724-2024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46226</v>
      </c>
      <c r="F109" t="inlineStr">
        <is>
          <t>SÖDERMANLANDS LÄN</t>
        </is>
      </c>
      <c r="G109" t="inlineStr">
        <is>
          <t>NYKÖPING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HYPERLINK("https://klasma.github.io/Logging_0480/artfynd/A 13724-2024 artfynd.xlsx", "A 13724-2024")</f>
        <v/>
      </c>
      <c r="X109">
        <f>HYPERLINK("https://klasma.github.io/Logging_0480/kartor/A 13724-2024 karta.png", "A 13724-2024")</f>
        <v/>
      </c>
      <c r="Y109">
        <f>HYPERLINK("https://klasma.github.io/Logging_0480/kartor_geotiff/A 13724-2024 georefererad karta.tif", "A 13724-2024")</f>
        <v/>
      </c>
      <c r="AA109">
        <f>HYPERLINK("https://klasma.github.io/Logging_0480/klagomål/A 13724-2024 FSC-klagomål.docx", "A 13724-2024")</f>
        <v/>
      </c>
      <c r="AB109">
        <f>HYPERLINK("https://klasma.github.io/Logging_0480/klagomålsmail/A 13724-2024 FSC-klagomål mail.docx", "A 13724-2024")</f>
        <v/>
      </c>
      <c r="AC109">
        <f>HYPERLINK("https://klasma.github.io/Logging_0480/tillsyn/A 13724-2024 tillsynsbegäran.docx", "A 13724-2024")</f>
        <v/>
      </c>
      <c r="AD109">
        <f>HYPERLINK("https://klasma.github.io/Logging_0480/tillsynsmail/A 13724-2024 tillsynsbegäran mail.docx", "A 13724-2024")</f>
        <v/>
      </c>
    </row>
    <row r="110" ht="15" customHeight="1">
      <c r="A110" t="inlineStr">
        <is>
          <t>A 2837-2025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46226</v>
      </c>
      <c r="F110" t="inlineStr">
        <is>
          <t>SÖDERMANLANDS LÄN</t>
        </is>
      </c>
      <c r="G110" t="inlineStr">
        <is>
          <t>NYKÖPING</t>
        </is>
      </c>
      <c r="I110" t="n">
        <v>5.2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4</v>
      </c>
      <c r="U110" t="n">
        <v>0</v>
      </c>
      <c r="V110" s="2" t="inlineStr">
        <is>
          <t>Hasselticka</t>
        </is>
      </c>
      <c r="W110">
        <f>HYPERLINK("https://klasma.github.io/Logging_0480/artfynd/A 2837-2025 artfynd.xlsx", "A 2837-2025")</f>
        <v/>
      </c>
      <c r="X110">
        <f>HYPERLINK("https://klasma.github.io/Logging_0480/kartor/A 2837-2025 karta.png", "A 2837-2025")</f>
        <v/>
      </c>
      <c r="Y110">
        <f>HYPERLINK("https://klasma.github.io/Logging_0480/kartor_geotiff/A 2837-2025 georefererad karta.tif", "A 2837-2025")</f>
        <v/>
      </c>
      <c r="AA110">
        <f>HYPERLINK("https://klasma.github.io/Logging_0480/klagomål/A 2837-2025 FSC-klagomål.docx", "A 2837-2025")</f>
        <v/>
      </c>
      <c r="AB110">
        <f>HYPERLINK("https://klasma.github.io/Logging_0480/klagomålsmail/A 2837-2025 FSC-klagomål mail.docx", "A 2837-2025")</f>
        <v/>
      </c>
      <c r="AC110">
        <f>HYPERLINK("https://klasma.github.io/Logging_0480/tillsyn/A 2837-2025 tillsynsbegäran.docx", "A 2837-2025")</f>
        <v/>
      </c>
      <c r="AD110">
        <f>HYPERLINK("https://klasma.github.io/Logging_0480/tillsynsmail/A 2837-2025 tillsynsbegäran mail.docx", "A 2837-2025")</f>
        <v/>
      </c>
    </row>
    <row r="111" ht="15" customHeight="1">
      <c r="A111" t="inlineStr">
        <is>
          <t>A 35318-2024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45530</v>
      </c>
      <c r="E111" s="1" t="n">
        <v>46226</v>
      </c>
      <c r="F111" t="inlineStr">
        <is>
          <t>SÖDERMANLANDS LÄN</t>
        </is>
      </c>
      <c r="G111" t="inlineStr">
        <is>
          <t>NYKÖPING</t>
        </is>
      </c>
      <c r="I111" t="n">
        <v>7.6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Gullviva</t>
        </is>
      </c>
      <c r="W111">
        <f>HYPERLINK("https://klasma.github.io/Logging_0480/artfynd/A 35318-2024 artfynd.xlsx", "A 35318-2024")</f>
        <v/>
      </c>
      <c r="X111">
        <f>HYPERLINK("https://klasma.github.io/Logging_0480/kartor/A 35318-2024 karta.png", "A 35318-2024")</f>
        <v/>
      </c>
      <c r="Y111">
        <f>HYPERLINK("https://klasma.github.io/Logging_0480/kartor_geotiff/A 35318-2024 georefererad karta.tif", "A 35318-2024")</f>
        <v/>
      </c>
      <c r="AA111">
        <f>HYPERLINK("https://klasma.github.io/Logging_0480/klagomål/A 35318-2024 FSC-klagomål.docx", "A 35318-2024")</f>
        <v/>
      </c>
      <c r="AB111">
        <f>HYPERLINK("https://klasma.github.io/Logging_0480/klagomålsmail/A 35318-2024 FSC-klagomål mail.docx", "A 35318-2024")</f>
        <v/>
      </c>
      <c r="AC111">
        <f>HYPERLINK("https://klasma.github.io/Logging_0480/tillsyn/A 35318-2024 tillsynsbegäran.docx", "A 35318-2024")</f>
        <v/>
      </c>
      <c r="AD111">
        <f>HYPERLINK("https://klasma.github.io/Logging_0480/tillsynsmail/A 35318-2024 tillsynsbegäran mail.docx", "A 35318-2024")</f>
        <v/>
      </c>
    </row>
    <row r="112" ht="15" customHeight="1">
      <c r="A112" t="inlineStr">
        <is>
          <t>A 28542-2023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46226</v>
      </c>
      <c r="F112" t="inlineStr">
        <is>
          <t>SÖDERMANLANDS LÄN</t>
        </is>
      </c>
      <c r="G112" t="inlineStr">
        <is>
          <t>NYKÖPING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HYPERLINK("https://klasma.github.io/Logging_0480/artfynd/A 28542-2023 artfynd.xlsx", "A 28542-2023")</f>
        <v/>
      </c>
      <c r="X112">
        <f>HYPERLINK("https://klasma.github.io/Logging_0480/kartor/A 28542-2023 karta.png", "A 28542-2023")</f>
        <v/>
      </c>
      <c r="Y112">
        <f>HYPERLINK("https://klasma.github.io/Logging_0480/kartor_geotiff/A 28542-2023 georefererad karta.tif", "A 28542-2023")</f>
        <v/>
      </c>
      <c r="Z112">
        <f>HYPERLINK("https://klasma.github.io/Logging_0480/knärot/A 28542-2023 karta knärot.png", "A 28542-2023")</f>
        <v/>
      </c>
      <c r="AA112">
        <f>HYPERLINK("https://klasma.github.io/Logging_0480/klagomål/A 28542-2023 FSC-klagomål.docx", "A 28542-2023")</f>
        <v/>
      </c>
      <c r="AB112">
        <f>HYPERLINK("https://klasma.github.io/Logging_0480/klagomålsmail/A 28542-2023 FSC-klagomål mail.docx", "A 28542-2023")</f>
        <v/>
      </c>
      <c r="AC112">
        <f>HYPERLINK("https://klasma.github.io/Logging_0480/tillsyn/A 28542-2023 tillsynsbegäran.docx", "A 28542-2023")</f>
        <v/>
      </c>
      <c r="AD112">
        <f>HYPERLINK("https://klasma.github.io/Logging_0480/tillsynsmail/A 28542-2023 tillsynsbegäran mail.docx", "A 28542-2023")</f>
        <v/>
      </c>
    </row>
    <row r="113" ht="15" customHeight="1">
      <c r="A113" t="inlineStr">
        <is>
          <t>A 20325-2023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46226</v>
      </c>
      <c r="F113" t="inlineStr">
        <is>
          <t>SÖDERMANLANDS LÄN</t>
        </is>
      </c>
      <c r="G113" t="inlineStr">
        <is>
          <t>NYKÖPING</t>
        </is>
      </c>
      <c r="I113" t="n">
        <v>0.2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Kamjordstjärna</t>
        </is>
      </c>
      <c r="W113">
        <f>HYPERLINK("https://klasma.github.io/Logging_0480/artfynd/A 20325-2023 artfynd.xlsx", "A 20325-2023")</f>
        <v/>
      </c>
      <c r="X113">
        <f>HYPERLINK("https://klasma.github.io/Logging_0480/kartor/A 20325-2023 karta.png", "A 20325-2023")</f>
        <v/>
      </c>
      <c r="Y113">
        <f>HYPERLINK("https://klasma.github.io/Logging_0480/kartor_geotiff/A 20325-2023 georefererad karta.tif", "A 20325-2023")</f>
        <v/>
      </c>
      <c r="AA113">
        <f>HYPERLINK("https://klasma.github.io/Logging_0480/klagomål/A 20325-2023 FSC-klagomål.docx", "A 20325-2023")</f>
        <v/>
      </c>
      <c r="AB113">
        <f>HYPERLINK("https://klasma.github.io/Logging_0480/klagomålsmail/A 20325-2023 FSC-klagomål mail.docx", "A 20325-2023")</f>
        <v/>
      </c>
      <c r="AC113">
        <f>HYPERLINK("https://klasma.github.io/Logging_0480/tillsyn/A 20325-2023 tillsynsbegäran.docx", "A 20325-2023")</f>
        <v/>
      </c>
      <c r="AD113">
        <f>HYPERLINK("https://klasma.github.io/Logging_0480/tillsynsmail/A 20325-2023 tillsynsbegäran mail.docx", "A 20325-2023")</f>
        <v/>
      </c>
    </row>
    <row r="114" ht="15" customHeight="1">
      <c r="A114" t="inlineStr">
        <is>
          <t>A 9973-2022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44621</v>
      </c>
      <c r="E114" s="1" t="n">
        <v>46226</v>
      </c>
      <c r="F114" t="inlineStr">
        <is>
          <t>SÖDERMANLANDS LÄN</t>
        </is>
      </c>
      <c r="G114" t="inlineStr">
        <is>
          <t>NYKÖPING</t>
        </is>
      </c>
      <c r="I114" t="n">
        <v>18.3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Grön sköldmossa</t>
        </is>
      </c>
      <c r="W114">
        <f>HYPERLINK("https://klasma.github.io/Logging_0480/artfynd/A 9973-2022 artfynd.xlsx", "A 9973-2022")</f>
        <v/>
      </c>
      <c r="X114">
        <f>HYPERLINK("https://klasma.github.io/Logging_0480/kartor/A 9973-2022 karta.png", "A 9973-2022")</f>
        <v/>
      </c>
      <c r="Y114">
        <f>HYPERLINK("https://klasma.github.io/Logging_0480/kartor_geotiff/A 9973-2022 georefererad karta.tif", "A 9973-2022")</f>
        <v/>
      </c>
      <c r="AA114">
        <f>HYPERLINK("https://klasma.github.io/Logging_0480/klagomål/A 9973-2022 FSC-klagomål.docx", "A 9973-2022")</f>
        <v/>
      </c>
      <c r="AB114">
        <f>HYPERLINK("https://klasma.github.io/Logging_0480/klagomålsmail/A 9973-2022 FSC-klagomål mail.docx", "A 9973-2022")</f>
        <v/>
      </c>
      <c r="AC114">
        <f>HYPERLINK("https://klasma.github.io/Logging_0480/tillsyn/A 9973-2022 tillsynsbegäran.docx", "A 9973-2022")</f>
        <v/>
      </c>
      <c r="AD114">
        <f>HYPERLINK("https://klasma.github.io/Logging_0480/tillsynsmail/A 9973-2022 tillsynsbegäran mail.docx", "A 9973-2022")</f>
        <v/>
      </c>
    </row>
    <row r="115" ht="15" customHeight="1">
      <c r="A115" t="inlineStr">
        <is>
          <t>A 47095-2021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46226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Kommuner</t>
        </is>
      </c>
      <c r="I115" t="n">
        <v>1.4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Kricka</t>
        </is>
      </c>
      <c r="W115">
        <f>HYPERLINK("https://klasma.github.io/Logging_0480/artfynd/A 47095-2021 artfynd.xlsx", "A 47095-2021")</f>
        <v/>
      </c>
      <c r="X115">
        <f>HYPERLINK("https://klasma.github.io/Logging_0480/kartor/A 47095-2021 karta.png", "A 47095-2021")</f>
        <v/>
      </c>
      <c r="Y115">
        <f>HYPERLINK("https://klasma.github.io/Logging_0480/kartor_geotiff/A 47095-2021 georefererad karta.tif", "A 47095-2021")</f>
        <v/>
      </c>
      <c r="AA115">
        <f>HYPERLINK("https://klasma.github.io/Logging_0480/klagomål/A 47095-2021 FSC-klagomål.docx", "A 47095-2021")</f>
        <v/>
      </c>
      <c r="AB115">
        <f>HYPERLINK("https://klasma.github.io/Logging_0480/klagomålsmail/A 47095-2021 FSC-klagomål mail.docx", "A 47095-2021")</f>
        <v/>
      </c>
      <c r="AC115">
        <f>HYPERLINK("https://klasma.github.io/Logging_0480/tillsyn/A 47095-2021 tillsynsbegäran.docx", "A 47095-2021")</f>
        <v/>
      </c>
      <c r="AD115">
        <f>HYPERLINK("https://klasma.github.io/Logging_0480/tillsynsmail/A 47095-2021 tillsynsbegäran mail.docx", "A 47095-2021")</f>
        <v/>
      </c>
      <c r="AE115">
        <f>HYPERLINK("https://klasma.github.io/Logging_0480/fåglar/A 47095-2021 prioriterade fågelarter.docx", "A 47095-2021")</f>
        <v/>
      </c>
    </row>
    <row r="116" ht="15" customHeight="1">
      <c r="A116" t="inlineStr">
        <is>
          <t>A 13038-2024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46226</v>
      </c>
      <c r="F116" t="inlineStr">
        <is>
          <t>SÖDERMANLANDS LÄN</t>
        </is>
      </c>
      <c r="G116" t="inlineStr">
        <is>
          <t>NYKÖPING</t>
        </is>
      </c>
      <c r="I116" t="n">
        <v>3.8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Knärot</t>
        </is>
      </c>
      <c r="W116">
        <f>HYPERLINK("https://klasma.github.io/Logging_0480/artfynd/A 13038-2024 artfynd.xlsx", "A 13038-2024")</f>
        <v/>
      </c>
      <c r="X116">
        <f>HYPERLINK("https://klasma.github.io/Logging_0480/kartor/A 13038-2024 karta.png", "A 13038-2024")</f>
        <v/>
      </c>
      <c r="Y116">
        <f>HYPERLINK("https://klasma.github.io/Logging_0480/kartor_geotiff/A 13038-2024 georefererad karta.tif", "A 13038-2024")</f>
        <v/>
      </c>
      <c r="Z116">
        <f>HYPERLINK("https://klasma.github.io/Logging_0480/knärot/A 13038-2024 karta knärot.png", "A 13038-2024")</f>
        <v/>
      </c>
      <c r="AA116">
        <f>HYPERLINK("https://klasma.github.io/Logging_0480/klagomål/A 13038-2024 FSC-klagomål.docx", "A 13038-2024")</f>
        <v/>
      </c>
      <c r="AB116">
        <f>HYPERLINK("https://klasma.github.io/Logging_0480/klagomålsmail/A 13038-2024 FSC-klagomål mail.docx", "A 13038-2024")</f>
        <v/>
      </c>
      <c r="AC116">
        <f>HYPERLINK("https://klasma.github.io/Logging_0480/tillsyn/A 13038-2024 tillsynsbegäran.docx", "A 13038-2024")</f>
        <v/>
      </c>
      <c r="AD116">
        <f>HYPERLINK("https://klasma.github.io/Logging_0480/tillsynsmail/A 13038-2024 tillsynsbegäran mail.docx", "A 13038-2024")</f>
        <v/>
      </c>
    </row>
    <row r="117" ht="15" customHeight="1">
      <c r="A117" t="inlineStr">
        <is>
          <t>A 51258-2024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46226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Sveaskog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HYPERLINK("https://klasma.github.io/Logging_0480/artfynd/A 51258-2024 artfynd.xlsx", "A 51258-2024")</f>
        <v/>
      </c>
      <c r="X117">
        <f>HYPERLINK("https://klasma.github.io/Logging_0480/kartor/A 51258-2024 karta.png", "A 51258-2024")</f>
        <v/>
      </c>
      <c r="Y117">
        <f>HYPERLINK("https://klasma.github.io/Logging_0480/kartor_geotiff/A 51258-2024 georefererad karta.tif", "A 51258-2024")</f>
        <v/>
      </c>
      <c r="AA117">
        <f>HYPERLINK("https://klasma.github.io/Logging_0480/klagomål/A 51258-2024 FSC-klagomål.docx", "A 51258-2024")</f>
        <v/>
      </c>
      <c r="AB117">
        <f>HYPERLINK("https://klasma.github.io/Logging_0480/klagomålsmail/A 51258-2024 FSC-klagomål mail.docx", "A 51258-2024")</f>
        <v/>
      </c>
      <c r="AC117">
        <f>HYPERLINK("https://klasma.github.io/Logging_0480/tillsyn/A 51258-2024 tillsynsbegäran.docx", "A 51258-2024")</f>
        <v/>
      </c>
      <c r="AD117">
        <f>HYPERLINK("https://klasma.github.io/Logging_0480/tillsynsmail/A 51258-2024 tillsynsbegäran mail.docx", "A 51258-2024")</f>
        <v/>
      </c>
    </row>
    <row r="118" ht="15" customHeight="1">
      <c r="A118" t="inlineStr">
        <is>
          <t>A 35122-2023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46226</v>
      </c>
      <c r="F118" t="inlineStr">
        <is>
          <t>SÖDERMANLANDS LÄN</t>
        </is>
      </c>
      <c r="G118" t="inlineStr">
        <is>
          <t>NYKÖPING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HYPERLINK("https://klasma.github.io/Logging_0480/artfynd/A 35122-2023 artfynd.xlsx", "A 35122-2023")</f>
        <v/>
      </c>
      <c r="X118">
        <f>HYPERLINK("https://klasma.github.io/Logging_0480/kartor/A 35122-2023 karta.png", "A 35122-2023")</f>
        <v/>
      </c>
      <c r="Y118">
        <f>HYPERLINK("https://klasma.github.io/Logging_0480/kartor_geotiff/A 35122-2023 georefererad karta.tif", "A 35122-2023")</f>
        <v/>
      </c>
      <c r="AA118">
        <f>HYPERLINK("https://klasma.github.io/Logging_0480/klagomål/A 35122-2023 FSC-klagomål.docx", "A 35122-2023")</f>
        <v/>
      </c>
      <c r="AB118">
        <f>HYPERLINK("https://klasma.github.io/Logging_0480/klagomålsmail/A 35122-2023 FSC-klagomål mail.docx", "A 35122-2023")</f>
        <v/>
      </c>
      <c r="AC118">
        <f>HYPERLINK("https://klasma.github.io/Logging_0480/tillsyn/A 35122-2023 tillsynsbegäran.docx", "A 35122-2023")</f>
        <v/>
      </c>
      <c r="AD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56080-2024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46226</v>
      </c>
      <c r="F119" t="inlineStr">
        <is>
          <t>SÖDERMANLANDS LÄN</t>
        </is>
      </c>
      <c r="G119" t="inlineStr">
        <is>
          <t>NYKÖPING</t>
        </is>
      </c>
      <c r="I119" t="n">
        <v>5.5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Ärtsångare</t>
        </is>
      </c>
      <c r="W119">
        <f>HYPERLINK("https://klasma.github.io/Logging_0480/artfynd/A 56080-2024 artfynd.xlsx", "A 56080-2024")</f>
        <v/>
      </c>
      <c r="X119">
        <f>HYPERLINK("https://klasma.github.io/Logging_0480/kartor/A 56080-2024 karta.png", "A 56080-2024")</f>
        <v/>
      </c>
      <c r="Y119">
        <f>HYPERLINK("https://klasma.github.io/Logging_0480/kartor_geotiff/A 56080-2024 georefererad karta.tif", "A 56080-2024")</f>
        <v/>
      </c>
      <c r="AA119">
        <f>HYPERLINK("https://klasma.github.io/Logging_0480/klagomål/A 56080-2024 FSC-klagomål.docx", "A 56080-2024")</f>
        <v/>
      </c>
      <c r="AB119">
        <f>HYPERLINK("https://klasma.github.io/Logging_0480/klagomålsmail/A 56080-2024 FSC-klagomål mail.docx", "A 56080-2024")</f>
        <v/>
      </c>
      <c r="AC119">
        <f>HYPERLINK("https://klasma.github.io/Logging_0480/tillsyn/A 56080-2024 tillsynsbegäran.docx", "A 56080-2024")</f>
        <v/>
      </c>
      <c r="AD119">
        <f>HYPERLINK("https://klasma.github.io/Logging_0480/tillsynsmail/A 56080-2024 tillsynsbegäran mail.docx", "A 56080-2024")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46226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HYPERLINK("https://klasma.github.io/Logging_0480/artfynd/S 447-2021 artfynd.xlsx", "S 447-2021")</f>
        <v/>
      </c>
      <c r="X120">
        <f>HYPERLINK("https://klasma.github.io/Logging_0480/kartor/S 447-2021 karta.png", "S 447-2021")</f>
        <v/>
      </c>
      <c r="Y120">
        <f>HYPERLINK("https://klasma.github.io/Logging_0480/kartor_geotiff/S 447-2021 georefererad karta.tif", "S 447-2021")</f>
        <v/>
      </c>
      <c r="AA120">
        <f>HYPERLINK("https://klasma.github.io/Logging_0480/klagomål/S 447-2021 FSC-klagomål.docx", "S 447-2021")</f>
        <v/>
      </c>
      <c r="AB120">
        <f>HYPERLINK("https://klasma.github.io/Logging_0480/klagomålsmail/S 447-2021 FSC-klagomål mail.docx", "S 447-2021")</f>
        <v/>
      </c>
      <c r="AC120">
        <f>HYPERLINK("https://klasma.github.io/Logging_0480/tillsyn/S 447-2021 tillsynsbegäran.docx", "S 447-2021")</f>
        <v/>
      </c>
      <c r="AD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46226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46226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46226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46226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46226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46226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46226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46226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46226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46226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46226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46226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44767</v>
      </c>
      <c r="E133" s="1" t="n">
        <v>46226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46226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46226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46226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46226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46226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46226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46226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46226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46226</v>
      </c>
      <c r="F142" t="inlineStr">
        <is>
          <t>SÖDERMANLANDS LÄN</t>
        </is>
      </c>
      <c r="G142" t="inlineStr">
        <is>
          <t>NYKÖPING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46226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Övriga Aktiebolag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46226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46226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46226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46226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46226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46226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46226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46226</v>
      </c>
      <c r="F151" t="inlineStr">
        <is>
          <t>SÖDERMANLANDS LÄN</t>
        </is>
      </c>
      <c r="G151" t="inlineStr">
        <is>
          <t>NYKÖPING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46226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46226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46226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46226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46226</v>
      </c>
      <c r="F156" t="inlineStr">
        <is>
          <t>SÖDERMANLANDS LÄN</t>
        </is>
      </c>
      <c r="G156" t="inlineStr">
        <is>
          <t>NYKÖPING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46226</v>
      </c>
      <c r="F157" t="inlineStr">
        <is>
          <t>SÖDERMANLANDS LÄN</t>
        </is>
      </c>
      <c r="G157" t="inlineStr">
        <is>
          <t>NYKÖPING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59592-2021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46226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46226</v>
      </c>
      <c r="F159" t="inlineStr">
        <is>
          <t>SÖDERMANLANDS LÄN</t>
        </is>
      </c>
      <c r="G159" t="inlineStr">
        <is>
          <t>NYKÖPING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46226</v>
      </c>
      <c r="F160" t="inlineStr">
        <is>
          <t>SÖDERMANLANDS LÄN</t>
        </is>
      </c>
      <c r="G160" t="inlineStr">
        <is>
          <t>NYKÖPING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46226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46226</v>
      </c>
      <c r="F162" t="inlineStr">
        <is>
          <t>SÖDERMANLANDS LÄN</t>
        </is>
      </c>
      <c r="G162" t="inlineStr">
        <is>
          <t>NYKÖPING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46226</v>
      </c>
      <c r="F163" t="inlineStr">
        <is>
          <t>SÖDERMANLANDS LÄN</t>
        </is>
      </c>
      <c r="G163" t="inlineStr">
        <is>
          <t>NYKÖPING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46226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41723-2021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44425</v>
      </c>
      <c r="E165" s="1" t="n">
        <v>46226</v>
      </c>
      <c r="F165" t="inlineStr">
        <is>
          <t>SÖDERMANLANDS LÄN</t>
        </is>
      </c>
      <c r="G165" t="inlineStr">
        <is>
          <t>NYKÖPING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61248-2021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46226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46226</v>
      </c>
      <c r="F167" t="inlineStr">
        <is>
          <t>SÖDERMANLANDS LÄN</t>
        </is>
      </c>
      <c r="G167" t="inlineStr">
        <is>
          <t>NYKÖPING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46226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46226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46226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46226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46226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44446</v>
      </c>
      <c r="E173" s="1" t="n">
        <v>46226</v>
      </c>
      <c r="F173" t="inlineStr">
        <is>
          <t>SÖDERMANLANDS LÄN</t>
        </is>
      </c>
      <c r="G173" t="inlineStr">
        <is>
          <t>NYKÖPING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46226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44662</v>
      </c>
      <c r="E175" s="1" t="n">
        <v>46226</v>
      </c>
      <c r="F175" t="inlineStr">
        <is>
          <t>SÖDERMANLANDS LÄN</t>
        </is>
      </c>
      <c r="G175" t="inlineStr">
        <is>
          <t>NYKÖPING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46226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46226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46226</v>
      </c>
      <c r="F178" t="inlineStr">
        <is>
          <t>SÖDERMANLANDS LÄN</t>
        </is>
      </c>
      <c r="G178" t="inlineStr">
        <is>
          <t>NYKÖPING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46226</v>
      </c>
      <c r="F179" t="inlineStr">
        <is>
          <t>SÖDERMANLANDS LÄN</t>
        </is>
      </c>
      <c r="G179" t="inlineStr">
        <is>
          <t>NYKÖPING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46226</v>
      </c>
      <c r="F180" t="inlineStr">
        <is>
          <t>SÖDERMANLANDS LÄN</t>
        </is>
      </c>
      <c r="G180" t="inlineStr">
        <is>
          <t>NYKÖPING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44783</v>
      </c>
      <c r="E181" s="1" t="n">
        <v>46226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46226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46226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46226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40680-2021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44420</v>
      </c>
      <c r="E185" s="1" t="n">
        <v>46226</v>
      </c>
      <c r="F185" t="inlineStr">
        <is>
          <t>SÖDERMANLANDS LÄN</t>
        </is>
      </c>
      <c r="G185" t="inlineStr">
        <is>
          <t>NYKÖPING</t>
        </is>
      </c>
      <c r="I185" t="n">
        <v>11.1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46226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46226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46226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44767</v>
      </c>
      <c r="E189" s="1" t="n">
        <v>46226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46226</v>
      </c>
      <c r="F190" t="inlineStr">
        <is>
          <t>SÖDERMANLANDS LÄN</t>
        </is>
      </c>
      <c r="G190" t="inlineStr">
        <is>
          <t>NYKÖPING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46226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46226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46226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46226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46226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44679</v>
      </c>
      <c r="E196" s="1" t="n">
        <v>46226</v>
      </c>
      <c r="F196" t="inlineStr">
        <is>
          <t>SÖDERMANLANDS LÄN</t>
        </is>
      </c>
      <c r="G196" t="inlineStr">
        <is>
          <t>NYKÖPING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46226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46226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46226</v>
      </c>
      <c r="F199" t="inlineStr">
        <is>
          <t>SÖDERMANLANDS LÄN</t>
        </is>
      </c>
      <c r="G199" t="inlineStr">
        <is>
          <t>NYKÖPING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46226</v>
      </c>
      <c r="F200" t="inlineStr">
        <is>
          <t>SÖDERMANLANDS LÄN</t>
        </is>
      </c>
      <c r="G200" t="inlineStr">
        <is>
          <t>NYKÖPING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46226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46226</v>
      </c>
      <c r="F202" t="inlineStr">
        <is>
          <t>SÖDERMANLANDS LÄN</t>
        </is>
      </c>
      <c r="G202" t="inlineStr">
        <is>
          <t>NYKÖPING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46226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46226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46226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46226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46226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46226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46226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69252-2021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46226</v>
      </c>
      <c r="F210" t="inlineStr">
        <is>
          <t>SÖDERMANLANDS LÄN</t>
        </is>
      </c>
      <c r="G210" t="inlineStr">
        <is>
          <t>NYKÖPING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44425</v>
      </c>
      <c r="E211" s="1" t="n">
        <v>46226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46226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46226</v>
      </c>
      <c r="F213" t="inlineStr">
        <is>
          <t>SÖDERMANLANDS LÄN</t>
        </is>
      </c>
      <c r="G213" t="inlineStr">
        <is>
          <t>NYKÖPING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45574-2021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44440</v>
      </c>
      <c r="E214" s="1" t="n">
        <v>46226</v>
      </c>
      <c r="F214" t="inlineStr">
        <is>
          <t>SÖDERMANLANDS LÄN</t>
        </is>
      </c>
      <c r="G214" t="inlineStr">
        <is>
          <t>NYKÖPING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46226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46226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44719</v>
      </c>
      <c r="E217" s="1" t="n">
        <v>46226</v>
      </c>
      <c r="F217" t="inlineStr">
        <is>
          <t>SÖDERMANLANDS LÄN</t>
        </is>
      </c>
      <c r="G217" t="inlineStr">
        <is>
          <t>NYKÖPING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41437-2021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46226</v>
      </c>
      <c r="F218" t="inlineStr">
        <is>
          <t>SÖDERMANLANDS LÄN</t>
        </is>
      </c>
      <c r="G218" t="inlineStr">
        <is>
          <t>NYKÖPING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46226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46226</v>
      </c>
      <c r="F220" t="inlineStr">
        <is>
          <t>SÖDERMANLANDS LÄN</t>
        </is>
      </c>
      <c r="G220" t="inlineStr">
        <is>
          <t>NYKÖPING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46226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46226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46226</v>
      </c>
      <c r="F223" t="inlineStr">
        <is>
          <t>SÖDERMANLANDS LÄN</t>
        </is>
      </c>
      <c r="G223" t="inlineStr">
        <is>
          <t>NYKÖPING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46226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46226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44475</v>
      </c>
      <c r="E226" s="1" t="n">
        <v>46226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46226</v>
      </c>
      <c r="F227" t="inlineStr">
        <is>
          <t>SÖDERMANLANDS LÄN</t>
        </is>
      </c>
      <c r="G227" t="inlineStr">
        <is>
          <t>NYKÖPING</t>
        </is>
      </c>
      <c r="I227" t="n">
        <v>30.2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44627</v>
      </c>
      <c r="E228" s="1" t="n">
        <v>46226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Aktiebolag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44505</v>
      </c>
      <c r="E229" s="1" t="n">
        <v>46226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52045-2021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46226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52055-2021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44462</v>
      </c>
      <c r="E231" s="1" t="n">
        <v>46226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46226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46226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46226</v>
      </c>
      <c r="F234" t="inlineStr">
        <is>
          <t>SÖDERMANLANDS LÄN</t>
        </is>
      </c>
      <c r="G234" t="inlineStr">
        <is>
          <t>NYKÖPING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46226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45424</v>
      </c>
      <c r="E236" s="1" t="n">
        <v>46226</v>
      </c>
      <c r="F236" t="inlineStr">
        <is>
          <t>SÖDERMANLANDS LÄN</t>
        </is>
      </c>
      <c r="G236" t="inlineStr">
        <is>
          <t>NYKÖPING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49942-2022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46226</v>
      </c>
      <c r="F237" t="inlineStr">
        <is>
          <t>SÖDERMANLANDS LÄN</t>
        </is>
      </c>
      <c r="G237" t="inlineStr">
        <is>
          <t>NYKÖPING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46226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59613-2021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44491</v>
      </c>
      <c r="E239" s="1" t="n">
        <v>46226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46226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64099-2021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46226</v>
      </c>
      <c r="F241" t="inlineStr">
        <is>
          <t>SÖDERMANLANDS LÄN</t>
        </is>
      </c>
      <c r="G241" t="inlineStr">
        <is>
          <t>NYKÖPING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46226</v>
      </c>
      <c r="F242" t="inlineStr">
        <is>
          <t>SÖDERMANLANDS LÄN</t>
        </is>
      </c>
      <c r="G242" t="inlineStr">
        <is>
          <t>NYKÖPING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46226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46226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46226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45143</v>
      </c>
      <c r="E246" s="1" t="n">
        <v>46226</v>
      </c>
      <c r="F246" t="inlineStr">
        <is>
          <t>SÖDERMANLANDS LÄN</t>
        </is>
      </c>
      <c r="G246" t="inlineStr">
        <is>
          <t>NYKÖPING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46226</v>
      </c>
      <c r="F247" t="inlineStr">
        <is>
          <t>SÖDERMANLANDS LÄN</t>
        </is>
      </c>
      <c r="G247" t="inlineStr">
        <is>
          <t>NYKÖPING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46226</v>
      </c>
      <c r="F248" t="inlineStr">
        <is>
          <t>SÖDERMANLANDS LÄN</t>
        </is>
      </c>
      <c r="G248" t="inlineStr">
        <is>
          <t>NYKÖPING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45378</v>
      </c>
      <c r="E249" s="1" t="n">
        <v>46226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46226</v>
      </c>
      <c r="F250" t="inlineStr">
        <is>
          <t>SÖDERMANLANDS LÄN</t>
        </is>
      </c>
      <c r="G250" t="inlineStr">
        <is>
          <t>NYKÖPING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44582</v>
      </c>
      <c r="E251" s="1" t="n">
        <v>46226</v>
      </c>
      <c r="F251" t="inlineStr">
        <is>
          <t>SÖDERMANLANDS LÄN</t>
        </is>
      </c>
      <c r="G251" t="inlineStr">
        <is>
          <t>NYKÖPING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46226</v>
      </c>
      <c r="F252" t="inlineStr">
        <is>
          <t>SÖDERMANLANDS LÄN</t>
        </is>
      </c>
      <c r="G252" t="inlineStr">
        <is>
          <t>NYKÖPING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45352</v>
      </c>
      <c r="E253" s="1" t="n">
        <v>46226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45930-2022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46226</v>
      </c>
      <c r="F254" t="inlineStr">
        <is>
          <t>SÖDERMANLANDS LÄN</t>
        </is>
      </c>
      <c r="G254" t="inlineStr">
        <is>
          <t>NYKÖPING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44454</v>
      </c>
      <c r="E255" s="1" t="n">
        <v>46226</v>
      </c>
      <c r="F255" t="inlineStr">
        <is>
          <t>SÖDERMANLANDS LÄN</t>
        </is>
      </c>
      <c r="G255" t="inlineStr">
        <is>
          <t>NYKÖPING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45201</v>
      </c>
      <c r="E256" s="1" t="n">
        <v>46226</v>
      </c>
      <c r="F256" t="inlineStr">
        <is>
          <t>SÖDERMANLANDS LÄN</t>
        </is>
      </c>
      <c r="G256" t="inlineStr">
        <is>
          <t>NYKÖPING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46226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46226</v>
      </c>
      <c r="F258" t="inlineStr">
        <is>
          <t>SÖDERMANLANDS LÄN</t>
        </is>
      </c>
      <c r="G258" t="inlineStr">
        <is>
          <t>NYKÖPING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44839</v>
      </c>
      <c r="E259" s="1" t="n">
        <v>46226</v>
      </c>
      <c r="F259" t="inlineStr">
        <is>
          <t>SÖDERMANLANDS LÄN</t>
        </is>
      </c>
      <c r="G259" t="inlineStr">
        <is>
          <t>NYKÖPING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46226</v>
      </c>
      <c r="F260" t="inlineStr">
        <is>
          <t>SÖDERMANLANDS LÄN</t>
        </is>
      </c>
      <c r="G260" t="inlineStr">
        <is>
          <t>NYKÖPING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45037</v>
      </c>
      <c r="E261" s="1" t="n">
        <v>46226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46226</v>
      </c>
      <c r="F262" t="inlineStr">
        <is>
          <t>SÖDERMANLANDS LÄN</t>
        </is>
      </c>
      <c r="G262" t="inlineStr">
        <is>
          <t>NYKÖPING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45044</v>
      </c>
      <c r="E263" s="1" t="n">
        <v>46226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46226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45419</v>
      </c>
      <c r="E265" s="1" t="n">
        <v>46226</v>
      </c>
      <c r="F265" t="inlineStr">
        <is>
          <t>SÖDERMANLANDS LÄN</t>
        </is>
      </c>
      <c r="G265" t="inlineStr">
        <is>
          <t>NYKÖPING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44733</v>
      </c>
      <c r="E266" s="1" t="n">
        <v>46226</v>
      </c>
      <c r="F266" t="inlineStr">
        <is>
          <t>SÖDERMANLANDS LÄN</t>
        </is>
      </c>
      <c r="G266" t="inlineStr">
        <is>
          <t>NYKÖPING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45424</v>
      </c>
      <c r="E267" s="1" t="n">
        <v>46226</v>
      </c>
      <c r="F267" t="inlineStr">
        <is>
          <t>SÖDERMANLANDS LÄN</t>
        </is>
      </c>
      <c r="G267" t="inlineStr">
        <is>
          <t>NYKÖPING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46226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46226</v>
      </c>
      <c r="F269" t="inlineStr">
        <is>
          <t>SÖDERMANLANDS LÄN</t>
        </is>
      </c>
      <c r="G269" t="inlineStr">
        <is>
          <t>NYKÖPING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44968</v>
      </c>
      <c r="E270" s="1" t="n">
        <v>46226</v>
      </c>
      <c r="F270" t="inlineStr">
        <is>
          <t>SÖDERMANLANDS LÄN</t>
        </is>
      </c>
      <c r="G270" t="inlineStr">
        <is>
          <t>NYKÖPING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46226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46226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45148</v>
      </c>
      <c r="E273" s="1" t="n">
        <v>46226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Kommuner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44990</v>
      </c>
      <c r="E274" s="1" t="n">
        <v>46226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46226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Övriga Aktiebolag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46226</v>
      </c>
      <c r="F276" t="inlineStr">
        <is>
          <t>SÖDERMANLANDS LÄN</t>
        </is>
      </c>
      <c r="G276" t="inlineStr">
        <is>
          <t>NYKÖPING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46226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46226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46226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46226</v>
      </c>
      <c r="F280" t="inlineStr">
        <is>
          <t>SÖDERMANLANDS LÄN</t>
        </is>
      </c>
      <c r="G280" t="inlineStr">
        <is>
          <t>NYKÖPING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68401-2021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46226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16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67736-2021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44525</v>
      </c>
      <c r="E282" s="1" t="n">
        <v>46226</v>
      </c>
      <c r="F282" t="inlineStr">
        <is>
          <t>SÖDERMANLANDS LÄN</t>
        </is>
      </c>
      <c r="G282" t="inlineStr">
        <is>
          <t>NYKÖPING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46226</v>
      </c>
      <c r="F283" t="inlineStr">
        <is>
          <t>SÖDERMANLANDS LÄN</t>
        </is>
      </c>
      <c r="G283" t="inlineStr">
        <is>
          <t>NYKÖPING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46226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Kommuner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65109-2021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44515</v>
      </c>
      <c r="E285" s="1" t="n">
        <v>46226</v>
      </c>
      <c r="F285" t="inlineStr">
        <is>
          <t>SÖDERMANLANDS LÄN</t>
        </is>
      </c>
      <c r="G285" t="inlineStr">
        <is>
          <t>NYKÖPING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72117-2021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44543</v>
      </c>
      <c r="E286" s="1" t="n">
        <v>46226</v>
      </c>
      <c r="F286" t="inlineStr">
        <is>
          <t>SÖDERMANLANDS LÄN</t>
        </is>
      </c>
      <c r="G286" t="inlineStr">
        <is>
          <t>NYKÖPING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46226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46226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Kommuner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41137-2022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46226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44965</v>
      </c>
      <c r="E290" s="1" t="n">
        <v>46226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Kyrkan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45545</v>
      </c>
      <c r="E291" s="1" t="n">
        <v>46226</v>
      </c>
      <c r="F291" t="inlineStr">
        <is>
          <t>SÖDERMANLANDS LÄN</t>
        </is>
      </c>
      <c r="G291" t="inlineStr">
        <is>
          <t>NYKÖPING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46226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46226</v>
      </c>
      <c r="F293" t="inlineStr">
        <is>
          <t>SÖDERMANLANDS LÄN</t>
        </is>
      </c>
      <c r="G293" t="inlineStr">
        <is>
          <t>NYKÖPING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10435-2022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44623</v>
      </c>
      <c r="E294" s="1" t="n">
        <v>46226</v>
      </c>
      <c r="F294" t="inlineStr">
        <is>
          <t>SÖDERMANLANDS LÄN</t>
        </is>
      </c>
      <c r="G294" t="inlineStr">
        <is>
          <t>NYKÖPING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44879</v>
      </c>
      <c r="E295" s="1" t="n">
        <v>46226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Övriga Aktiebolag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46226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44649</v>
      </c>
      <c r="E297" s="1" t="n">
        <v>46226</v>
      </c>
      <c r="F297" t="inlineStr">
        <is>
          <t>SÖDERMANLANDS LÄN</t>
        </is>
      </c>
      <c r="G297" t="inlineStr">
        <is>
          <t>NYKÖPING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44744</v>
      </c>
      <c r="E298" s="1" t="n">
        <v>46226</v>
      </c>
      <c r="F298" t="inlineStr">
        <is>
          <t>SÖDERMANLANDS LÄN</t>
        </is>
      </c>
      <c r="G298" t="inlineStr">
        <is>
          <t>NYKÖPING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46226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Kyrkan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45729</v>
      </c>
      <c r="E300" s="1" t="n">
        <v>46226</v>
      </c>
      <c r="F300" t="inlineStr">
        <is>
          <t>SÖDERMANLANDS LÄN</t>
        </is>
      </c>
      <c r="G300" t="inlineStr">
        <is>
          <t>NYKÖPING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46226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45163</v>
      </c>
      <c r="E302" s="1" t="n">
        <v>46226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45145</v>
      </c>
      <c r="E303" s="1" t="n">
        <v>46226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46226</v>
      </c>
      <c r="F304" t="inlineStr">
        <is>
          <t>SÖDERMANLANDS LÄN</t>
        </is>
      </c>
      <c r="G304" t="inlineStr">
        <is>
          <t>NYKÖPING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46226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16981-2023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45033</v>
      </c>
      <c r="E306" s="1" t="n">
        <v>46226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46226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53335-2023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45229</v>
      </c>
      <c r="E308" s="1" t="n">
        <v>46226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46226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46226</v>
      </c>
      <c r="F310" t="inlineStr">
        <is>
          <t>SÖDERMANLANDS LÄN</t>
        </is>
      </c>
      <c r="G310" t="inlineStr">
        <is>
          <t>NYKÖPING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45518</v>
      </c>
      <c r="E311" s="1" t="n">
        <v>46226</v>
      </c>
      <c r="F311" t="inlineStr">
        <is>
          <t>SÖDERMANLANDS LÄN</t>
        </is>
      </c>
      <c r="G311" t="inlineStr">
        <is>
          <t>NYKÖPING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46226</v>
      </c>
      <c r="F312" t="inlineStr">
        <is>
          <t>SÖDERMANLANDS LÄN</t>
        </is>
      </c>
      <c r="G312" t="inlineStr">
        <is>
          <t>NYKÖPING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45132</v>
      </c>
      <c r="E313" s="1" t="n">
        <v>46226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46226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46226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46226</v>
      </c>
      <c r="F316" t="inlineStr">
        <is>
          <t>SÖDERMANLANDS LÄN</t>
        </is>
      </c>
      <c r="G316" t="inlineStr">
        <is>
          <t>NYKÖPING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44425</v>
      </c>
      <c r="E317" s="1" t="n">
        <v>46226</v>
      </c>
      <c r="F317" t="inlineStr">
        <is>
          <t>SÖDERMANLANDS LÄN</t>
        </is>
      </c>
      <c r="G317" t="inlineStr">
        <is>
          <t>NYKÖPING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44433</v>
      </c>
      <c r="E318" s="1" t="n">
        <v>46226</v>
      </c>
      <c r="F318" t="inlineStr">
        <is>
          <t>SÖDERMANLANDS LÄN</t>
        </is>
      </c>
      <c r="G318" t="inlineStr">
        <is>
          <t>NYKÖPING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46226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46226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46226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46226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46226</v>
      </c>
      <c r="F323" t="inlineStr">
        <is>
          <t>SÖDERMANLANDS LÄN</t>
        </is>
      </c>
      <c r="G323" t="inlineStr">
        <is>
          <t>NYKÖPING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45216</v>
      </c>
      <c r="E324" s="1" t="n">
        <v>46226</v>
      </c>
      <c r="F324" t="inlineStr">
        <is>
          <t>SÖDERMANLANDS LÄN</t>
        </is>
      </c>
      <c r="G324" t="inlineStr">
        <is>
          <t>NYKÖPING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46226</v>
      </c>
      <c r="F325" t="inlineStr">
        <is>
          <t>SÖDERMANLANDS LÄN</t>
        </is>
      </c>
      <c r="G325" t="inlineStr">
        <is>
          <t>NYKÖPING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44976</v>
      </c>
      <c r="E326" s="1" t="n">
        <v>46226</v>
      </c>
      <c r="F326" t="inlineStr">
        <is>
          <t>SÖDERMANLANDS LÄN</t>
        </is>
      </c>
      <c r="G326" t="inlineStr">
        <is>
          <t>NYKÖPING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44867</v>
      </c>
      <c r="E327" s="1" t="n">
        <v>46226</v>
      </c>
      <c r="F327" t="inlineStr">
        <is>
          <t>SÖDERMANLANDS LÄN</t>
        </is>
      </c>
      <c r="G327" t="inlineStr">
        <is>
          <t>NYKÖPING</t>
        </is>
      </c>
      <c r="I327" t="n">
        <v>13.4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45819</v>
      </c>
      <c r="E328" s="1" t="n">
        <v>46226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46226</v>
      </c>
      <c r="F329" t="inlineStr">
        <is>
          <t>SÖDERMANLANDS LÄN</t>
        </is>
      </c>
      <c r="G329" t="inlineStr">
        <is>
          <t>NYKÖPING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46226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Kommuner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46226</v>
      </c>
      <c r="F331" t="inlineStr">
        <is>
          <t>SÖDERMANLANDS LÄN</t>
        </is>
      </c>
      <c r="G331" t="inlineStr">
        <is>
          <t>NYKÖPING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68401-2021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44529</v>
      </c>
      <c r="E332" s="1" t="n">
        <v>46226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16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18604-2023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45043</v>
      </c>
      <c r="E333" s="1" t="n">
        <v>46226</v>
      </c>
      <c r="F333" t="inlineStr">
        <is>
          <t>SÖDERMANLANDS LÄN</t>
        </is>
      </c>
      <c r="G333" t="inlineStr">
        <is>
          <t>NYKÖPING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46071</v>
      </c>
      <c r="E334" s="1" t="n">
        <v>46226</v>
      </c>
      <c r="F334" t="inlineStr">
        <is>
          <t>SÖDERMANLANDS LÄN</t>
        </is>
      </c>
      <c r="G334" t="inlineStr">
        <is>
          <t>NYKÖPING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46226</v>
      </c>
      <c r="F335" t="inlineStr">
        <is>
          <t>SÖDERMANLANDS LÄN</t>
        </is>
      </c>
      <c r="G335" t="inlineStr">
        <is>
          <t>NYKÖPING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46226</v>
      </c>
      <c r="F336" t="inlineStr">
        <is>
          <t>SÖDERMANLANDS LÄN</t>
        </is>
      </c>
      <c r="G336" t="inlineStr">
        <is>
          <t>NYKÖPING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45359</v>
      </c>
      <c r="E337" s="1" t="n">
        <v>46226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46226</v>
      </c>
      <c r="F338" t="inlineStr">
        <is>
          <t>SÖDERMANLANDS LÄN</t>
        </is>
      </c>
      <c r="G338" t="inlineStr">
        <is>
          <t>NYKÖPING</t>
        </is>
      </c>
      <c r="I338" t="n">
        <v>15.2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46226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45854</v>
      </c>
      <c r="E340" s="1" t="n">
        <v>46226</v>
      </c>
      <c r="F340" t="inlineStr">
        <is>
          <t>SÖDERMANLANDS LÄN</t>
        </is>
      </c>
      <c r="G340" t="inlineStr">
        <is>
          <t>NYKÖPING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45743</v>
      </c>
      <c r="E341" s="1" t="n">
        <v>46226</v>
      </c>
      <c r="F341" t="inlineStr">
        <is>
          <t>SÖDERMANLANDS LÄN</t>
        </is>
      </c>
      <c r="G341" t="inlineStr">
        <is>
          <t>NYKÖPING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44510</v>
      </c>
      <c r="E342" s="1" t="n">
        <v>46226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46226</v>
      </c>
      <c r="F343" t="inlineStr">
        <is>
          <t>SÖDERMANLANDS LÄN</t>
        </is>
      </c>
      <c r="G343" t="inlineStr">
        <is>
          <t>NYKÖPING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46226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46226</v>
      </c>
      <c r="F345" t="inlineStr">
        <is>
          <t>SÖDERMANLANDS LÄN</t>
        </is>
      </c>
      <c r="G345" t="inlineStr">
        <is>
          <t>NYKÖPING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46226</v>
      </c>
      <c r="F346" t="inlineStr">
        <is>
          <t>SÖDERMANLANDS LÄN</t>
        </is>
      </c>
      <c r="G346" t="inlineStr">
        <is>
          <t>NYKÖPING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45685</v>
      </c>
      <c r="E347" s="1" t="n">
        <v>46226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9.800000000000001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44579</v>
      </c>
      <c r="E348" s="1" t="n">
        <v>46226</v>
      </c>
      <c r="F348" t="inlineStr">
        <is>
          <t>SÖDERMANLANDS LÄN</t>
        </is>
      </c>
      <c r="G348" t="inlineStr">
        <is>
          <t>NYKÖPING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46226</v>
      </c>
      <c r="F349" t="inlineStr">
        <is>
          <t>SÖDERMANLANDS LÄN</t>
        </is>
      </c>
      <c r="G349" t="inlineStr">
        <is>
          <t>NYKÖPING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46226</v>
      </c>
      <c r="F350" t="inlineStr">
        <is>
          <t>SÖDERMANLANDS LÄN</t>
        </is>
      </c>
      <c r="G350" t="inlineStr">
        <is>
          <t>NYKÖPING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46226</v>
      </c>
      <c r="F351" t="inlineStr">
        <is>
          <t>SÖDERMANLANDS LÄN</t>
        </is>
      </c>
      <c r="G351" t="inlineStr">
        <is>
          <t>NYKÖPING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46226</v>
      </c>
      <c r="F352" t="inlineStr">
        <is>
          <t>SÖDERMANLANDS LÄN</t>
        </is>
      </c>
      <c r="G352" t="inlineStr">
        <is>
          <t>NYKÖPING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45082</v>
      </c>
      <c r="E353" s="1" t="n">
        <v>46226</v>
      </c>
      <c r="F353" t="inlineStr">
        <is>
          <t>SÖDERMANLANDS LÄN</t>
        </is>
      </c>
      <c r="G353" t="inlineStr">
        <is>
          <t>NYKÖPING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46226</v>
      </c>
      <c r="F354" t="inlineStr">
        <is>
          <t>SÖDERMANLANDS LÄN</t>
        </is>
      </c>
      <c r="G354" t="inlineStr">
        <is>
          <t>NYKÖPING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46226</v>
      </c>
      <c r="F355" t="inlineStr">
        <is>
          <t>SÖDERMANLANDS LÄN</t>
        </is>
      </c>
      <c r="G355" t="inlineStr">
        <is>
          <t>NYKÖPING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44810</v>
      </c>
      <c r="E356" s="1" t="n">
        <v>46226</v>
      </c>
      <c r="F356" t="inlineStr">
        <is>
          <t>SÖDERMANLANDS LÄN</t>
        </is>
      </c>
      <c r="G356" t="inlineStr">
        <is>
          <t>NYKÖPING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46226</v>
      </c>
      <c r="F357" t="inlineStr">
        <is>
          <t>SÖDERMANLANDS LÄN</t>
        </is>
      </c>
      <c r="G357" t="inlineStr">
        <is>
          <t>NYKÖPING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46226</v>
      </c>
      <c r="F358" t="inlineStr">
        <is>
          <t>SÖDERMANLANDS LÄN</t>
        </is>
      </c>
      <c r="G358" t="inlineStr">
        <is>
          <t>NYKÖPING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46226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9842-2022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44620</v>
      </c>
      <c r="E360" s="1" t="n">
        <v>46226</v>
      </c>
      <c r="F360" t="inlineStr">
        <is>
          <t>SÖDERMANLANDS LÄN</t>
        </is>
      </c>
      <c r="G360" t="inlineStr">
        <is>
          <t>NYKÖPING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46226</v>
      </c>
      <c r="F361" t="inlineStr">
        <is>
          <t>SÖDERMANLANDS LÄN</t>
        </is>
      </c>
      <c r="G361" t="inlineStr">
        <is>
          <t>NYKÖPING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45001</v>
      </c>
      <c r="E362" s="1" t="n">
        <v>46226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Kyrkan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46226</v>
      </c>
      <c r="F363" t="inlineStr">
        <is>
          <t>SÖDERMANLANDS LÄN</t>
        </is>
      </c>
      <c r="G363" t="inlineStr">
        <is>
          <t>NYKÖPING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46226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46226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44811</v>
      </c>
      <c r="E366" s="1" t="n">
        <v>46226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46226</v>
      </c>
      <c r="F367" t="inlineStr">
        <is>
          <t>SÖDERMANLANDS LÄN</t>
        </is>
      </c>
      <c r="G367" t="inlineStr">
        <is>
          <t>NYKÖPING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46226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31034-2025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45831</v>
      </c>
      <c r="E369" s="1" t="n">
        <v>46226</v>
      </c>
      <c r="F369" t="inlineStr">
        <is>
          <t>SÖDERMANLANDS LÄN</t>
        </is>
      </c>
      <c r="G369" t="inlineStr">
        <is>
          <t>NYKÖPING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31392-2022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44774</v>
      </c>
      <c r="E370" s="1" t="n">
        <v>46226</v>
      </c>
      <c r="F370" t="inlineStr">
        <is>
          <t>SÖDERMANLANDS LÄN</t>
        </is>
      </c>
      <c r="G370" t="inlineStr">
        <is>
          <t>NYKÖPING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39120-2022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44817</v>
      </c>
      <c r="E371" s="1" t="n">
        <v>46226</v>
      </c>
      <c r="F371" t="inlineStr">
        <is>
          <t>SÖDERMANLANDS LÄN</t>
        </is>
      </c>
      <c r="G371" t="inlineStr">
        <is>
          <t>NYKÖPING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46226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Sveaskog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46226</v>
      </c>
      <c r="F373" t="inlineStr">
        <is>
          <t>SÖDERMANLANDS LÄN</t>
        </is>
      </c>
      <c r="G373" t="inlineStr">
        <is>
          <t>NYKÖPING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45855</v>
      </c>
      <c r="E374" s="1" t="n">
        <v>46226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6392-2023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44965</v>
      </c>
      <c r="E375" s="1" t="n">
        <v>46226</v>
      </c>
      <c r="F375" t="inlineStr">
        <is>
          <t>SÖDERMANLANDS LÄN</t>
        </is>
      </c>
      <c r="G375" t="inlineStr">
        <is>
          <t>NYKÖPING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35415-2025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45855</v>
      </c>
      <c r="E376" s="1" t="n">
        <v>46226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46226</v>
      </c>
      <c r="F377" t="inlineStr">
        <is>
          <t>SÖDERMANLANDS LÄN</t>
        </is>
      </c>
      <c r="G377" t="inlineStr">
        <is>
          <t>NYKÖPING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46226</v>
      </c>
      <c r="F378" t="inlineStr">
        <is>
          <t>SÖDERMANLANDS LÄN</t>
        </is>
      </c>
      <c r="G378" t="inlineStr">
        <is>
          <t>NYKÖPING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46226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35467-2025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46226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46226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Aktiebolag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46226</v>
      </c>
      <c r="F382" t="inlineStr">
        <is>
          <t>SÖDERMANLANDS LÄN</t>
        </is>
      </c>
      <c r="G382" t="inlineStr">
        <is>
          <t>NYKÖPING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46226</v>
      </c>
      <c r="F383" t="inlineStr">
        <is>
          <t>SÖDERMANLANDS LÄN</t>
        </is>
      </c>
      <c r="G383" t="inlineStr">
        <is>
          <t>NYKÖPING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46226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31922-2025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45834</v>
      </c>
      <c r="E385" s="1" t="n">
        <v>46226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43952-2022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44838</v>
      </c>
      <c r="E386" s="1" t="n">
        <v>46226</v>
      </c>
      <c r="F386" t="inlineStr">
        <is>
          <t>SÖDERMANLANDS LÄN</t>
        </is>
      </c>
      <c r="G386" t="inlineStr">
        <is>
          <t>NYKÖPING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46226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44820-2022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46226</v>
      </c>
      <c r="F388" t="inlineStr">
        <is>
          <t>SÖDERMANLANDS LÄN</t>
        </is>
      </c>
      <c r="G388" t="inlineStr">
        <is>
          <t>NYKÖPING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44908-2022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44840</v>
      </c>
      <c r="E389" s="1" t="n">
        <v>46226</v>
      </c>
      <c r="F389" t="inlineStr">
        <is>
          <t>SÖDERMANLANDS LÄN</t>
        </is>
      </c>
      <c r="G389" t="inlineStr">
        <is>
          <t>NYKÖPING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44711</v>
      </c>
      <c r="E390" s="1" t="n">
        <v>46226</v>
      </c>
      <c r="F390" t="inlineStr">
        <is>
          <t>SÖDERMANLANDS LÄN</t>
        </is>
      </c>
      <c r="G390" t="inlineStr">
        <is>
          <t>NYKÖPING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44965</v>
      </c>
      <c r="E391" s="1" t="n">
        <v>46226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Kyrkan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45365</v>
      </c>
      <c r="E392" s="1" t="n">
        <v>46226</v>
      </c>
      <c r="F392" t="inlineStr">
        <is>
          <t>SÖDERMANLANDS LÄN</t>
        </is>
      </c>
      <c r="G392" t="inlineStr">
        <is>
          <t>NYKÖPING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31923-2025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45834</v>
      </c>
      <c r="E393" s="1" t="n">
        <v>46226</v>
      </c>
      <c r="F393" t="inlineStr">
        <is>
          <t>SÖDERMANLANDS LÄN</t>
        </is>
      </c>
      <c r="G393" t="inlineStr">
        <is>
          <t>NYKÖPING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45834</v>
      </c>
      <c r="E394" s="1" t="n">
        <v>46226</v>
      </c>
      <c r="F394" t="inlineStr">
        <is>
          <t>SÖDERMANLANDS LÄN</t>
        </is>
      </c>
      <c r="G394" t="inlineStr">
        <is>
          <t>NYKÖPING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44967</v>
      </c>
      <c r="E395" s="1" t="n">
        <v>46226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49613-2025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46226</v>
      </c>
      <c r="F396" t="inlineStr">
        <is>
          <t>SÖDERMANLANDS LÄN</t>
        </is>
      </c>
      <c r="G396" t="inlineStr">
        <is>
          <t>NYKÖPING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46226</v>
      </c>
      <c r="F397" t="inlineStr">
        <is>
          <t>SÖDERMANLANDS LÄN</t>
        </is>
      </c>
      <c r="G397" t="inlineStr">
        <is>
          <t>NYKÖPING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46226</v>
      </c>
      <c r="F398" t="inlineStr">
        <is>
          <t>SÖDERMANLANDS LÄN</t>
        </is>
      </c>
      <c r="G398" t="inlineStr">
        <is>
          <t>NYKÖPING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46226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46226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Kyrkan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46226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Kyrkan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50158-2022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46226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41353-2025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45900</v>
      </c>
      <c r="E403" s="1" t="n">
        <v>46226</v>
      </c>
      <c r="F403" t="inlineStr">
        <is>
          <t>SÖDERMANLANDS LÄN</t>
        </is>
      </c>
      <c r="G403" t="inlineStr">
        <is>
          <t>NYKÖPING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39429-2021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44414</v>
      </c>
      <c r="E404" s="1" t="n">
        <v>46226</v>
      </c>
      <c r="F404" t="inlineStr">
        <is>
          <t>SÖDERMANLANDS LÄN</t>
        </is>
      </c>
      <c r="G404" t="inlineStr">
        <is>
          <t>NYKÖPING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46226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46226</v>
      </c>
      <c r="F406" t="inlineStr">
        <is>
          <t>SÖDERMANLANDS LÄN</t>
        </is>
      </c>
      <c r="G406" t="inlineStr">
        <is>
          <t>NYKÖPING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34218-2024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45524</v>
      </c>
      <c r="E407" s="1" t="n">
        <v>46226</v>
      </c>
      <c r="F407" t="inlineStr">
        <is>
          <t>SÖDERMANLANDS LÄN</t>
        </is>
      </c>
      <c r="G407" t="inlineStr">
        <is>
          <t>NYKÖPING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46226</v>
      </c>
      <c r="F408" t="inlineStr">
        <is>
          <t>SÖDERMANLANDS LÄN</t>
        </is>
      </c>
      <c r="G408" t="inlineStr">
        <is>
          <t>NYKÖPING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46226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45559</v>
      </c>
      <c r="E410" s="1" t="n">
        <v>46226</v>
      </c>
      <c r="F410" t="inlineStr">
        <is>
          <t>SÖDERMANLANDS LÄN</t>
        </is>
      </c>
      <c r="G410" t="inlineStr">
        <is>
          <t>NYKÖPING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52572-2025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46226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46226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45842</v>
      </c>
      <c r="E413" s="1" t="n">
        <v>46226</v>
      </c>
      <c r="F413" t="inlineStr">
        <is>
          <t>SÖDERMANLANDS LÄN</t>
        </is>
      </c>
      <c r="G413" t="inlineStr">
        <is>
          <t>NYKÖPING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46226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47370-2022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46226</v>
      </c>
      <c r="F415" t="inlineStr">
        <is>
          <t>SÖDERMANLANDS LÄN</t>
        </is>
      </c>
      <c r="G415" t="inlineStr">
        <is>
          <t>NYKÖPING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45842</v>
      </c>
      <c r="E416" s="1" t="n">
        <v>46226</v>
      </c>
      <c r="F416" t="inlineStr">
        <is>
          <t>SÖDERMANLANDS LÄN</t>
        </is>
      </c>
      <c r="G416" t="inlineStr">
        <is>
          <t>NYKÖPING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33767-2025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46226</v>
      </c>
      <c r="F417" t="inlineStr">
        <is>
          <t>SÖDERMANLANDS LÄN</t>
        </is>
      </c>
      <c r="G417" t="inlineStr">
        <is>
          <t>NYKÖPING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53738-2022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44880</v>
      </c>
      <c r="E418" s="1" t="n">
        <v>46226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45964</v>
      </c>
      <c r="E419" s="1" t="n">
        <v>46226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46226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45844</v>
      </c>
      <c r="E421" s="1" t="n">
        <v>46226</v>
      </c>
      <c r="F421" t="inlineStr">
        <is>
          <t>SÖDERMANLANDS LÄN</t>
        </is>
      </c>
      <c r="G421" t="inlineStr">
        <is>
          <t>NYKÖPING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45842</v>
      </c>
      <c r="E422" s="1" t="n">
        <v>46226</v>
      </c>
      <c r="F422" t="inlineStr">
        <is>
          <t>SÖDERMANLANDS LÄN</t>
        </is>
      </c>
      <c r="G422" t="inlineStr">
        <is>
          <t>NYKÖPING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46226</v>
      </c>
      <c r="F423" t="inlineStr">
        <is>
          <t>SÖDERMANLANDS LÄN</t>
        </is>
      </c>
      <c r="G423" t="inlineStr">
        <is>
          <t>NYKÖPING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45096</v>
      </c>
      <c r="E424" s="1" t="n">
        <v>46226</v>
      </c>
      <c r="F424" t="inlineStr">
        <is>
          <t>SÖDERMANLANDS LÄN</t>
        </is>
      </c>
      <c r="G424" t="inlineStr">
        <is>
          <t>NYKÖPING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70092-2021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44536</v>
      </c>
      <c r="E425" s="1" t="n">
        <v>46226</v>
      </c>
      <c r="F425" t="inlineStr">
        <is>
          <t>SÖDERMANLANDS LÄN</t>
        </is>
      </c>
      <c r="G425" t="inlineStr">
        <is>
          <t>NYKÖPING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18551-2024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45425</v>
      </c>
      <c r="E426" s="1" t="n">
        <v>46226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Kommuner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30907-2022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46226</v>
      </c>
      <c r="F427" t="inlineStr">
        <is>
          <t>SÖDERMANLANDS LÄN</t>
        </is>
      </c>
      <c r="G427" t="inlineStr">
        <is>
          <t>NYKÖPING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46226</v>
      </c>
      <c r="F428" t="inlineStr">
        <is>
          <t>SÖDERMANLANDS LÄN</t>
        </is>
      </c>
      <c r="G428" t="inlineStr">
        <is>
          <t>NYKÖPING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43880-2023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46226</v>
      </c>
      <c r="F429" t="inlineStr">
        <is>
          <t>SÖDERMANLANDS LÄN</t>
        </is>
      </c>
      <c r="G429" t="inlineStr">
        <is>
          <t>NYKÖPING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44676</v>
      </c>
      <c r="E430" s="1" t="n">
        <v>46226</v>
      </c>
      <c r="F430" t="inlineStr">
        <is>
          <t>SÖDERMANLANDS LÄN</t>
        </is>
      </c>
      <c r="G430" t="inlineStr">
        <is>
          <t>NYKÖPING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46226</v>
      </c>
      <c r="F431" t="inlineStr">
        <is>
          <t>SÖDERMANLANDS LÄN</t>
        </is>
      </c>
      <c r="G431" t="inlineStr">
        <is>
          <t>NYKÖPING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41748-2021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44425</v>
      </c>
      <c r="E432" s="1" t="n">
        <v>46226</v>
      </c>
      <c r="F432" t="inlineStr">
        <is>
          <t>SÖDERMANLANDS LÄN</t>
        </is>
      </c>
      <c r="G432" t="inlineStr">
        <is>
          <t>NYKÖPING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45970</v>
      </c>
      <c r="E433" s="1" t="n">
        <v>46226</v>
      </c>
      <c r="F433" t="inlineStr">
        <is>
          <t>SÖDERMANLANDS LÄN</t>
        </is>
      </c>
      <c r="G433" t="inlineStr">
        <is>
          <t>NYKÖPING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46226</v>
      </c>
      <c r="F434" t="inlineStr">
        <is>
          <t>SÖDERMANLANDS LÄN</t>
        </is>
      </c>
      <c r="G434" t="inlineStr">
        <is>
          <t>NYKÖPING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46226</v>
      </c>
      <c r="F435" t="inlineStr">
        <is>
          <t>SÖDERMANLANDS LÄN</t>
        </is>
      </c>
      <c r="G435" t="inlineStr">
        <is>
          <t>NYKÖPING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46226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Kommuner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44784</v>
      </c>
      <c r="E437" s="1" t="n">
        <v>46226</v>
      </c>
      <c r="F437" t="inlineStr">
        <is>
          <t>SÖDERMANLANDS LÄN</t>
        </is>
      </c>
      <c r="G437" t="inlineStr">
        <is>
          <t>NYKÖPING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73877-2021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44553</v>
      </c>
      <c r="E438" s="1" t="n">
        <v>46226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46226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44938</v>
      </c>
      <c r="E440" s="1" t="n">
        <v>46226</v>
      </c>
      <c r="F440" t="inlineStr">
        <is>
          <t>SÖDERMANLANDS LÄN</t>
        </is>
      </c>
      <c r="G440" t="inlineStr">
        <is>
          <t>NYKÖPING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45826</v>
      </c>
      <c r="E441" s="1" t="n">
        <v>46226</v>
      </c>
      <c r="F441" t="inlineStr">
        <is>
          <t>SÖDERMANLANDS LÄN</t>
        </is>
      </c>
      <c r="G441" t="inlineStr">
        <is>
          <t>NYKÖPING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54183-2022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44881</v>
      </c>
      <c r="E442" s="1" t="n">
        <v>46226</v>
      </c>
      <c r="F442" t="inlineStr">
        <is>
          <t>SÖDERMANLANDS LÄN</t>
        </is>
      </c>
      <c r="G442" t="inlineStr">
        <is>
          <t>NYKÖPING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46139</v>
      </c>
      <c r="E443" s="1" t="n">
        <v>46226</v>
      </c>
      <c r="F443" t="inlineStr">
        <is>
          <t>SÖDERMANLANDS LÄN</t>
        </is>
      </c>
      <c r="G443" t="inlineStr">
        <is>
          <t>NYKÖPING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46226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41099-2022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44825</v>
      </c>
      <c r="E445" s="1" t="n">
        <v>46226</v>
      </c>
      <c r="F445" t="inlineStr">
        <is>
          <t>SÖDERMANLANDS LÄN</t>
        </is>
      </c>
      <c r="G445" t="inlineStr">
        <is>
          <t>NYKÖPING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46226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44988</v>
      </c>
      <c r="E447" s="1" t="n">
        <v>46226</v>
      </c>
      <c r="F447" t="inlineStr">
        <is>
          <t>SÖDERMANLANDS LÄN</t>
        </is>
      </c>
      <c r="G447" t="inlineStr">
        <is>
          <t>NYKÖPING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46226</v>
      </c>
      <c r="F448" t="inlineStr">
        <is>
          <t>SÖDERMANLANDS LÄN</t>
        </is>
      </c>
      <c r="G448" t="inlineStr">
        <is>
          <t>NYKÖPING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45058</v>
      </c>
      <c r="E449" s="1" t="n">
        <v>46226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45860</v>
      </c>
      <c r="E450" s="1" t="n">
        <v>46226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41165-2024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46226</v>
      </c>
      <c r="F451" t="inlineStr">
        <is>
          <t>SÖDERMANLANDS LÄN</t>
        </is>
      </c>
      <c r="G451" t="inlineStr">
        <is>
          <t>NYKÖPING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46226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Sveaskog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51880-2023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46226</v>
      </c>
      <c r="F453" t="inlineStr">
        <is>
          <t>SÖDERMANLANDS LÄN</t>
        </is>
      </c>
      <c r="G453" t="inlineStr">
        <is>
          <t>NYKÖPING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46226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7496-2022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44607</v>
      </c>
      <c r="E455" s="1" t="n">
        <v>46226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46226</v>
      </c>
      <c r="F456" t="inlineStr">
        <is>
          <t>SÖDERMANLANDS LÄN</t>
        </is>
      </c>
      <c r="G456" t="inlineStr">
        <is>
          <t>NYKÖPING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46226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44995</v>
      </c>
      <c r="E458" s="1" t="n">
        <v>46226</v>
      </c>
      <c r="F458" t="inlineStr">
        <is>
          <t>SÖDERMANLANDS LÄN</t>
        </is>
      </c>
      <c r="G458" t="inlineStr">
        <is>
          <t>NYKÖPING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46226</v>
      </c>
      <c r="F459" t="inlineStr">
        <is>
          <t>SÖDERMANLANDS LÄN</t>
        </is>
      </c>
      <c r="G459" t="inlineStr">
        <is>
          <t>NYKÖPING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40635-2023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46226</v>
      </c>
      <c r="F460" t="inlineStr">
        <is>
          <t>SÖDERMANLANDS LÄN</t>
        </is>
      </c>
      <c r="G460" t="inlineStr">
        <is>
          <t>NYKÖPING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46226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Kyrkan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58788-2025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46226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Sveaskog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44944</v>
      </c>
      <c r="E463" s="1" t="n">
        <v>46226</v>
      </c>
      <c r="F463" t="inlineStr">
        <is>
          <t>SÖDERMANLANDS LÄN</t>
        </is>
      </c>
      <c r="G463" t="inlineStr">
        <is>
          <t>NYKÖPING</t>
        </is>
      </c>
      <c r="I463" t="n">
        <v>14.9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46226</v>
      </c>
      <c r="F464" t="inlineStr">
        <is>
          <t>SÖDERMANLANDS LÄN</t>
        </is>
      </c>
      <c r="G464" t="inlineStr">
        <is>
          <t>NYKÖPING</t>
        </is>
      </c>
      <c r="I464" t="n">
        <v>11.4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46226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Övriga Aktiebolag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47390-2025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45930</v>
      </c>
      <c r="E466" s="1" t="n">
        <v>46226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58786-2025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45986</v>
      </c>
      <c r="E467" s="1" t="n">
        <v>46226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22972-2023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46226</v>
      </c>
      <c r="F468" t="inlineStr">
        <is>
          <t>SÖDERMANLANDS LÄN</t>
        </is>
      </c>
      <c r="G468" t="inlineStr">
        <is>
          <t>NYKÖPING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49223-2022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46226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Övriga statliga verk och myndigheter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46226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46226</v>
      </c>
      <c r="F471" t="inlineStr">
        <is>
          <t>SÖDERMANLANDS LÄN</t>
        </is>
      </c>
      <c r="G471" t="inlineStr">
        <is>
          <t>NYKÖPING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46226</v>
      </c>
      <c r="F472" t="inlineStr">
        <is>
          <t>SÖDERMANLANDS LÄN</t>
        </is>
      </c>
      <c r="G472" t="inlineStr">
        <is>
          <t>NYKÖPING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46226</v>
      </c>
      <c r="F473" t="inlineStr">
        <is>
          <t>SÖDERMANLANDS LÄN</t>
        </is>
      </c>
      <c r="G473" t="inlineStr">
        <is>
          <t>NYKÖPING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59917-2025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46226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59995-2025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46226</v>
      </c>
      <c r="F475" t="inlineStr">
        <is>
          <t>SÖDERMANLANDS LÄN</t>
        </is>
      </c>
      <c r="G475" t="inlineStr">
        <is>
          <t>NYKÖPING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8006-2024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45350</v>
      </c>
      <c r="E476" s="1" t="n">
        <v>46226</v>
      </c>
      <c r="F476" t="inlineStr">
        <is>
          <t>SÖDERMANLANDS LÄN</t>
        </is>
      </c>
      <c r="G476" t="inlineStr">
        <is>
          <t>NYKÖPING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26561-2023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45092</v>
      </c>
      <c r="E477" s="1" t="n">
        <v>46226</v>
      </c>
      <c r="F477" t="inlineStr">
        <is>
          <t>SÖDERMANLANDS LÄN</t>
        </is>
      </c>
      <c r="G477" t="inlineStr">
        <is>
          <t>NYKÖPING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45729</v>
      </c>
      <c r="E478" s="1" t="n">
        <v>46226</v>
      </c>
      <c r="F478" t="inlineStr">
        <is>
          <t>SÖDERMANLANDS LÄN</t>
        </is>
      </c>
      <c r="G478" t="inlineStr">
        <is>
          <t>NYKÖPING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61253-2025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46226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Allmännings- och besparingsskogar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45999</v>
      </c>
      <c r="E480" s="1" t="n">
        <v>46226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Allmännings- och besparingsskogar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46226</v>
      </c>
      <c r="F481" t="inlineStr">
        <is>
          <t>SÖDERMANLANDS LÄN</t>
        </is>
      </c>
      <c r="G481" t="inlineStr">
        <is>
          <t>NYKÖPING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46226</v>
      </c>
      <c r="F482" t="inlineStr">
        <is>
          <t>SÖDERMANLANDS LÄN</t>
        </is>
      </c>
      <c r="G482" t="inlineStr">
        <is>
          <t>NYKÖPING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46001</v>
      </c>
      <c r="E483" s="1" t="n">
        <v>46226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45027</v>
      </c>
      <c r="E484" s="1" t="n">
        <v>46226</v>
      </c>
      <c r="F484" t="inlineStr">
        <is>
          <t>SÖDERMANLANDS LÄN</t>
        </is>
      </c>
      <c r="G484" t="inlineStr">
        <is>
          <t>NYKÖPING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45761</v>
      </c>
      <c r="E485" s="1" t="n">
        <v>46226</v>
      </c>
      <c r="F485" t="inlineStr">
        <is>
          <t>SÖDERMANLANDS LÄN</t>
        </is>
      </c>
      <c r="G485" t="inlineStr">
        <is>
          <t>NYKÖPING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45343</v>
      </c>
      <c r="E486" s="1" t="n">
        <v>46226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20497-2026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46140</v>
      </c>
      <c r="E487" s="1" t="n">
        <v>46226</v>
      </c>
      <c r="F487" t="inlineStr">
        <is>
          <t>SÖDERMANLANDS LÄN</t>
        </is>
      </c>
      <c r="G487" t="inlineStr">
        <is>
          <t>NYKÖPING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62323-2025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46226</v>
      </c>
      <c r="F488" t="inlineStr">
        <is>
          <t>SÖDERMANLANDS LÄN</t>
        </is>
      </c>
      <c r="G488" t="inlineStr">
        <is>
          <t>NYKÖPING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46226</v>
      </c>
      <c r="F489" t="inlineStr">
        <is>
          <t>SÖDERMANLANDS LÄN</t>
        </is>
      </c>
      <c r="G489" t="inlineStr">
        <is>
          <t>NYKÖPING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46226</v>
      </c>
      <c r="F490" t="inlineStr">
        <is>
          <t>SÖDERMANLANDS LÄN</t>
        </is>
      </c>
      <c r="G490" t="inlineStr">
        <is>
          <t>NYKÖPING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62517-2025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46007</v>
      </c>
      <c r="E491" s="1" t="n">
        <v>46226</v>
      </c>
      <c r="F491" t="inlineStr">
        <is>
          <t>SÖDERMANLANDS LÄN</t>
        </is>
      </c>
      <c r="G491" t="inlineStr">
        <is>
          <t>NYKÖPING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46226</v>
      </c>
      <c r="F492" t="inlineStr">
        <is>
          <t>SÖDERMANLANDS LÄN</t>
        </is>
      </c>
      <c r="G492" t="inlineStr">
        <is>
          <t>NYKÖPING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44650</v>
      </c>
      <c r="E493" s="1" t="n">
        <v>46226</v>
      </c>
      <c r="F493" t="inlineStr">
        <is>
          <t>SÖDERMANLANDS LÄN</t>
        </is>
      </c>
      <c r="G493" t="inlineStr">
        <is>
          <t>NYKÖPING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26993-2022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44740</v>
      </c>
      <c r="E494" s="1" t="n">
        <v>46226</v>
      </c>
      <c r="F494" t="inlineStr">
        <is>
          <t>SÖDERMANLANDS LÄN</t>
        </is>
      </c>
      <c r="G494" t="inlineStr">
        <is>
          <t>NYKÖPING</t>
        </is>
      </c>
      <c r="I494" t="n">
        <v>13.1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46226</v>
      </c>
      <c r="F495" t="inlineStr">
        <is>
          <t>SÖDERMANLANDS LÄN</t>
        </is>
      </c>
      <c r="G495" t="inlineStr">
        <is>
          <t>NYKÖPING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46226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62491-2025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46007</v>
      </c>
      <c r="E497" s="1" t="n">
        <v>46226</v>
      </c>
      <c r="F497" t="inlineStr">
        <is>
          <t>SÖDERMANLANDS LÄN</t>
        </is>
      </c>
      <c r="G497" t="inlineStr">
        <is>
          <t>NYKÖPING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45364</v>
      </c>
      <c r="E498" s="1" t="n">
        <v>46226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46226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46226</v>
      </c>
      <c r="F500" t="inlineStr">
        <is>
          <t>SÖDERMANLANDS LÄN</t>
        </is>
      </c>
      <c r="G500" t="inlineStr">
        <is>
          <t>NYKÖPING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46226</v>
      </c>
      <c r="F501" t="inlineStr">
        <is>
          <t>SÖDERMANLANDS LÄN</t>
        </is>
      </c>
      <c r="G501" t="inlineStr">
        <is>
          <t>NYKÖPING</t>
        </is>
      </c>
      <c r="I501" t="n">
        <v>7.9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46226</v>
      </c>
      <c r="F502" t="inlineStr">
        <is>
          <t>SÖDERMANLANDS LÄN</t>
        </is>
      </c>
      <c r="G502" t="inlineStr">
        <is>
          <t>NYKÖPING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46226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26841-2026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46226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46226</v>
      </c>
      <c r="F505" t="inlineStr">
        <is>
          <t>SÖDERMANLANDS LÄN</t>
        </is>
      </c>
      <c r="G505" t="inlineStr">
        <is>
          <t>NYKÖPING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45410</v>
      </c>
      <c r="E506" s="1" t="n">
        <v>46226</v>
      </c>
      <c r="F506" t="inlineStr">
        <is>
          <t>SÖDERMANLANDS LÄN</t>
        </is>
      </c>
      <c r="G506" t="inlineStr">
        <is>
          <t>NYKÖPING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42856-2021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44430</v>
      </c>
      <c r="E507" s="1" t="n">
        <v>46226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46226</v>
      </c>
      <c r="F508" t="inlineStr">
        <is>
          <t>SÖDERMANLANDS LÄN</t>
        </is>
      </c>
      <c r="G508" t="inlineStr">
        <is>
          <t>NYKÖPING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46226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46145</v>
      </c>
      <c r="E510" s="1" t="n">
        <v>46226</v>
      </c>
      <c r="F510" t="inlineStr">
        <is>
          <t>SÖDERMANLANDS LÄN</t>
        </is>
      </c>
      <c r="G510" t="inlineStr">
        <is>
          <t>NYKÖPING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38023-2021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44404</v>
      </c>
      <c r="E511" s="1" t="n">
        <v>46226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38029-2021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44404</v>
      </c>
      <c r="E512" s="1" t="n">
        <v>46226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71115-2021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44537</v>
      </c>
      <c r="E513" s="1" t="n">
        <v>46226</v>
      </c>
      <c r="F513" t="inlineStr">
        <is>
          <t>SÖDERMANLANDS LÄN</t>
        </is>
      </c>
      <c r="G513" t="inlineStr">
        <is>
          <t>NYKÖPING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46226</v>
      </c>
      <c r="F514" t="inlineStr">
        <is>
          <t>SÖDERMANLANDS LÄN</t>
        </is>
      </c>
      <c r="G514" t="inlineStr">
        <is>
          <t>NYKÖPING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46226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46226</v>
      </c>
      <c r="F516" t="inlineStr">
        <is>
          <t>SÖDERMANLANDS LÄN</t>
        </is>
      </c>
      <c r="G516" t="inlineStr">
        <is>
          <t>NYKÖPING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44783</v>
      </c>
      <c r="E517" s="1" t="n">
        <v>46226</v>
      </c>
      <c r="F517" t="inlineStr">
        <is>
          <t>SÖDERMANLANDS LÄN</t>
        </is>
      </c>
      <c r="G517" t="inlineStr">
        <is>
          <t>NYKÖPING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46226</v>
      </c>
      <c r="F518" t="inlineStr">
        <is>
          <t>SÖDERMANLANDS LÄN</t>
        </is>
      </c>
      <c r="G518" t="inlineStr">
        <is>
          <t>NYKÖPING</t>
        </is>
      </c>
      <c r="I518" t="n">
        <v>21.2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63246-2025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46010</v>
      </c>
      <c r="E519" s="1" t="n">
        <v>46226</v>
      </c>
      <c r="F519" t="inlineStr">
        <is>
          <t>SÖDERMANLANDS LÄN</t>
        </is>
      </c>
      <c r="G519" t="inlineStr">
        <is>
          <t>NYKÖPING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8573-2023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44977</v>
      </c>
      <c r="E520" s="1" t="n">
        <v>46226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Övriga Aktiebolag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43585-2022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44837</v>
      </c>
      <c r="E521" s="1" t="n">
        <v>46226</v>
      </c>
      <c r="F521" t="inlineStr">
        <is>
          <t>SÖDERMANLANDS LÄN</t>
        </is>
      </c>
      <c r="G521" t="inlineStr">
        <is>
          <t>NYKÖPING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45352</v>
      </c>
      <c r="E522" s="1" t="n">
        <v>46226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Sveaskog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46145</v>
      </c>
      <c r="E523" s="1" t="n">
        <v>46226</v>
      </c>
      <c r="F523" t="inlineStr">
        <is>
          <t>SÖDERMANLANDS LÄN</t>
        </is>
      </c>
      <c r="G523" t="inlineStr">
        <is>
          <t>NYKÖPING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46226</v>
      </c>
      <c r="F524" t="inlineStr">
        <is>
          <t>SÖDERMANLANDS LÄN</t>
        </is>
      </c>
      <c r="G524" t="inlineStr">
        <is>
          <t>NYKÖPING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44837</v>
      </c>
      <c r="E525" s="1" t="n">
        <v>46226</v>
      </c>
      <c r="F525" t="inlineStr">
        <is>
          <t>SÖDERMANLANDS LÄN</t>
        </is>
      </c>
      <c r="G525" t="inlineStr">
        <is>
          <t>NYKÖPING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44837</v>
      </c>
      <c r="E526" s="1" t="n">
        <v>46226</v>
      </c>
      <c r="F526" t="inlineStr">
        <is>
          <t>SÖDERMANLANDS LÄN</t>
        </is>
      </c>
      <c r="G526" t="inlineStr">
        <is>
          <t>NYKÖPING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44988</v>
      </c>
      <c r="E527" s="1" t="n">
        <v>46226</v>
      </c>
      <c r="F527" t="inlineStr">
        <is>
          <t>SÖDERMANLANDS LÄN</t>
        </is>
      </c>
      <c r="G527" t="inlineStr">
        <is>
          <t>NYKÖPING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47260-2023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45202</v>
      </c>
      <c r="E528" s="1" t="n">
        <v>46226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45729</v>
      </c>
      <c r="E529" s="1" t="n">
        <v>46226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45721</v>
      </c>
      <c r="E530" s="1" t="n">
        <v>46226</v>
      </c>
      <c r="F530" t="inlineStr">
        <is>
          <t>SÖDERMANLANDS LÄN</t>
        </is>
      </c>
      <c r="G530" t="inlineStr">
        <is>
          <t>NYKÖPING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52373-2023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45224</v>
      </c>
      <c r="E531" s="1" t="n">
        <v>46226</v>
      </c>
      <c r="F531" t="inlineStr">
        <is>
          <t>SÖDERMANLANDS LÄN</t>
        </is>
      </c>
      <c r="G531" t="inlineStr">
        <is>
          <t>NYKÖPING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52374-2023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45224</v>
      </c>
      <c r="E532" s="1" t="n">
        <v>46226</v>
      </c>
      <c r="F532" t="inlineStr">
        <is>
          <t>SÖDERMANLANDS LÄN</t>
        </is>
      </c>
      <c r="G532" t="inlineStr">
        <is>
          <t>NYKÖPING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46027</v>
      </c>
      <c r="E533" s="1" t="n">
        <v>46226</v>
      </c>
      <c r="F533" t="inlineStr">
        <is>
          <t>SÖDERMANLANDS LÄN</t>
        </is>
      </c>
      <c r="G533" t="inlineStr">
        <is>
          <t>NYKÖPING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21672-2026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46149</v>
      </c>
      <c r="E534" s="1" t="n">
        <v>46226</v>
      </c>
      <c r="F534" t="inlineStr">
        <is>
          <t>SÖDERMANLANDS LÄN</t>
        </is>
      </c>
      <c r="G534" t="inlineStr">
        <is>
          <t>NYKÖPING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21676-2026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46149</v>
      </c>
      <c r="E535" s="1" t="n">
        <v>46226</v>
      </c>
      <c r="F535" t="inlineStr">
        <is>
          <t>SÖDERMANLANDS LÄN</t>
        </is>
      </c>
      <c r="G535" t="inlineStr">
        <is>
          <t>NYKÖPING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45162</v>
      </c>
      <c r="E536" s="1" t="n">
        <v>46226</v>
      </c>
      <c r="F536" t="inlineStr">
        <is>
          <t>SÖDERMANLANDS LÄN</t>
        </is>
      </c>
      <c r="G536" t="inlineStr">
        <is>
          <t>NYKÖPING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7824-2024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45349</v>
      </c>
      <c r="E537" s="1" t="n">
        <v>46226</v>
      </c>
      <c r="F537" t="inlineStr">
        <is>
          <t>SÖDERMANLANDS LÄN</t>
        </is>
      </c>
      <c r="G537" t="inlineStr">
        <is>
          <t>NYKÖPING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46226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9074-2026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46226</v>
      </c>
      <c r="F539" t="inlineStr">
        <is>
          <t>SÖDERMANLANDS LÄN</t>
        </is>
      </c>
      <c r="G539" t="inlineStr">
        <is>
          <t>NYKÖPING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46226</v>
      </c>
      <c r="F540" t="inlineStr">
        <is>
          <t>SÖDERMANLANDS LÄN</t>
        </is>
      </c>
      <c r="G540" t="inlineStr">
        <is>
          <t>NYKÖPING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68041-2021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44525</v>
      </c>
      <c r="E541" s="1" t="n">
        <v>46226</v>
      </c>
      <c r="F541" t="inlineStr">
        <is>
          <t>SÖDERMANLANDS LÄN</t>
        </is>
      </c>
      <c r="G541" t="inlineStr">
        <is>
          <t>NYKÖPING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45384</v>
      </c>
      <c r="E542" s="1" t="n">
        <v>46226</v>
      </c>
      <c r="F542" t="inlineStr">
        <is>
          <t>SÖDERMANLANDS LÄN</t>
        </is>
      </c>
      <c r="G542" t="inlineStr">
        <is>
          <t>NYKÖPING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18827-2022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44690</v>
      </c>
      <c r="E543" s="1" t="n">
        <v>46226</v>
      </c>
      <c r="F543" t="inlineStr">
        <is>
          <t>SÖDERMANLANDS LÄN</t>
        </is>
      </c>
      <c r="G543" t="inlineStr">
        <is>
          <t>NYKÖPING</t>
        </is>
      </c>
      <c r="I543" t="n">
        <v>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44957</v>
      </c>
      <c r="E544" s="1" t="n">
        <v>46226</v>
      </c>
      <c r="F544" t="inlineStr">
        <is>
          <t>SÖDERMANLANDS LÄN</t>
        </is>
      </c>
      <c r="G544" t="inlineStr">
        <is>
          <t>NYKÖPING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46226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46226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46226</v>
      </c>
      <c r="F547" t="inlineStr">
        <is>
          <t>SÖDERMANLANDS LÄN</t>
        </is>
      </c>
      <c r="G547" t="inlineStr">
        <is>
          <t>NYKÖPING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46036</v>
      </c>
      <c r="E548" s="1" t="n">
        <v>46226</v>
      </c>
      <c r="F548" t="inlineStr">
        <is>
          <t>SÖDERMANLANDS LÄN</t>
        </is>
      </c>
      <c r="G548" t="inlineStr">
        <is>
          <t>NYKÖPING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44578</v>
      </c>
      <c r="E549" s="1" t="n">
        <v>46226</v>
      </c>
      <c r="F549" t="inlineStr">
        <is>
          <t>SÖDERMANLANDS LÄN</t>
        </is>
      </c>
      <c r="G549" t="inlineStr">
        <is>
          <t>NYKÖPING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45743</v>
      </c>
      <c r="E550" s="1" t="n">
        <v>46226</v>
      </c>
      <c r="F550" t="inlineStr">
        <is>
          <t>SÖDERMANLANDS LÄN</t>
        </is>
      </c>
      <c r="G550" t="inlineStr">
        <is>
          <t>NYKÖPING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46226</v>
      </c>
      <c r="F551" t="inlineStr">
        <is>
          <t>SÖDERMANLANDS LÄN</t>
        </is>
      </c>
      <c r="G551" t="inlineStr">
        <is>
          <t>NYKÖPING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46226</v>
      </c>
      <c r="F552" t="inlineStr">
        <is>
          <t>SÖDERMANLANDS LÄN</t>
        </is>
      </c>
      <c r="G552" t="inlineStr">
        <is>
          <t>NYKÖPING</t>
        </is>
      </c>
      <c r="I552" t="n">
        <v>11.7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46226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46042</v>
      </c>
      <c r="E554" s="1" t="n">
        <v>46226</v>
      </c>
      <c r="F554" t="inlineStr">
        <is>
          <t>SÖDERMANLANDS LÄN</t>
        </is>
      </c>
      <c r="G554" t="inlineStr">
        <is>
          <t>NYKÖPING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30639-2023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46226</v>
      </c>
      <c r="F555" t="inlineStr">
        <is>
          <t>SÖDERMANLANDS LÄN</t>
        </is>
      </c>
      <c r="G555" t="inlineStr">
        <is>
          <t>NYKÖPING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44936</v>
      </c>
      <c r="E556" s="1" t="n">
        <v>46226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51241-2024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45603</v>
      </c>
      <c r="E557" s="1" t="n">
        <v>46226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46041</v>
      </c>
      <c r="E558" s="1" t="n">
        <v>46226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46226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55312-2021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44475</v>
      </c>
      <c r="E560" s="1" t="n">
        <v>46226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Sveaskog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1392-2023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44936</v>
      </c>
      <c r="E561" s="1" t="n">
        <v>46226</v>
      </c>
      <c r="F561" t="inlineStr">
        <is>
          <t>SÖDERMANLANDS LÄN</t>
        </is>
      </c>
      <c r="G561" t="inlineStr">
        <is>
          <t>NYKÖPING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22475-2026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46155</v>
      </c>
      <c r="E562" s="1" t="n">
        <v>46226</v>
      </c>
      <c r="F562" t="inlineStr">
        <is>
          <t>SÖDERMANLANDS LÄN</t>
        </is>
      </c>
      <c r="G562" t="inlineStr">
        <is>
          <t>NYKÖPING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46575-2021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44445</v>
      </c>
      <c r="E563" s="1" t="n">
        <v>46226</v>
      </c>
      <c r="F563" t="inlineStr">
        <is>
          <t>SÖDERMANLANDS LÄN</t>
        </is>
      </c>
      <c r="G563" t="inlineStr">
        <is>
          <t>NYKÖPING</t>
        </is>
      </c>
      <c r="I563" t="n">
        <v>19.1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45721</v>
      </c>
      <c r="E564" s="1" t="n">
        <v>46226</v>
      </c>
      <c r="F564" t="inlineStr">
        <is>
          <t>SÖDERMANLANDS LÄN</t>
        </is>
      </c>
      <c r="G564" t="inlineStr">
        <is>
          <t>NYKÖPING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46226</v>
      </c>
      <c r="F565" t="inlineStr">
        <is>
          <t>SÖDERMANLANDS LÄN</t>
        </is>
      </c>
      <c r="G565" t="inlineStr">
        <is>
          <t>NYKÖPING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46226</v>
      </c>
      <c r="F566" t="inlineStr">
        <is>
          <t>SÖDERMANLANDS LÄN</t>
        </is>
      </c>
      <c r="G566" t="inlineStr">
        <is>
          <t>NYKÖPING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46226</v>
      </c>
      <c r="F567" t="inlineStr">
        <is>
          <t>SÖDERMANLANDS LÄN</t>
        </is>
      </c>
      <c r="G567" t="inlineStr">
        <is>
          <t>NYKÖPING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46226</v>
      </c>
      <c r="F568" t="inlineStr">
        <is>
          <t>SÖDERMANLANDS LÄN</t>
        </is>
      </c>
      <c r="G568" t="inlineStr">
        <is>
          <t>NYKÖPING</t>
        </is>
      </c>
      <c r="I568" t="n">
        <v>9.5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46049</v>
      </c>
      <c r="E569" s="1" t="n">
        <v>46226</v>
      </c>
      <c r="F569" t="inlineStr">
        <is>
          <t>SÖDERMANLANDS LÄN</t>
        </is>
      </c>
      <c r="G569" t="inlineStr">
        <is>
          <t>NYKÖPING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8378-2024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45351</v>
      </c>
      <c r="E570" s="1" t="n">
        <v>46226</v>
      </c>
      <c r="F570" t="inlineStr">
        <is>
          <t>SÖDERMANLANDS LÄN</t>
        </is>
      </c>
      <c r="G570" t="inlineStr">
        <is>
          <t>NYKÖPING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46050</v>
      </c>
      <c r="E571" s="1" t="n">
        <v>46226</v>
      </c>
      <c r="F571" t="inlineStr">
        <is>
          <t>SÖDERMANLANDS LÄN</t>
        </is>
      </c>
      <c r="G571" t="inlineStr">
        <is>
          <t>NYKÖPING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39368-2021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44414</v>
      </c>
      <c r="E572" s="1" t="n">
        <v>46226</v>
      </c>
      <c r="F572" t="inlineStr">
        <is>
          <t>SÖDERMANLANDS LÄN</t>
        </is>
      </c>
      <c r="G572" t="inlineStr">
        <is>
          <t>NYKÖPING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45604</v>
      </c>
      <c r="E573" s="1" t="n">
        <v>46226</v>
      </c>
      <c r="F573" t="inlineStr">
        <is>
          <t>SÖDERMANLANDS LÄN</t>
        </is>
      </c>
      <c r="G573" t="inlineStr">
        <is>
          <t>NYKÖPING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45329</v>
      </c>
      <c r="E574" s="1" t="n">
        <v>46226</v>
      </c>
      <c r="F574" t="inlineStr">
        <is>
          <t>SÖDERMANLANDS LÄN</t>
        </is>
      </c>
      <c r="G574" t="inlineStr">
        <is>
          <t>NYKÖPING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49902-2025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45940</v>
      </c>
      <c r="E575" s="1" t="n">
        <v>46226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Sveaskog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41719-2021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44425</v>
      </c>
      <c r="E576" s="1" t="n">
        <v>46226</v>
      </c>
      <c r="F576" t="inlineStr">
        <is>
          <t>SÖDERMANLANDS LÄN</t>
        </is>
      </c>
      <c r="G576" t="inlineStr">
        <is>
          <t>NYKÖPING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17315-2024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45414</v>
      </c>
      <c r="E577" s="1" t="n">
        <v>46226</v>
      </c>
      <c r="F577" t="inlineStr">
        <is>
          <t>SÖDERMANLANDS LÄN</t>
        </is>
      </c>
      <c r="G577" t="inlineStr">
        <is>
          <t>NYKÖPING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44616</v>
      </c>
      <c r="E578" s="1" t="n">
        <v>46226</v>
      </c>
      <c r="F578" t="inlineStr">
        <is>
          <t>SÖDERMANLANDS LÄN</t>
        </is>
      </c>
      <c r="G578" t="inlineStr">
        <is>
          <t>NYKÖPING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13455-2022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44645</v>
      </c>
      <c r="E579" s="1" t="n">
        <v>46226</v>
      </c>
      <c r="F579" t="inlineStr">
        <is>
          <t>SÖDERMANLANDS LÄN</t>
        </is>
      </c>
      <c r="G579" t="inlineStr">
        <is>
          <t>NYKÖPING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46226</v>
      </c>
      <c r="F580" t="inlineStr">
        <is>
          <t>SÖDERMANLANDS LÄN</t>
        </is>
      </c>
      <c r="G580" t="inlineStr">
        <is>
          <t>NYKÖPING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53374-2021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44468</v>
      </c>
      <c r="E581" s="1" t="n">
        <v>46226</v>
      </c>
      <c r="F581" t="inlineStr">
        <is>
          <t>SÖDERMANLANDS LÄN</t>
        </is>
      </c>
      <c r="G581" t="inlineStr">
        <is>
          <t>NYKÖPING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57633-2024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46226</v>
      </c>
      <c r="F582" t="inlineStr">
        <is>
          <t>SÖDERMANLANDS LÄN</t>
        </is>
      </c>
      <c r="G582" t="inlineStr">
        <is>
          <t>NYKÖPING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46226</v>
      </c>
      <c r="F583" t="inlineStr">
        <is>
          <t>SÖDERMANLANDS LÄN</t>
        </is>
      </c>
      <c r="G583" t="inlineStr">
        <is>
          <t>NYKÖPING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20131-2022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44698</v>
      </c>
      <c r="E584" s="1" t="n">
        <v>46226</v>
      </c>
      <c r="F584" t="inlineStr">
        <is>
          <t>SÖDERMANLANDS LÄN</t>
        </is>
      </c>
      <c r="G584" t="inlineStr">
        <is>
          <t>NYKÖPING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46226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Sveaskog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44727</v>
      </c>
      <c r="E586" s="1" t="n">
        <v>46226</v>
      </c>
      <c r="F586" t="inlineStr">
        <is>
          <t>SÖDERMANLANDS LÄN</t>
        </is>
      </c>
      <c r="G586" t="inlineStr">
        <is>
          <t>NYKÖPING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46226</v>
      </c>
      <c r="F587" t="inlineStr">
        <is>
          <t>SÖDERMANLANDS LÄN</t>
        </is>
      </c>
      <c r="G587" t="inlineStr">
        <is>
          <t>NYKÖPING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72985-2021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44549</v>
      </c>
      <c r="E588" s="1" t="n">
        <v>46226</v>
      </c>
      <c r="F588" t="inlineStr">
        <is>
          <t>SÖDERMANLANDS LÄN</t>
        </is>
      </c>
      <c r="G588" t="inlineStr">
        <is>
          <t>NYKÖPING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9836-2026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46226</v>
      </c>
      <c r="F589" t="inlineStr">
        <is>
          <t>SÖDERMANLANDS LÄN</t>
        </is>
      </c>
      <c r="G589" t="inlineStr">
        <is>
          <t>NYKÖPING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46226</v>
      </c>
      <c r="F590" t="inlineStr">
        <is>
          <t>SÖDERMANLANDS LÄN</t>
        </is>
      </c>
      <c r="G590" t="inlineStr">
        <is>
          <t>NYKÖPING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16460-2023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45029</v>
      </c>
      <c r="E591" s="1" t="n">
        <v>46226</v>
      </c>
      <c r="F591" t="inlineStr">
        <is>
          <t>SÖDERMANLANDS LÄN</t>
        </is>
      </c>
      <c r="G591" t="inlineStr">
        <is>
          <t>NYKÖPING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56851-2025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45978</v>
      </c>
      <c r="E592" s="1" t="n">
        <v>46226</v>
      </c>
      <c r="F592" t="inlineStr">
        <is>
          <t>SÖDERMANLANDS LÄN</t>
        </is>
      </c>
      <c r="G592" t="inlineStr">
        <is>
          <t>NYKÖPING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46226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20985-2023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45061</v>
      </c>
      <c r="E594" s="1" t="n">
        <v>46226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21062-2023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45061</v>
      </c>
      <c r="E595" s="1" t="n">
        <v>46226</v>
      </c>
      <c r="F595" t="inlineStr">
        <is>
          <t>SÖDERMANLANDS LÄN</t>
        </is>
      </c>
      <c r="G595" t="inlineStr">
        <is>
          <t>NYKÖPING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23637-2026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46163</v>
      </c>
      <c r="E596" s="1" t="n">
        <v>46226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Kyrkan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56845-2025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46226</v>
      </c>
      <c r="F597" t="inlineStr">
        <is>
          <t>SÖDERMANLANDS LÄN</t>
        </is>
      </c>
      <c r="G597" t="inlineStr">
        <is>
          <t>NYKÖPING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44579</v>
      </c>
      <c r="E598" s="1" t="n">
        <v>46226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24829-2024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45461</v>
      </c>
      <c r="E599" s="1" t="n">
        <v>46226</v>
      </c>
      <c r="F599" t="inlineStr">
        <is>
          <t>SÖDERMANLANDS LÄN</t>
        </is>
      </c>
      <c r="G599" t="inlineStr">
        <is>
          <t>NYKÖPING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65923-2021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44517</v>
      </c>
      <c r="E600" s="1" t="n">
        <v>46226</v>
      </c>
      <c r="F600" t="inlineStr">
        <is>
          <t>SÖDERMANLANDS LÄN</t>
        </is>
      </c>
      <c r="G600" t="inlineStr">
        <is>
          <t>NYKÖPING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58685-2025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46226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7074-2024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45343</v>
      </c>
      <c r="E602" s="1" t="n">
        <v>46226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45149</v>
      </c>
      <c r="E603" s="1" t="n">
        <v>46226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Kommuner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30212-2026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46226</v>
      </c>
      <c r="F604" t="inlineStr">
        <is>
          <t>SÖDERMANLANDS LÄN</t>
        </is>
      </c>
      <c r="G604" t="inlineStr">
        <is>
          <t>NYKÖPING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46226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17832-2024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45418</v>
      </c>
      <c r="E606" s="1" t="n">
        <v>46226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45603</v>
      </c>
      <c r="E607" s="1" t="n">
        <v>46226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55506-2021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44475</v>
      </c>
      <c r="E608" s="1" t="n">
        <v>46226</v>
      </c>
      <c r="F608" t="inlineStr">
        <is>
          <t>SÖDERMANLANDS LÄN</t>
        </is>
      </c>
      <c r="G608" t="inlineStr">
        <is>
          <t>NYKÖPING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2445-2022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44579</v>
      </c>
      <c r="E609" s="1" t="n">
        <v>46226</v>
      </c>
      <c r="F609" t="inlineStr">
        <is>
          <t>SÖDERMANLANDS LÄN</t>
        </is>
      </c>
      <c r="G609" t="inlineStr">
        <is>
          <t>NYKÖPING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14930-2024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45398</v>
      </c>
      <c r="E610" s="1" t="n">
        <v>46226</v>
      </c>
      <c r="F610" t="inlineStr">
        <is>
          <t>SÖDERMANLANDS LÄN</t>
        </is>
      </c>
      <c r="G610" t="inlineStr">
        <is>
          <t>NYKÖPING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35019-2023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45143</v>
      </c>
      <c r="E611" s="1" t="n">
        <v>46226</v>
      </c>
      <c r="F611" t="inlineStr">
        <is>
          <t>SÖDERMANLANDS LÄN</t>
        </is>
      </c>
      <c r="G611" t="inlineStr">
        <is>
          <t>NYKÖPING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45721</v>
      </c>
      <c r="E612" s="1" t="n">
        <v>46226</v>
      </c>
      <c r="F612" t="inlineStr">
        <is>
          <t>SÖDERMANLANDS LÄN</t>
        </is>
      </c>
      <c r="G612" t="inlineStr">
        <is>
          <t>NYKÖPING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46226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Kyrkan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46086</v>
      </c>
      <c r="E614" s="1" t="n">
        <v>46226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17460-2026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46226</v>
      </c>
      <c r="F615" t="inlineStr">
        <is>
          <t>SÖDERMANLANDS LÄN</t>
        </is>
      </c>
      <c r="G615" t="inlineStr">
        <is>
          <t>NYKÖPING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61618-2022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44916</v>
      </c>
      <c r="E616" s="1" t="n">
        <v>46226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39356-2023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45166</v>
      </c>
      <c r="E617" s="1" t="n">
        <v>46226</v>
      </c>
      <c r="F617" t="inlineStr">
        <is>
          <t>SÖDERMANLANDS LÄN</t>
        </is>
      </c>
      <c r="G617" t="inlineStr">
        <is>
          <t>NYKÖPING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46226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Kyrkan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46226</v>
      </c>
      <c r="F619" t="inlineStr">
        <is>
          <t>SÖDERMANLANDS LÄN</t>
        </is>
      </c>
      <c r="G619" t="inlineStr">
        <is>
          <t>NYKÖPING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30695-2026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46211</v>
      </c>
      <c r="E620" s="1" t="n">
        <v>46226</v>
      </c>
      <c r="F620" t="inlineStr">
        <is>
          <t>SÖDERMANLANDS LÄN</t>
        </is>
      </c>
      <c r="G620" t="inlineStr">
        <is>
          <t>NYKÖPING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45348</v>
      </c>
      <c r="E621" s="1" t="n">
        <v>46226</v>
      </c>
      <c r="F621" t="inlineStr">
        <is>
          <t>SÖDERMANLANDS LÄN</t>
        </is>
      </c>
      <c r="G621" t="inlineStr">
        <is>
          <t>NYKÖPING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46226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38155-2022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44812</v>
      </c>
      <c r="E623" s="1" t="n">
        <v>46226</v>
      </c>
      <c r="F623" t="inlineStr">
        <is>
          <t>SÖDERMANLANDS LÄN</t>
        </is>
      </c>
      <c r="G623" t="inlineStr">
        <is>
          <t>NYKÖPING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64081-2023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45279</v>
      </c>
      <c r="E624" s="1" t="n">
        <v>46226</v>
      </c>
      <c r="F624" t="inlineStr">
        <is>
          <t>SÖDERMANLANDS LÄN</t>
        </is>
      </c>
      <c r="G624" t="inlineStr">
        <is>
          <t>NYKÖPING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43359-2021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44432</v>
      </c>
      <c r="E625" s="1" t="n">
        <v>46226</v>
      </c>
      <c r="F625" t="inlineStr">
        <is>
          <t>SÖDERMANLANDS LÄN</t>
        </is>
      </c>
      <c r="G625" t="inlineStr">
        <is>
          <t>NYKÖPING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5483-2023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46226</v>
      </c>
      <c r="F626" t="inlineStr">
        <is>
          <t>SÖDERMANLANDS LÄN</t>
        </is>
      </c>
      <c r="G626" t="inlineStr">
        <is>
          <t>NYKÖPING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51558-2024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46226</v>
      </c>
      <c r="F627" t="inlineStr">
        <is>
          <t>SÖDERMANLANDS LÄN</t>
        </is>
      </c>
      <c r="G627" t="inlineStr">
        <is>
          <t>NYKÖPING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57621-2024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45630</v>
      </c>
      <c r="E628" s="1" t="n">
        <v>46226</v>
      </c>
      <c r="F628" t="inlineStr">
        <is>
          <t>SÖDERMANLANDS LÄN</t>
        </is>
      </c>
      <c r="G628" t="inlineStr">
        <is>
          <t>NYKÖPING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45798</v>
      </c>
      <c r="E629" s="1" t="n">
        <v>46226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46098</v>
      </c>
      <c r="E630" s="1" t="n">
        <v>46226</v>
      </c>
      <c r="F630" t="inlineStr">
        <is>
          <t>SÖDERMANLANDS LÄN</t>
        </is>
      </c>
      <c r="G630" t="inlineStr">
        <is>
          <t>NYKÖPING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35463-2025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45855</v>
      </c>
      <c r="E631" s="1" t="n">
        <v>46226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58496-2025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45985</v>
      </c>
      <c r="E632" s="1" t="n">
        <v>46226</v>
      </c>
      <c r="F632" t="inlineStr">
        <is>
          <t>SÖDERMANLANDS LÄN</t>
        </is>
      </c>
      <c r="G632" t="inlineStr">
        <is>
          <t>NYKÖPING</t>
        </is>
      </c>
      <c r="I632" t="n">
        <v>9.699999999999999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46176</v>
      </c>
      <c r="E633" s="1" t="n">
        <v>46226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44783</v>
      </c>
      <c r="E634" s="1" t="n">
        <v>46226</v>
      </c>
      <c r="F634" t="inlineStr">
        <is>
          <t>SÖDERMANLANDS LÄN</t>
        </is>
      </c>
      <c r="G634" t="inlineStr">
        <is>
          <t>NYKÖPING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48484-2022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44858</v>
      </c>
      <c r="E635" s="1" t="n">
        <v>46226</v>
      </c>
      <c r="F635" t="inlineStr">
        <is>
          <t>SÖDERMANLANDS LÄN</t>
        </is>
      </c>
      <c r="G635" t="inlineStr">
        <is>
          <t>NYKÖPING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25334-2026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46226</v>
      </c>
      <c r="F636" t="inlineStr">
        <is>
          <t>SÖDERMANLANDS LÄN</t>
        </is>
      </c>
      <c r="G636" t="inlineStr">
        <is>
          <t>NYKÖPING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25336-2026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46176</v>
      </c>
      <c r="E637" s="1" t="n">
        <v>46226</v>
      </c>
      <c r="F637" t="inlineStr">
        <is>
          <t>SÖDERMANLANDS LÄN</t>
        </is>
      </c>
      <c r="G637" t="inlineStr">
        <is>
          <t>NYKÖPING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44942</v>
      </c>
      <c r="E638" s="1" t="n">
        <v>46226</v>
      </c>
      <c r="F638" t="inlineStr">
        <is>
          <t>SÖDERMANLANDS LÄN</t>
        </is>
      </c>
      <c r="G638" t="inlineStr">
        <is>
          <t>NYKÖPING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44582</v>
      </c>
      <c r="E639" s="1" t="n">
        <v>46226</v>
      </c>
      <c r="F639" t="inlineStr">
        <is>
          <t>SÖDERMANLANDS LÄN</t>
        </is>
      </c>
      <c r="G639" t="inlineStr">
        <is>
          <t>NYKÖPING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20327-2023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45056</v>
      </c>
      <c r="E640" s="1" t="n">
        <v>46226</v>
      </c>
      <c r="F640" t="inlineStr">
        <is>
          <t>SÖDERMANLANDS LÄN</t>
        </is>
      </c>
      <c r="G640" t="inlineStr">
        <is>
          <t>NYKÖPING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31469-2026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46222</v>
      </c>
      <c r="E641" s="1" t="n">
        <v>46226</v>
      </c>
      <c r="F641" t="inlineStr">
        <is>
          <t>SÖDERMANLANDS LÄN</t>
        </is>
      </c>
      <c r="G641" t="inlineStr">
        <is>
          <t>NYKÖPING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42858-2021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44430</v>
      </c>
      <c r="E642" s="1" t="n">
        <v>46226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60634-2022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44911</v>
      </c>
      <c r="E643" s="1" t="n">
        <v>46226</v>
      </c>
      <c r="F643" t="inlineStr">
        <is>
          <t>SÖDERMANLANDS LÄN</t>
        </is>
      </c>
      <c r="G643" t="inlineStr">
        <is>
          <t>NYKÖPING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13296-2023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45005</v>
      </c>
      <c r="E644" s="1" t="n">
        <v>46226</v>
      </c>
      <c r="F644" t="inlineStr">
        <is>
          <t>SÖDERMANLANDS LÄN</t>
        </is>
      </c>
      <c r="G644" t="inlineStr">
        <is>
          <t>NYKÖPING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69244-2021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44530</v>
      </c>
      <c r="E645" s="1" t="n">
        <v>46226</v>
      </c>
      <c r="F645" t="inlineStr">
        <is>
          <t>SÖDERMANLANDS LÄN</t>
        </is>
      </c>
      <c r="G645" t="inlineStr">
        <is>
          <t>NYKÖPING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5291-2023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44959</v>
      </c>
      <c r="E646" s="1" t="n">
        <v>46226</v>
      </c>
      <c r="F646" t="inlineStr">
        <is>
          <t>SÖDERMANLANDS LÄN</t>
        </is>
      </c>
      <c r="G646" t="inlineStr">
        <is>
          <t>NYKÖPING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46226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Kommuner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44938</v>
      </c>
      <c r="E648" s="1" t="n">
        <v>46226</v>
      </c>
      <c r="F648" t="inlineStr">
        <is>
          <t>SÖDERMANLANDS LÄN</t>
        </is>
      </c>
      <c r="G648" t="inlineStr">
        <is>
          <t>NYKÖPING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8688-2025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45712</v>
      </c>
      <c r="E649" s="1" t="n">
        <v>46226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24891-2023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45085</v>
      </c>
      <c r="E650" s="1" t="n">
        <v>46226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44790</v>
      </c>
      <c r="E651" s="1" t="n">
        <v>46226</v>
      </c>
      <c r="F651" t="inlineStr">
        <is>
          <t>SÖDERMANLANDS LÄN</t>
        </is>
      </c>
      <c r="G651" t="inlineStr">
        <is>
          <t>NYKÖPING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22176-2023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45069</v>
      </c>
      <c r="E652" s="1" t="n">
        <v>46226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46226</v>
      </c>
      <c r="F653" t="inlineStr">
        <is>
          <t>SÖDERMANLANDS LÄN</t>
        </is>
      </c>
      <c r="G653" t="inlineStr">
        <is>
          <t>NYKÖPING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27563-2024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45474</v>
      </c>
      <c r="E654" s="1" t="n">
        <v>46226</v>
      </c>
      <c r="F654" t="inlineStr">
        <is>
          <t>SÖDERMANLANDS LÄN</t>
        </is>
      </c>
      <c r="G654" t="inlineStr">
        <is>
          <t>NYKÖPING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56228-2024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45624</v>
      </c>
      <c r="E655" s="1" t="n">
        <v>46226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19027-2026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46131</v>
      </c>
      <c r="E656" s="1" t="n">
        <v>46226</v>
      </c>
      <c r="F656" t="inlineStr">
        <is>
          <t>SÖDERMANLANDS LÄN</t>
        </is>
      </c>
      <c r="G656" t="inlineStr">
        <is>
          <t>NYKÖPING</t>
        </is>
      </c>
      <c r="I656" t="n">
        <v>12.4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26224-2026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46226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11753-2023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44992</v>
      </c>
      <c r="E658" s="1" t="n">
        <v>46226</v>
      </c>
      <c r="F658" t="inlineStr">
        <is>
          <t>SÖDERMANLANDS LÄN</t>
        </is>
      </c>
      <c r="G658" t="inlineStr">
        <is>
          <t>NYKÖPING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40291-2021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44419</v>
      </c>
      <c r="E659" s="1" t="n">
        <v>46226</v>
      </c>
      <c r="F659" t="inlineStr">
        <is>
          <t>SÖDERMANLANDS LÄN</t>
        </is>
      </c>
      <c r="G659" t="inlineStr">
        <is>
          <t>NYKÖPING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35252-2022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44798</v>
      </c>
      <c r="E660" s="1" t="n">
        <v>46226</v>
      </c>
      <c r="F660" t="inlineStr">
        <is>
          <t>SÖDERMANLANDS LÄN</t>
        </is>
      </c>
      <c r="G660" t="inlineStr">
        <is>
          <t>NYKÖPING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24798-2022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44728</v>
      </c>
      <c r="E661" s="1" t="n">
        <v>46226</v>
      </c>
      <c r="F661" t="inlineStr">
        <is>
          <t>SÖDERMANLANDS LÄN</t>
        </is>
      </c>
      <c r="G661" t="inlineStr">
        <is>
          <t>NYKÖPING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2598-2025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45674</v>
      </c>
      <c r="E662" s="1" t="n">
        <v>46226</v>
      </c>
      <c r="F662" t="inlineStr">
        <is>
          <t>SÖDERMANLANDS LÄN</t>
        </is>
      </c>
      <c r="G662" t="inlineStr">
        <is>
          <t>NYKÖPING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35532-2022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44799</v>
      </c>
      <c r="E663" s="1" t="n">
        <v>46226</v>
      </c>
      <c r="F663" t="inlineStr">
        <is>
          <t>SÖDERMANLANDS LÄN</t>
        </is>
      </c>
      <c r="G663" t="inlineStr">
        <is>
          <t>NYKÖPING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54024-2022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44881</v>
      </c>
      <c r="E664" s="1" t="n">
        <v>46226</v>
      </c>
      <c r="F664" t="inlineStr">
        <is>
          <t>SÖDERMANLANDS LÄN</t>
        </is>
      </c>
      <c r="G664" t="inlineStr">
        <is>
          <t>NYKÖPING</t>
        </is>
      </c>
      <c r="I664" t="n">
        <v>16.2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36015-2023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45148</v>
      </c>
      <c r="E665" s="1" t="n">
        <v>46226</v>
      </c>
      <c r="F665" t="inlineStr">
        <is>
          <t>SÖDERMANLANDS LÄN</t>
        </is>
      </c>
      <c r="G665" t="inlineStr">
        <is>
          <t>NYKÖPING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68024-2021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44525</v>
      </c>
      <c r="E666" s="1" t="n">
        <v>46226</v>
      </c>
      <c r="F666" t="inlineStr">
        <is>
          <t>SÖDERMANLANDS LÄN</t>
        </is>
      </c>
      <c r="G666" t="inlineStr">
        <is>
          <t>NYKÖPING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68030-2021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44525</v>
      </c>
      <c r="E667" s="1" t="n">
        <v>46226</v>
      </c>
      <c r="F667" t="inlineStr">
        <is>
          <t>SÖDERMANLANDS LÄN</t>
        </is>
      </c>
      <c r="G667" t="inlineStr">
        <is>
          <t>NYKÖPING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45926-2022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44846</v>
      </c>
      <c r="E668" s="1" t="n">
        <v>46226</v>
      </c>
      <c r="F668" t="inlineStr">
        <is>
          <t>SÖDERMANLANDS LÄN</t>
        </is>
      </c>
      <c r="G668" t="inlineStr">
        <is>
          <t>NYKÖPING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51699-2023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45222</v>
      </c>
      <c r="E669" s="1" t="n">
        <v>46226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44960</v>
      </c>
      <c r="E670" s="1" t="n">
        <v>46226</v>
      </c>
      <c r="F670" t="inlineStr">
        <is>
          <t>SÖDERMANLANDS LÄN</t>
        </is>
      </c>
      <c r="G670" t="inlineStr">
        <is>
          <t>NYKÖPING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46226</v>
      </c>
      <c r="F671" t="inlineStr">
        <is>
          <t>SÖDERMANLANDS LÄN</t>
        </is>
      </c>
      <c r="G671" t="inlineStr">
        <is>
          <t>NYKÖPING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44575</v>
      </c>
      <c r="E672" s="1" t="n">
        <v>46226</v>
      </c>
      <c r="F672" t="inlineStr">
        <is>
          <t>SÖDERMANLANDS LÄN</t>
        </is>
      </c>
      <c r="G672" t="inlineStr">
        <is>
          <t>NYKÖPING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38394-2024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45546</v>
      </c>
      <c r="E673" s="1" t="n">
        <v>46226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15397-2023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45019</v>
      </c>
      <c r="E674" s="1" t="n">
        <v>46226</v>
      </c>
      <c r="F674" t="inlineStr">
        <is>
          <t>SÖDERMANLANDS LÄN</t>
        </is>
      </c>
      <c r="G674" t="inlineStr">
        <is>
          <t>NYKÖPING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19763-2023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45051</v>
      </c>
      <c r="E675" s="1" t="n">
        <v>46226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35458-2023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45146</v>
      </c>
      <c r="E676" s="1" t="n">
        <v>46226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41288-2023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46226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1777-2024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45307</v>
      </c>
      <c r="E678" s="1" t="n">
        <v>46226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1745-2023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44938</v>
      </c>
      <c r="E679" s="1" t="n">
        <v>46226</v>
      </c>
      <c r="F679" t="inlineStr">
        <is>
          <t>SÖDERMANLANDS LÄN</t>
        </is>
      </c>
      <c r="G679" t="inlineStr">
        <is>
          <t>NYKÖPING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44938</v>
      </c>
      <c r="E680" s="1" t="n">
        <v>46226</v>
      </c>
      <c r="F680" t="inlineStr">
        <is>
          <t>SÖDERMANLANDS LÄN</t>
        </is>
      </c>
      <c r="G680" t="inlineStr">
        <is>
          <t>NYKÖPING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5312-2024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45330</v>
      </c>
      <c r="E681" s="1" t="n">
        <v>46226</v>
      </c>
      <c r="F681" t="inlineStr">
        <is>
          <t>SÖDERMANLANDS LÄN</t>
        </is>
      </c>
      <c r="G681" t="inlineStr">
        <is>
          <t>NYKÖPING</t>
        </is>
      </c>
      <c r="I681" t="n">
        <v>10.9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23114-2023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45075</v>
      </c>
      <c r="E682" s="1" t="n">
        <v>46226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44725</v>
      </c>
      <c r="E683" s="1" t="n">
        <v>46226</v>
      </c>
      <c r="F683" t="inlineStr">
        <is>
          <t>SÖDERMANLANDS LÄN</t>
        </is>
      </c>
      <c r="G683" t="inlineStr">
        <is>
          <t>NYKÖPING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7253-2022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44606</v>
      </c>
      <c r="E684" s="1" t="n">
        <v>46226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Allmännings- och besparingsskogar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67857-2021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44525</v>
      </c>
      <c r="E685" s="1" t="n">
        <v>46226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Sveaskog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30860-2023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46226</v>
      </c>
      <c r="F686" t="inlineStr">
        <is>
          <t>SÖDERMANLANDS LÄN</t>
        </is>
      </c>
      <c r="G686" t="inlineStr">
        <is>
          <t>NYKÖPING</t>
        </is>
      </c>
      <c r="I686" t="n">
        <v>11.5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45733</v>
      </c>
      <c r="E687" s="1" t="n">
        <v>46226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1915-2022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44575</v>
      </c>
      <c r="E688" s="1" t="n">
        <v>46226</v>
      </c>
      <c r="F688" t="inlineStr">
        <is>
          <t>SÖDERMANLANDS LÄN</t>
        </is>
      </c>
      <c r="G688" t="inlineStr">
        <is>
          <t>NYKÖPING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53569-2022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44879</v>
      </c>
      <c r="E689" s="1" t="n">
        <v>46226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Övriga Aktiebolag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45096</v>
      </c>
      <c r="E690" s="1" t="n">
        <v>46226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Övriga Aktiebolag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44958</v>
      </c>
      <c r="E691" s="1" t="n">
        <v>46226</v>
      </c>
      <c r="F691" t="inlineStr">
        <is>
          <t>SÖDERMANLANDS LÄN</t>
        </is>
      </c>
      <c r="G691" t="inlineStr">
        <is>
          <t>NYKÖPING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44946</v>
      </c>
      <c r="E692" s="1" t="n">
        <v>46226</v>
      </c>
      <c r="F692" t="inlineStr">
        <is>
          <t>SÖDERMANLANDS LÄN</t>
        </is>
      </c>
      <c r="G692" t="inlineStr">
        <is>
          <t>NYKÖPING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39149-2023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45166</v>
      </c>
      <c r="E693" s="1" t="n">
        <v>46226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59733-2021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44494</v>
      </c>
      <c r="E694" s="1" t="n">
        <v>46226</v>
      </c>
      <c r="F694" t="inlineStr">
        <is>
          <t>SÖDERMANLANDS LÄN</t>
        </is>
      </c>
      <c r="G694" t="inlineStr">
        <is>
          <t>NYKÖPING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44473-2021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44435</v>
      </c>
      <c r="E695" s="1" t="n">
        <v>46226</v>
      </c>
      <c r="F695" t="inlineStr">
        <is>
          <t>SÖDERMANLANDS LÄN</t>
        </is>
      </c>
      <c r="G695" t="inlineStr">
        <is>
          <t>NYKÖPING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30855-2023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45110</v>
      </c>
      <c r="E696" s="1" t="n">
        <v>46226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42971-2021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44430</v>
      </c>
      <c r="E697" s="1" t="n">
        <v>46226</v>
      </c>
      <c r="F697" t="inlineStr">
        <is>
          <t>SÖDERMANLANDS LÄN</t>
        </is>
      </c>
      <c r="G697" t="inlineStr">
        <is>
          <t>NYKÖPING</t>
        </is>
      </c>
      <c r="I697" t="n">
        <v>9.4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33126-2023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45114</v>
      </c>
      <c r="E698" s="1" t="n">
        <v>46226</v>
      </c>
      <c r="F698" t="inlineStr">
        <is>
          <t>SÖDERMANLANDS LÄN</t>
        </is>
      </c>
      <c r="G698" t="inlineStr">
        <is>
          <t>NYKÖPING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50156-2021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44456</v>
      </c>
      <c r="E699" s="1" t="n">
        <v>46226</v>
      </c>
      <c r="F699" t="inlineStr">
        <is>
          <t>SÖDERMANLANDS LÄN</t>
        </is>
      </c>
      <c r="G699" t="inlineStr">
        <is>
          <t>NYKÖPING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41222-2023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45170</v>
      </c>
      <c r="E700" s="1" t="n">
        <v>46226</v>
      </c>
      <c r="F700" t="inlineStr">
        <is>
          <t>SÖDERMANLANDS LÄN</t>
        </is>
      </c>
      <c r="G700" t="inlineStr">
        <is>
          <t>NYKÖPING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58281-2022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44901</v>
      </c>
      <c r="E701" s="1" t="n">
        <v>46226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18478-2025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45762</v>
      </c>
      <c r="E702" s="1" t="n">
        <v>46226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44649</v>
      </c>
      <c r="E703" s="1" t="n">
        <v>46226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51725-2021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44462</v>
      </c>
      <c r="E704" s="1" t="n">
        <v>46226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Sveaskog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2668-2023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44944</v>
      </c>
      <c r="E705" s="1" t="n">
        <v>46226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Sveaskog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33653-2024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45520</v>
      </c>
      <c r="E706" s="1" t="n">
        <v>46226</v>
      </c>
      <c r="F706" t="inlineStr">
        <is>
          <t>SÖDERMANLANDS LÄN</t>
        </is>
      </c>
      <c r="G706" t="inlineStr">
        <is>
          <t>NYKÖPING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61007-2021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44497</v>
      </c>
      <c r="E707" s="1" t="n">
        <v>46226</v>
      </c>
      <c r="F707" t="inlineStr">
        <is>
          <t>SÖDERMANLANDS LÄN</t>
        </is>
      </c>
      <c r="G707" t="inlineStr">
        <is>
          <t>NYKÖPING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60512-2021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44496</v>
      </c>
      <c r="E708" s="1" t="n">
        <v>46226</v>
      </c>
      <c r="F708" t="inlineStr">
        <is>
          <t>SÖDERMANLANDS LÄN</t>
        </is>
      </c>
      <c r="G708" t="inlineStr">
        <is>
          <t>NYKÖPING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31424-2022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44774</v>
      </c>
      <c r="E709" s="1" t="n">
        <v>46226</v>
      </c>
      <c r="F709" t="inlineStr">
        <is>
          <t>SÖDERMANLANDS LÄN</t>
        </is>
      </c>
      <c r="G709" t="inlineStr">
        <is>
          <t>NYKÖPING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42368-2024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45564</v>
      </c>
      <c r="E710" s="1" t="n">
        <v>46226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45452</v>
      </c>
      <c r="E711" s="1" t="n">
        <v>46226</v>
      </c>
      <c r="F711" t="inlineStr">
        <is>
          <t>SÖDERMANLANDS LÄN</t>
        </is>
      </c>
      <c r="G711" t="inlineStr">
        <is>
          <t>NYKÖPING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45685</v>
      </c>
      <c r="E712" s="1" t="n">
        <v>46226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45685</v>
      </c>
      <c r="E713" s="1" t="n">
        <v>46226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21480-2024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45441</v>
      </c>
      <c r="E714" s="1" t="n">
        <v>46226</v>
      </c>
      <c r="F714" t="inlineStr">
        <is>
          <t>SÖDERMANLANDS LÄN</t>
        </is>
      </c>
      <c r="G714" t="inlineStr">
        <is>
          <t>NYKÖPING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36573-2024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45537</v>
      </c>
      <c r="E715" s="1" t="n">
        <v>46226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Kommuner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45667</v>
      </c>
      <c r="E716" s="1" t="n">
        <v>46226</v>
      </c>
      <c r="F716" t="inlineStr">
        <is>
          <t>SÖDERMANLANDS LÄN</t>
        </is>
      </c>
      <c r="G716" t="inlineStr">
        <is>
          <t>NYKÖPING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32837-2022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44784</v>
      </c>
      <c r="E717" s="1" t="n">
        <v>46226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Kommuner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27894-2023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46226</v>
      </c>
      <c r="F718" t="inlineStr">
        <is>
          <t>SÖDERMANLANDS LÄN</t>
        </is>
      </c>
      <c r="G718" t="inlineStr">
        <is>
          <t>NYKÖPING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17247-2025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45756</v>
      </c>
      <c r="E719" s="1" t="n">
        <v>46226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18918-2023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45044</v>
      </c>
      <c r="E720" s="1" t="n">
        <v>46226</v>
      </c>
      <c r="F720" t="inlineStr">
        <is>
          <t>SÖDERMANLANDS LÄN</t>
        </is>
      </c>
      <c r="G720" t="inlineStr">
        <is>
          <t>NYKÖPING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18926-2023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45044</v>
      </c>
      <c r="E721" s="1" t="n">
        <v>46226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13027-2024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45385</v>
      </c>
      <c r="E722" s="1" t="n">
        <v>46226</v>
      </c>
      <c r="F722" t="inlineStr">
        <is>
          <t>SÖDERMANLANDS LÄN</t>
        </is>
      </c>
      <c r="G722" t="inlineStr">
        <is>
          <t>NYKÖPING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46226</v>
      </c>
      <c r="F723" t="inlineStr">
        <is>
          <t>SÖDERMANLANDS LÄN</t>
        </is>
      </c>
      <c r="G723" t="inlineStr">
        <is>
          <t>NYKÖPING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65231-2023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45289</v>
      </c>
      <c r="E724" s="1" t="n">
        <v>46226</v>
      </c>
      <c r="F724" t="inlineStr">
        <is>
          <t>SÖDERMANLANDS LÄN</t>
        </is>
      </c>
      <c r="G724" t="inlineStr">
        <is>
          <t>NYKÖPING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70749-2021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44536</v>
      </c>
      <c r="E725" s="1" t="n">
        <v>46226</v>
      </c>
      <c r="F725" t="inlineStr">
        <is>
          <t>SÖDERMANLANDS LÄN</t>
        </is>
      </c>
      <c r="G725" t="inlineStr">
        <is>
          <t>NYKÖPING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31868-2023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45107</v>
      </c>
      <c r="E726" s="1" t="n">
        <v>46226</v>
      </c>
      <c r="F726" t="inlineStr">
        <is>
          <t>SÖDERMANLANDS LÄN</t>
        </is>
      </c>
      <c r="G726" t="inlineStr">
        <is>
          <t>NYKÖPING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51530-2022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44869</v>
      </c>
      <c r="E727" s="1" t="n">
        <v>46226</v>
      </c>
      <c r="F727" t="inlineStr">
        <is>
          <t>SÖDERMANLANDS LÄN</t>
        </is>
      </c>
      <c r="G727" t="inlineStr">
        <is>
          <t>NYKÖPING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72679-2021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44546</v>
      </c>
      <c r="E728" s="1" t="n">
        <v>46226</v>
      </c>
      <c r="F728" t="inlineStr">
        <is>
          <t>SÖDERMANLANDS LÄN</t>
        </is>
      </c>
      <c r="G728" t="inlineStr">
        <is>
          <t>NYKÖPING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56491-2022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44893</v>
      </c>
      <c r="E729" s="1" t="n">
        <v>46226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Övriga Aktiebolag</t>
        </is>
      </c>
      <c r="I729" t="n">
        <v>10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8299-2024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45350</v>
      </c>
      <c r="E730" s="1" t="n">
        <v>46226</v>
      </c>
      <c r="F730" t="inlineStr">
        <is>
          <t>SÖDERMANLANDS LÄN</t>
        </is>
      </c>
      <c r="G730" t="inlineStr">
        <is>
          <t>NYKÖPING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44976</v>
      </c>
      <c r="E731" s="1" t="n">
        <v>46226</v>
      </c>
      <c r="F731" t="inlineStr">
        <is>
          <t>SÖDERMANLANDS LÄN</t>
        </is>
      </c>
      <c r="G731" t="inlineStr">
        <is>
          <t>NYKÖPING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50698-2024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45602</v>
      </c>
      <c r="E732" s="1" t="n">
        <v>46226</v>
      </c>
      <c r="F732" t="inlineStr">
        <is>
          <t>SÖDERMANLANDS LÄN</t>
        </is>
      </c>
      <c r="G732" t="inlineStr">
        <is>
          <t>NYKÖPING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48459-2021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44452</v>
      </c>
      <c r="E733" s="1" t="n">
        <v>46226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3353-2022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44585</v>
      </c>
      <c r="E734" s="1" t="n">
        <v>46226</v>
      </c>
      <c r="F734" t="inlineStr">
        <is>
          <t>SÖDERMANLANDS LÄN</t>
        </is>
      </c>
      <c r="G734" t="inlineStr">
        <is>
          <t>NYKÖPING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27915-2023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45098</v>
      </c>
      <c r="E735" s="1" t="n">
        <v>46226</v>
      </c>
      <c r="F735" t="inlineStr">
        <is>
          <t>SÖDERMANLANDS LÄN</t>
        </is>
      </c>
      <c r="G735" t="inlineStr">
        <is>
          <t>NYKÖPING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27933-2023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45098</v>
      </c>
      <c r="E736" s="1" t="n">
        <v>46226</v>
      </c>
      <c r="F736" t="inlineStr">
        <is>
          <t>SÖDERMANLANDS LÄN</t>
        </is>
      </c>
      <c r="G736" t="inlineStr">
        <is>
          <t>NYKÖPING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44960</v>
      </c>
      <c r="E737" s="1" t="n">
        <v>46226</v>
      </c>
      <c r="F737" t="inlineStr">
        <is>
          <t>SÖDERMANLANDS LÄN</t>
        </is>
      </c>
      <c r="G737" t="inlineStr">
        <is>
          <t>NYKÖPING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45370</v>
      </c>
      <c r="E738" s="1" t="n">
        <v>46226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30198-2022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44757</v>
      </c>
      <c r="E739" s="1" t="n">
        <v>46226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42525-2023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45181</v>
      </c>
      <c r="E740" s="1" t="n">
        <v>46226</v>
      </c>
      <c r="F740" t="inlineStr">
        <is>
          <t>SÖDERMANLANDS LÄN</t>
        </is>
      </c>
      <c r="G740" t="inlineStr">
        <is>
          <t>NYKÖPING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4877-2024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46226</v>
      </c>
      <c r="F741" t="inlineStr">
        <is>
          <t>SÖDERMANLANDS LÄN</t>
        </is>
      </c>
      <c r="G741" t="inlineStr">
        <is>
          <t>NYKÖPING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52551-2023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45218</v>
      </c>
      <c r="E742" s="1" t="n">
        <v>46226</v>
      </c>
      <c r="F742" t="inlineStr">
        <is>
          <t>SÖDERMANLANDS LÄN</t>
        </is>
      </c>
      <c r="G742" t="inlineStr">
        <is>
          <t>NYKÖPING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51259-2024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45603</v>
      </c>
      <c r="E743" s="1" t="n">
        <v>46226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Sveaskog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48819-2021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44452</v>
      </c>
      <c r="E744" s="1" t="n">
        <v>46226</v>
      </c>
      <c r="F744" t="inlineStr">
        <is>
          <t>SÖDERMANLANDS LÄN</t>
        </is>
      </c>
      <c r="G744" t="inlineStr">
        <is>
          <t>NYKÖPING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8324-2024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45350</v>
      </c>
      <c r="E745" s="1" t="n">
        <v>46226</v>
      </c>
      <c r="F745" t="inlineStr">
        <is>
          <t>SÖDERMANLANDS LÄN</t>
        </is>
      </c>
      <c r="G745" t="inlineStr">
        <is>
          <t>NYKÖPING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3475-2023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44949</v>
      </c>
      <c r="E746" s="1" t="n">
        <v>46226</v>
      </c>
      <c r="F746" t="inlineStr">
        <is>
          <t>SÖDERMANLANDS LÄN</t>
        </is>
      </c>
      <c r="G746" t="inlineStr">
        <is>
          <t>NYKÖPING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56322-2023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45243</v>
      </c>
      <c r="E747" s="1" t="n">
        <v>46226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Kommuner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32875-2022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44784</v>
      </c>
      <c r="E748" s="1" t="n">
        <v>46226</v>
      </c>
      <c r="F748" t="inlineStr">
        <is>
          <t>SÖDERMANLANDS LÄN</t>
        </is>
      </c>
      <c r="G748" t="inlineStr">
        <is>
          <t>NYKÖPING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51689-2021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44462</v>
      </c>
      <c r="E749" s="1" t="n">
        <v>46226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72666-2021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44546</v>
      </c>
      <c r="E750" s="1" t="n">
        <v>46226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38410-2022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44812</v>
      </c>
      <c r="E751" s="1" t="n">
        <v>46226</v>
      </c>
      <c r="F751" t="inlineStr">
        <is>
          <t>SÖDERMANLANDS LÄN</t>
        </is>
      </c>
      <c r="G751" t="inlineStr">
        <is>
          <t>NYKÖPING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55983-2021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44477</v>
      </c>
      <c r="E752" s="1" t="n">
        <v>46226</v>
      </c>
      <c r="F752" t="inlineStr">
        <is>
          <t>SÖDERMANLANDS LÄN</t>
        </is>
      </c>
      <c r="G752" t="inlineStr">
        <is>
          <t>NYKÖPING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1930-2022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44575</v>
      </c>
      <c r="E753" s="1" t="n">
        <v>46226</v>
      </c>
      <c r="F753" t="inlineStr">
        <is>
          <t>SÖDERMANLANDS LÄN</t>
        </is>
      </c>
      <c r="G753" t="inlineStr">
        <is>
          <t>NYKÖPING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33669-2023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45132</v>
      </c>
      <c r="E754" s="1" t="n">
        <v>46226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46226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44579</v>
      </c>
      <c r="E756" s="1" t="n">
        <v>46226</v>
      </c>
      <c r="F756" t="inlineStr">
        <is>
          <t>SÖDERMANLANDS LÄN</t>
        </is>
      </c>
      <c r="G756" t="inlineStr">
        <is>
          <t>NYKÖPING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52258-2023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45224</v>
      </c>
      <c r="E757" s="1" t="n">
        <v>46226</v>
      </c>
      <c r="F757" t="inlineStr">
        <is>
          <t>SÖDERMANLANDS LÄN</t>
        </is>
      </c>
      <c r="G757" t="inlineStr">
        <is>
          <t>NYKÖPING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45062</v>
      </c>
      <c r="E758" s="1" t="n">
        <v>46226</v>
      </c>
      <c r="F758" t="inlineStr">
        <is>
          <t>SÖDERMANLANDS LÄN</t>
        </is>
      </c>
      <c r="G758" t="inlineStr">
        <is>
          <t>NYKÖPING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45306</v>
      </c>
      <c r="E759" s="1" t="n">
        <v>46226</v>
      </c>
      <c r="F759" t="inlineStr">
        <is>
          <t>SÖDERMANLANDS LÄN</t>
        </is>
      </c>
      <c r="G759" t="inlineStr">
        <is>
          <t>NYKÖPING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60210-2022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44910</v>
      </c>
      <c r="E760" s="1" t="n">
        <v>46226</v>
      </c>
      <c r="F760" t="inlineStr">
        <is>
          <t>SÖDERMANLANDS LÄN</t>
        </is>
      </c>
      <c r="G760" t="inlineStr">
        <is>
          <t>NYKÖPING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51410-2022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44869</v>
      </c>
      <c r="E761" s="1" t="n">
        <v>46226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45261</v>
      </c>
      <c r="E762" s="1" t="n">
        <v>46226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41735-2021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44425</v>
      </c>
      <c r="E763" s="1" t="n">
        <v>46226</v>
      </c>
      <c r="F763" t="inlineStr">
        <is>
          <t>SÖDERMANLANDS LÄN</t>
        </is>
      </c>
      <c r="G763" t="inlineStr">
        <is>
          <t>NYKÖPING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1804-2023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44938</v>
      </c>
      <c r="E764" s="1" t="n">
        <v>46226</v>
      </c>
      <c r="F764" t="inlineStr">
        <is>
          <t>SÖDERMANLANDS LÄN</t>
        </is>
      </c>
      <c r="G764" t="inlineStr">
        <is>
          <t>NYKÖPING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14848-2024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45398</v>
      </c>
      <c r="E765" s="1" t="n">
        <v>46226</v>
      </c>
      <c r="F765" t="inlineStr">
        <is>
          <t>SÖDERMANLANDS LÄN</t>
        </is>
      </c>
      <c r="G765" t="inlineStr">
        <is>
          <t>NYKÖPING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44575</v>
      </c>
      <c r="E766" s="1" t="n">
        <v>46226</v>
      </c>
      <c r="F766" t="inlineStr">
        <is>
          <t>SÖDERMANLANDS LÄN</t>
        </is>
      </c>
      <c r="G766" t="inlineStr">
        <is>
          <t>NYKÖPING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57028-2024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45628</v>
      </c>
      <c r="E767" s="1" t="n">
        <v>46226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21249-2023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45062</v>
      </c>
      <c r="E768" s="1" t="n">
        <v>46226</v>
      </c>
      <c r="F768" t="inlineStr">
        <is>
          <t>SÖDERMANLANDS LÄN</t>
        </is>
      </c>
      <c r="G768" t="inlineStr">
        <is>
          <t>NYKÖPING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45310</v>
      </c>
      <c r="E769" s="1" t="n">
        <v>46226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14370-2022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44652</v>
      </c>
      <c r="E770" s="1" t="n">
        <v>46226</v>
      </c>
      <c r="F770" t="inlineStr">
        <is>
          <t>SÖDERMANLANDS LÄN</t>
        </is>
      </c>
      <c r="G770" t="inlineStr">
        <is>
          <t>NYKÖPING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3571-2023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44950</v>
      </c>
      <c r="E771" s="1" t="n">
        <v>46226</v>
      </c>
      <c r="F771" t="inlineStr">
        <is>
          <t>SÖDERMANLANDS LÄN</t>
        </is>
      </c>
      <c r="G771" t="inlineStr">
        <is>
          <t>NYKÖPING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44977</v>
      </c>
      <c r="E772" s="1" t="n">
        <v>46226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926-2023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44932</v>
      </c>
      <c r="E773" s="1" t="n">
        <v>46226</v>
      </c>
      <c r="F773" t="inlineStr">
        <is>
          <t>SÖDERMANLANDS LÄN</t>
        </is>
      </c>
      <c r="G773" t="inlineStr">
        <is>
          <t>NYKÖPING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44932</v>
      </c>
      <c r="E774" s="1" t="n">
        <v>46226</v>
      </c>
      <c r="F774" t="inlineStr">
        <is>
          <t>SÖDERMANLANDS LÄN</t>
        </is>
      </c>
      <c r="G774" t="inlineStr">
        <is>
          <t>NYKÖPING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41241-2023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45173</v>
      </c>
      <c r="E775" s="1" t="n">
        <v>46226</v>
      </c>
      <c r="F775" t="inlineStr">
        <is>
          <t>SÖDERMANLANDS LÄN</t>
        </is>
      </c>
      <c r="G775" t="inlineStr">
        <is>
          <t>NYKÖPING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53800-2022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44880</v>
      </c>
      <c r="E776" s="1" t="n">
        <v>46226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Övriga Aktiebolag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18123-2023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45040</v>
      </c>
      <c r="E777" s="1" t="n">
        <v>46226</v>
      </c>
      <c r="F777" t="inlineStr">
        <is>
          <t>SÖDERMANLANDS LÄN</t>
        </is>
      </c>
      <c r="G777" t="inlineStr">
        <is>
          <t>NYKÖPING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24197-2022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44725</v>
      </c>
      <c r="E778" s="1" t="n">
        <v>46226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32928-2022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44784</v>
      </c>
      <c r="E779" s="1" t="n">
        <v>46226</v>
      </c>
      <c r="F779" t="inlineStr">
        <is>
          <t>SÖDERMANLANDS LÄN</t>
        </is>
      </c>
      <c r="G779" t="inlineStr">
        <is>
          <t>NYKÖPING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16457-2023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45029</v>
      </c>
      <c r="E780" s="1" t="n">
        <v>46226</v>
      </c>
      <c r="F780" t="inlineStr">
        <is>
          <t>SÖDERMANLANDS LÄN</t>
        </is>
      </c>
      <c r="G780" t="inlineStr">
        <is>
          <t>NYKÖPING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65174-2023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45288</v>
      </c>
      <c r="E781" s="1" t="n">
        <v>46226</v>
      </c>
      <c r="F781" t="inlineStr">
        <is>
          <t>SÖDERMANLANDS LÄN</t>
        </is>
      </c>
      <c r="G781" t="inlineStr">
        <is>
          <t>NYKÖPING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49223-2022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44858</v>
      </c>
      <c r="E782" s="1" t="n">
        <v>46226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Övriga statliga verk och myndigheter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7036-2023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44968</v>
      </c>
      <c r="E783" s="1" t="n">
        <v>46226</v>
      </c>
      <c r="F783" t="inlineStr">
        <is>
          <t>SÖDERMANLANDS LÄN</t>
        </is>
      </c>
      <c r="G783" t="inlineStr">
        <is>
          <t>NYKÖPING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38054-2023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45160</v>
      </c>
      <c r="E784" s="1" t="n">
        <v>46226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38063-2023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45160</v>
      </c>
      <c r="E785" s="1" t="n">
        <v>46226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4479-2025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45686</v>
      </c>
      <c r="E786" s="1" t="n">
        <v>46226</v>
      </c>
      <c r="F786" t="inlineStr">
        <is>
          <t>SÖDERMANLANDS LÄN</t>
        </is>
      </c>
      <c r="G786" t="inlineStr">
        <is>
          <t>NYKÖPING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11554-2025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45727</v>
      </c>
      <c r="E787" s="1" t="n">
        <v>46226</v>
      </c>
      <c r="F787" t="inlineStr">
        <is>
          <t>SÖDERMANLANDS LÄN</t>
        </is>
      </c>
      <c r="G787" t="inlineStr">
        <is>
          <t>NYKÖPING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10287-2024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45365</v>
      </c>
      <c r="E788" s="1" t="n">
        <v>46226</v>
      </c>
      <c r="F788" t="inlineStr">
        <is>
          <t>SÖDERMANLANDS LÄN</t>
        </is>
      </c>
      <c r="G788" t="inlineStr">
        <is>
          <t>NYKÖPING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45306</v>
      </c>
      <c r="E789" s="1" t="n">
        <v>46226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Kommuner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65172-2023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45288</v>
      </c>
      <c r="E790" s="1" t="n">
        <v>46226</v>
      </c>
      <c r="F790" t="inlineStr">
        <is>
          <t>SÖDERMANLANDS LÄN</t>
        </is>
      </c>
      <c r="G790" t="inlineStr">
        <is>
          <t>NYKÖPING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38922-2024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45547</v>
      </c>
      <c r="E791" s="1" t="n">
        <v>46226</v>
      </c>
      <c r="F791" t="inlineStr">
        <is>
          <t>SÖDERMANLANDS LÄN</t>
        </is>
      </c>
      <c r="G791" t="inlineStr">
        <is>
          <t>NYKÖPING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11908-2023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46226</v>
      </c>
      <c r="F792" t="inlineStr">
        <is>
          <t>SÖDERMANLANDS LÄN</t>
        </is>
      </c>
      <c r="G792" t="inlineStr">
        <is>
          <t>NYKÖPING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44581</v>
      </c>
      <c r="E793" s="1" t="n">
        <v>46226</v>
      </c>
      <c r="F793" t="inlineStr">
        <is>
          <t>SÖDERMANLANDS LÄN</t>
        </is>
      </c>
      <c r="G793" t="inlineStr">
        <is>
          <t>NYKÖPING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36000-2023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45148</v>
      </c>
      <c r="E794" s="1" t="n">
        <v>46226</v>
      </c>
      <c r="F794" t="inlineStr">
        <is>
          <t>SÖDERMANLANDS LÄN</t>
        </is>
      </c>
      <c r="G794" t="inlineStr">
        <is>
          <t>NYKÖPING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8787-2025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45712</v>
      </c>
      <c r="E795" s="1" t="n">
        <v>46226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24285-2022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44725</v>
      </c>
      <c r="E796" s="1" t="n">
        <v>46226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44966</v>
      </c>
      <c r="E797" s="1" t="n">
        <v>46226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Övriga Aktiebolag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71555-2021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44540</v>
      </c>
      <c r="E798" s="1" t="n">
        <v>46226</v>
      </c>
      <c r="F798" t="inlineStr">
        <is>
          <t>SÖDERMANLANDS LÄN</t>
        </is>
      </c>
      <c r="G798" t="inlineStr">
        <is>
          <t>NYKÖPING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45856-2021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44433</v>
      </c>
      <c r="E799" s="1" t="n">
        <v>46226</v>
      </c>
      <c r="F799" t="inlineStr">
        <is>
          <t>SÖDERMANLANDS LÄN</t>
        </is>
      </c>
      <c r="G799" t="inlineStr">
        <is>
          <t>NYKÖPING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17372-2023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45034</v>
      </c>
      <c r="E800" s="1" t="n">
        <v>46226</v>
      </c>
      <c r="F800" t="inlineStr">
        <is>
          <t>SÖDERMANLANDS LÄN</t>
        </is>
      </c>
      <c r="G800" t="inlineStr">
        <is>
          <t>NYKÖPING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42251-2022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44830</v>
      </c>
      <c r="E801" s="1" t="n">
        <v>46226</v>
      </c>
      <c r="F801" t="inlineStr">
        <is>
          <t>SÖDERMANLANDS LÄN</t>
        </is>
      </c>
      <c r="G801" t="inlineStr">
        <is>
          <t>NYKÖPING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36714-2023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45153</v>
      </c>
      <c r="E802" s="1" t="n">
        <v>46226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58857-2021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44489</v>
      </c>
      <c r="E803" s="1" t="n">
        <v>46226</v>
      </c>
      <c r="F803" t="inlineStr">
        <is>
          <t>SÖDERMANLANDS LÄN</t>
        </is>
      </c>
      <c r="G803" t="inlineStr">
        <is>
          <t>NYKÖPING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45775</v>
      </c>
      <c r="E804" s="1" t="n">
        <v>46226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Kommuner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44824-2023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45190</v>
      </c>
      <c r="E805" s="1" t="n">
        <v>46226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Holmen skog AB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7045-2023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44968</v>
      </c>
      <c r="E806" s="1" t="n">
        <v>46226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58553-2024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45635</v>
      </c>
      <c r="E807" s="1" t="n">
        <v>46226</v>
      </c>
      <c r="F807" t="inlineStr">
        <is>
          <t>SÖDERMANLANDS LÄN</t>
        </is>
      </c>
      <c r="G807" t="inlineStr">
        <is>
          <t>NYKÖPING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34203-2024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45524</v>
      </c>
      <c r="E808" s="1" t="n">
        <v>46226</v>
      </c>
      <c r="F808" t="inlineStr">
        <is>
          <t>SÖDERMANLANDS LÄN</t>
        </is>
      </c>
      <c r="G808" t="inlineStr">
        <is>
          <t>NYKÖPING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59148-2024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46226</v>
      </c>
      <c r="F809" t="inlineStr">
        <is>
          <t>SÖDERMANLANDS LÄN</t>
        </is>
      </c>
      <c r="G809" t="inlineStr">
        <is>
          <t>NYKÖPING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42977-2021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44430</v>
      </c>
      <c r="E810" s="1" t="n">
        <v>46226</v>
      </c>
      <c r="F810" t="inlineStr">
        <is>
          <t>SÖDERMANLANDS LÄN</t>
        </is>
      </c>
      <c r="G810" t="inlineStr">
        <is>
          <t>NYKÖPING</t>
        </is>
      </c>
      <c r="I810" t="n">
        <v>25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53071-2024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45611</v>
      </c>
      <c r="E811" s="1" t="n">
        <v>46226</v>
      </c>
      <c r="F811" t="inlineStr">
        <is>
          <t>SÖDERMANLANDS LÄN</t>
        </is>
      </c>
      <c r="G811" t="inlineStr">
        <is>
          <t>NYKÖPING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55865-2023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46226</v>
      </c>
      <c r="F812" t="inlineStr">
        <is>
          <t>SÖDERMANLANDS LÄN</t>
        </is>
      </c>
      <c r="G812" t="inlineStr">
        <is>
          <t>NYKÖPING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45672</v>
      </c>
      <c r="E813" s="1" t="n">
        <v>46226</v>
      </c>
      <c r="F813" t="inlineStr">
        <is>
          <t>SÖDERMANLANDS LÄN</t>
        </is>
      </c>
      <c r="G813" t="inlineStr">
        <is>
          <t>NYKÖPING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46226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46226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46226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46226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46226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46226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46226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46226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46226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46226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46226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46226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2026-07-23T01:42:31Z</dcterms:created>
  <dcterms:modified xmlns:dcterms="http://purl.org/dc/terms/" xmlns:xsi="http://www.w3.org/2001/XMLSchema-instance" xsi:type="dcterms:W3CDTF">2026-07-23T01:42:32Z</dcterms:modified>
</cp:coreProperties>
</file>