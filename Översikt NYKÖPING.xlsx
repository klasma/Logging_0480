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45755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45755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45755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45755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45755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45755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45755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45755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45755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45755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45755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45755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45755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45755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45755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45755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45755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45755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45755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45755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45755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45755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45755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45755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45755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45755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45755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45755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45755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45755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45755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45755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45755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12931-2025</t>
        </is>
      </c>
      <c r="B35" s="1" t="n">
        <v>45734</v>
      </c>
      <c r="C35" s="1" t="n">
        <v>45755</v>
      </c>
      <c r="D35" t="inlineStr">
        <is>
          <t>SÖDERMANLANDS LÄN</t>
        </is>
      </c>
      <c r="E35" t="inlineStr">
        <is>
          <t>NYKÖPING</t>
        </is>
      </c>
      <c r="G35" t="n">
        <v>2.5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Blodticka
Revlummer</t>
        </is>
      </c>
      <c r="S35">
        <f>HYPERLINK("https://klasma.github.io/Logging_040480/artfynd/A 12931-2025 artfynd.xlsx", "A 12931-2025")</f>
        <v/>
      </c>
      <c r="T35">
        <f>HYPERLINK("https://klasma.github.io/Logging_040480/kartor/A 12931-2025 karta.png", "A 12931-2025")</f>
        <v/>
      </c>
      <c r="U35">
        <f>HYPERLINK("https://klasma.github.io/Logging_040480/knärot/A 12931-2025 karta knärot.png", "A 12931-2025")</f>
        <v/>
      </c>
      <c r="V35">
        <f>HYPERLINK("https://klasma.github.io/Logging_040480/klagomål/A 12931-2025 FSC-klagomål.docx", "A 12931-2025")</f>
        <v/>
      </c>
      <c r="W35">
        <f>HYPERLINK("https://klasma.github.io/Logging_040480/klagomålsmail/A 12931-2025 FSC-klagomål mail.docx", "A 12931-2025")</f>
        <v/>
      </c>
      <c r="X35">
        <f>HYPERLINK("https://klasma.github.io/Logging_040480/tillsyn/A 12931-2025 tillsynsbegäran.docx", "A 12931-2025")</f>
        <v/>
      </c>
      <c r="Y35">
        <f>HYPERLINK("https://klasma.github.io/Logging_040480/tillsynsmail/A 12931-2025 tillsynsbegäran mail.docx", "A 12931-2025")</f>
        <v/>
      </c>
      <c r="Z35">
        <f>HYPERLINK("https://klasma.github.io/Logging_040480/fåglar/A 12931-2025 prioriterade fågelarter.docx", "A 12931-2025")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45755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45755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45755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45755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45755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45755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45755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45755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45755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45755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45755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45755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45755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45755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45755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45755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45755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45755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45755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45755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45755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45755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45755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45755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45755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45755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45755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45755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45755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45755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45755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45755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45755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45755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45755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 vaxskivling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45755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45755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45755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45755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45755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45755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45755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45755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45755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45755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45755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45755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45755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45755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45755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45755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45755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45755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45755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45755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45755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45755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45755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45755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45755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45755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45755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45755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45755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45755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45755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45755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45755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45755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45755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45755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45755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45755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45755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45755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45755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45755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45755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45755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45755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45755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45755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45755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45755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45755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45755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45755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45755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45755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45755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45755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45755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45755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45755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45755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45755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45755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45755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45755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45755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45755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45755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45755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45755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45755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45755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45755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45755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45755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45755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45755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45755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45755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45755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45755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45755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45755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45755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45755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45755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45755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45755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45755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45755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45755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45755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45755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45755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45755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45755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45755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45755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45755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45755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45755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45755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45755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45755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45755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45755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45755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45755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45755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45755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45755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45755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45755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45755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45755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45755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45755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45755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45755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45755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45755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45755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45755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45755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45755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45755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45755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45755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45755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45755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45755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45755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45755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45755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45755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45755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45755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45755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45755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45755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45755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45755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45755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45755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45755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45755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45755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45755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45755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45755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45755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45755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45755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45755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45755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45755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45755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45755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45755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45755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45755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45755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45755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45755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45755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45755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45755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45755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45755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45755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45755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45755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45755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45755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45755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45755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45755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45755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45755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45755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45755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45755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45755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45755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45755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45755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45755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45755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45755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45755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45755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45755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45755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45755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45755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45755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45755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45755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45755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45755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45755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45755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45755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45755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45755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45755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45755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45755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45755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45755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45755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45755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45755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45755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45755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45755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45755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45755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45755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45755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45755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45755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45755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45755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45755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45755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45755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45755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45755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45755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45755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45755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45755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45755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45755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45755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45755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45755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45755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45755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45755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45755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45755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45755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45755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45755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45755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45755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45755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45755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45755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45755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45755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45755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45755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45755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45755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45755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45755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45755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45755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45755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45755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45755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45755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45755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45755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45755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45755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45755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45755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45755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45755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45755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45755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45755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45755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45755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45755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45755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45755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45755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45755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45755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45755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45755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45755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45755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45755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45755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45755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45755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45755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45755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45755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45755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45755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45755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45755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45755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45755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45755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45755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45755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45755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45755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45755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45755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45755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45755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45755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45755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45755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45755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45755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45755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45755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45755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45755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45755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45755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45755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45755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45755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45755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45755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45755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45755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45755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45755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45755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45755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45755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45755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45755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45755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45755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45755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45755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45755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45755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45755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45755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45755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45755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45755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45755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45755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45755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45755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45755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45755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45755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45755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45755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45755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45755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45755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45755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45755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45755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45755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45755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45755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45755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45755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45755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45755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45755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45755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45755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45755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45755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45755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45755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45755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45755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45755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45755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45755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45755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45755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45755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45755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45755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45755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45755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45755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45755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45755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45755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45755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45755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45755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45755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45755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45755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45755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45755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45755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45755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45755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45755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45755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45755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45755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45755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45755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45755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45755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45755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45755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45755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45755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45755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45755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45755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45755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45755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45755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45755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45755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45755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45755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45755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45755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45755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45755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45755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45755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45755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45755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45755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45755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45755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45755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45755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45755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45755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45755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45755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45755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45755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45755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45755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45755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45755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45755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45755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45755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45755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45755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45755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45755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45755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45755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45755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45755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45755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45755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45755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45755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45755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45755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45755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45755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45755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45755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45755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45755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45755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45755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45755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45755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45755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45755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45755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45755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45755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45755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45755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45755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45755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45755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45755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45755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45755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45755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45755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45755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45755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45755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45755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45755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45755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45755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45755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45755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45755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45755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45755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45755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45755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45755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45755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45755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45755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45755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45755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45755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45755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45755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45755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45755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45755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45755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45755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45755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45755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45755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45755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45755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45755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45755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45755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45755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45755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45755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45755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45755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45755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45755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45755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45755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45755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45755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45755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45755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45755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45755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45755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45755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45755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45755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45755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45755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45755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45755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45755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45755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45755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45755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45755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45755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45755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45755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45755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45755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45755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45755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45755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45755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45755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45755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45755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45755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45755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45755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45755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45755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45755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45755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45755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45755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45755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45755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45755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45755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45755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45755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45755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45755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45755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45755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45755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45755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45755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45755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45755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45755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45755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45755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45755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45755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45755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45755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45755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45755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45755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45755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45755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45755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45755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45755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45755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45755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45755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45755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45755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45755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45755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45755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45755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45755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45755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45755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45755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45755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45755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45755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45755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45755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45755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45755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45755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45755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45755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45755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45755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45755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45755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45755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45755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45755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45755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45755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45755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45755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45755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45755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45755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45755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45755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45755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45755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45755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45755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45755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45755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45755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45755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45755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45755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45755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45755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45755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45755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45755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45755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45755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45755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45755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45755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45755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45755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45755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45755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45755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45755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45755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45755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45755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45755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45755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45755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45755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45755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45755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45755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45755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45755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45755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45755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45755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45755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45755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45755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45755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45755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45755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45755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45755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45755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45755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45755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45755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45755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45755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45755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45755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45755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45755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45755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45755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45755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45755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45755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45755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45755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45755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45755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45755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45755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45755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45755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45755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45755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45755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45755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45755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45755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45755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45755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45755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45755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45755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45755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45755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45755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45755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45755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45755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45755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45755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45755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45755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45755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45755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45755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45755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45755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45755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45755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45755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45755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45755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45755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45755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45755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45755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45755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45755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45755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45755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45755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45755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45755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45755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45755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45755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45755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45755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45755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45755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45755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45755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45755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45755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45755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45755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45755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45755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45755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45755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45755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45755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45755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45755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45755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45755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45755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45755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45755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45755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45755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45755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45755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45755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45755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45755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45755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45755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45755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45755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45755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45755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45755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45755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45755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45755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45755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45755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45755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45755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45755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45755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45755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45755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45755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45755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45755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45755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45755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45755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45755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45755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45755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45755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45755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45755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45755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45755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45755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45755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45755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45755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45755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45755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45755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45755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45755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45755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45755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45755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45755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45755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45755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45755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45755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45755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45755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45755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45755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45755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45755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45755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45755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45755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45755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45755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45755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45755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45755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45755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45755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45755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45755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45755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45755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45755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45755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45755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45755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45755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45755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45755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45755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45755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45755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45755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45755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45755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45755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45755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45755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45755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45755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45755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45755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45755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45755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45755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45755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45755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45755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45755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45755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45755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45755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45755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45755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45755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45755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45755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45755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45755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45755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45755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45755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45755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45755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45755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45755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45755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45755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45755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45755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45755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45755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45755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45755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45755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45755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45755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45755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45755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45755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45755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45755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45755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45755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45755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45755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45755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45755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45755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45755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45755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45755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45755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45755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45755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45755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45755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45755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45755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45755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45755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45755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45755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45755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45755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45755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45755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45755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45755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45755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45755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45755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45755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45755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45755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45755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45755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45755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45755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45755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45755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45755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45755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45755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45755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45755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45755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45755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45755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45755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45755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45755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45755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45755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45755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45755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45755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45755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45755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45755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45755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45755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45755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45755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45755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45755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45755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45755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45755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45755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45755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45755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45755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45755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45755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45755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45755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45755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45755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45755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45755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45755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45755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45755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45755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45755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45755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45755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45755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45755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45755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45755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45755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45755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45755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45755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45755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45755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45755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45755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45755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45755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45755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45755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45755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45755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45755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45755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45755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45755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45755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45755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45755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45755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45755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45755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45755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45755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45755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45755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45755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45755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45755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45755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45755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45755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45755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45755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45755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45755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45755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45755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45755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45755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45755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45755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45755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45755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45755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45755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45755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45755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45755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45755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45755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45755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45755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45755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45755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45755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45755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45755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45755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45755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45755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45755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45755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45755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45755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45755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45755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45755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45755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45755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45755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45755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45755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45755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45755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45755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45755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45755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45755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45755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45755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45755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45755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45755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45755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45755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45755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45755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45755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45755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45755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45755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45755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45755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45755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45755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45755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45755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45755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45755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45755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45755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45755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45755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45755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45755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45755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45755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45755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45755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45755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45755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45755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45755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45755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45755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45755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45755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45755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45755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45755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45755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45755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45755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45755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45755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45755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45755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45755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45755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45755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45755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45755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45755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45755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45755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45755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45755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45755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45755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45755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45755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45755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45755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45755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45755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45755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45755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45755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45755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45755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45755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45755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45755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45755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45755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45755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45755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45755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45755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45755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45755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45755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45755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45755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45755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45755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45755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45755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45755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45755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45755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45755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45755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45755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45755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45755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45755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45755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45755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45755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45755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45755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45755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45755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45755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45755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45755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45755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45755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45755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45755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45755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45755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45755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45755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45755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45755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45755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45755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45755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45755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45755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45755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45755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45755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45755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45755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45755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45755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45755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45755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45755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45755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45755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45755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45755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45755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45755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45755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45755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45755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45755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45755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45755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45755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45755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45755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45755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45755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45755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45755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45755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45755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45755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45755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45755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45755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45755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45755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45755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45755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45755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45755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45755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45755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45755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45755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45755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45755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45755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45755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45755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45755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45755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45755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45755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45755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45755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45755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45755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45755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45755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45755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45755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45755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45755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45755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45755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45755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45755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45755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45755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45755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45755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45755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45755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45755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45755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45755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45755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45755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45755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45755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45755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45755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45755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45755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45755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45755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45755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45755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45755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45755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45755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45755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45755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45755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45755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45755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45755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45755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45755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45755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45755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45755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45755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45755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45755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45755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45755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45755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45755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45755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45755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45755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45755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45755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45755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45755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45755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45755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45755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45755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45755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45755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45755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45755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45755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45755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45755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45755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45755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45755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45755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45755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45755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45755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45755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45755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45755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45755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45755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45755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45755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45755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45755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45755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45755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45755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45755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45755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45755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45755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45755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45755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45755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45755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45755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45755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45755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45755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45755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45755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45755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45755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45755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45755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45755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45755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45755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45755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45755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45755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45755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45755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45755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45755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45755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45755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45755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45755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45755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45755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45755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45755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45755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45755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45755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45755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45755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45755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45755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45755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45755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45755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45755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45755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45755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45755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45755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45755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45755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45755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45755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45755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45755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45755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45755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45755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45755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45755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45755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45755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45755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45755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45755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45755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45755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45755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45755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45755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45755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45755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45755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45755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45755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45755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45755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45755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45755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45755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45755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45755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45755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45755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45755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45755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45755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45755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45755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45755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45755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45755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45755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45755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45755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45755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45755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45755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45755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45755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45755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45755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45755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45755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45755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45755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45755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45755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45755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45755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45755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45755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45755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45755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45755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45755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45755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45755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45755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45755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45755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45755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45755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45755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45755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45755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45755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45755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45755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45755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45755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45755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45755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45755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45755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45755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45755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45755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45755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45755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45755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45755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45755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45755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45755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45755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45755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45755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45755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45755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45755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45755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45755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45755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45755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45755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45755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45755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45755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45755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45755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45755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45755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45755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45755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45755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45755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45755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45755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45755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45755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45755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45755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45755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45755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45755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45755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45755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45755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45755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45755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45755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45755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45755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45755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45755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45755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45755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45755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45755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45755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45755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45755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45755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45755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45755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45755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45755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45755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45755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45755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45755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45755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45755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45755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45755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45755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45755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45755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45755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45755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45755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45755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45755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45755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45755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45755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45755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45755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45755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45755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45755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45755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45755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45755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45755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45755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45755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45755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45755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45755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45755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45755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45755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45755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45755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45755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45755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45755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45755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45755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45755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45755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45755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45755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45755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45755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45755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45755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45755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45755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45755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45755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45755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45755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45755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45755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45755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45755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45755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45755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45755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45755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45755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45755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45755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45755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45755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45755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45755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45755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45755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45755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45755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45755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45755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45755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45755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45755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45755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45755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45755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45755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45755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45755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45755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45755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45755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45755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45755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45755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45755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45755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45755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45755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45755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45755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45755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45755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45755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45755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45755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45755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45755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45755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45755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45755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45755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45755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45755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45755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45755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45755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45755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45755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45755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45755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45755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45755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45755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45755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45755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45755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45755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45755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45755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45755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45755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45755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45755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45755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45755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45755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45755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45755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45755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45755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45755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45755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45755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45755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45755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45755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45755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45755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45755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45755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45755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45755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45755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45755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45755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45755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45755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45755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12451-2025</t>
        </is>
      </c>
      <c r="B1788" s="1" t="n">
        <v>45730</v>
      </c>
      <c r="C1788" s="1" t="n">
        <v>45755</v>
      </c>
      <c r="D1788" t="inlineStr">
        <is>
          <t>SÖDERMANLANDS LÄN</t>
        </is>
      </c>
      <c r="E1788" t="inlineStr">
        <is>
          <t>NYKÖPING</t>
        </is>
      </c>
      <c r="G1788" t="n">
        <v>6.9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12467-2025</t>
        </is>
      </c>
      <c r="B1789" s="1" t="n">
        <v>45730</v>
      </c>
      <c r="C1789" s="1" t="n">
        <v>45755</v>
      </c>
      <c r="D1789" t="inlineStr">
        <is>
          <t>SÖDERMANLANDS LÄN</t>
        </is>
      </c>
      <c r="E1789" t="inlineStr">
        <is>
          <t>NYKÖPING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12456-2025</t>
        </is>
      </c>
      <c r="B1790" s="1" t="n">
        <v>45730</v>
      </c>
      <c r="C1790" s="1" t="n">
        <v>45755</v>
      </c>
      <c r="D1790" t="inlineStr">
        <is>
          <t>SÖDERMANLANDS LÄN</t>
        </is>
      </c>
      <c r="E1790" t="inlineStr">
        <is>
          <t>NYKÖPING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45755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12460-2025</t>
        </is>
      </c>
      <c r="B1792" s="1" t="n">
        <v>45730</v>
      </c>
      <c r="C1792" s="1" t="n">
        <v>45755</v>
      </c>
      <c r="D1792" t="inlineStr">
        <is>
          <t>SÖDERMANLANDS LÄN</t>
        </is>
      </c>
      <c r="E1792" t="inlineStr">
        <is>
          <t>NYKÖPING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45755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45755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45755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45755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45755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45755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45755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45755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45755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45755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45755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45755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45755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15024-2025</t>
        </is>
      </c>
      <c r="B1806" s="1" t="n">
        <v>45743</v>
      </c>
      <c r="C1806" s="1" t="n">
        <v>45755</v>
      </c>
      <c r="D1806" t="inlineStr">
        <is>
          <t>SÖDERMANLANDS LÄN</t>
        </is>
      </c>
      <c r="E1806" t="inlineStr">
        <is>
          <t>NYKÖPING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45755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45755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45755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45755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45755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45755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45755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15357-2025</t>
        </is>
      </c>
      <c r="B1814" s="1" t="n">
        <v>45747</v>
      </c>
      <c r="C1814" s="1" t="n">
        <v>45755</v>
      </c>
      <c r="D1814" t="inlineStr">
        <is>
          <t>SÖDERMANLANDS LÄN</t>
        </is>
      </c>
      <c r="E1814" t="inlineStr">
        <is>
          <t>NYKÖPING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45755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>
      <c r="A1816" t="inlineStr">
        <is>
          <t>A 16630-2025</t>
        </is>
      </c>
      <c r="B1816" s="1" t="n">
        <v>45754</v>
      </c>
      <c r="C1816" s="1" t="n">
        <v>45755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2025-04-08T16:46:54Z</dcterms:created>
  <dcterms:modified xmlns:dcterms="http://purl.org/dc/terms/" xmlns:xsi="http://www.w3.org/2001/XMLSchema-instance" xsi:type="dcterms:W3CDTF">2025-04-08T16:46:55Z</dcterms:modified>
</cp:coreProperties>
</file>