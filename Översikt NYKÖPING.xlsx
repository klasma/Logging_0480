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46224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46224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46224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46224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46224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46224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46224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46224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46224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46224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46224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46224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46224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46224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1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46224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46224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46224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46224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46224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46224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46224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46224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46224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46224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46224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46224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46224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46224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46224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46224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46224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46224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46224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46224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46224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46224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Grantaggsvamp
Skarp dropptaggsvamp
Zontaggsvamp</t>
        </is>
      </c>
      <c r="W40">
        <f>HYPERLINK("https://klasma.github.io/Logging_0480/artfynd/A 54227-2025 artfynd.xlsx", "A 54227-2025")</f>
        <v/>
      </c>
      <c r="X40">
        <f>HYPERLINK("https://klasma.github.io/Logging_0480/kartor/A 54227-2025 karta.png", "A 54227-2025")</f>
        <v/>
      </c>
      <c r="Y40">
        <f>HYPERLINK("https://klasma.github.io/Logging_0480/kartor_geotiff/A 54227-2025 georefererad karta.tif", "A 54227-2025")</f>
        <v/>
      </c>
      <c r="AA40">
        <f>HYPERLINK("https://klasma.github.io/Logging_0480/klagomål/A 54227-2025 FSC-klagomål.docx", "A 54227-2025")</f>
        <v/>
      </c>
      <c r="AB40">
        <f>HYPERLINK("https://klasma.github.io/Logging_0480/klagomålsmail/A 54227-2025 FSC-klagomål mail.docx", "A 54227-2025")</f>
        <v/>
      </c>
      <c r="AC40">
        <f>HYPERLINK("https://klasma.github.io/Logging_0480/tillsyn/A 54227-2025 tillsynsbegäran.docx", "A 54227-2025")</f>
        <v/>
      </c>
      <c r="AD40">
        <f>HYPERLINK("https://klasma.github.io/Logging_0480/tillsynsmail/A 54227-2025 tillsynsbegäran mail.docx", "A 54227-2025")</f>
        <v/>
      </c>
    </row>
    <row r="41" ht="15" customHeight="1">
      <c r="A41" t="inlineStr">
        <is>
          <t>A 54498-2023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46224</v>
      </c>
      <c r="F41" t="inlineStr">
        <is>
          <t>SÖDERMANLANDS LÄN</t>
        </is>
      </c>
      <c r="G41" t="inlineStr">
        <is>
          <t>NYKÖPING</t>
        </is>
      </c>
      <c r="I41" t="n">
        <v>4.7</v>
      </c>
      <c r="J41" t="n">
        <v>3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1</v>
      </c>
      <c r="V41" s="2" t="inlineStr">
        <is>
          <t>Brun glada
Trana
Utter</t>
        </is>
      </c>
      <c r="W41">
        <f>HYPERLINK("https://klasma.github.io/Logging_0480/artfynd/A 54498-2023 artfynd.xlsx", "A 54498-2023")</f>
        <v/>
      </c>
      <c r="X41">
        <f>HYPERLINK("https://klasma.github.io/Logging_0480/kartor/A 54498-2023 karta.png", "A 54498-2023")</f>
        <v/>
      </c>
      <c r="Y41">
        <f>HYPERLINK("https://klasma.github.io/Logging_0480/kartor_geotiff/A 54498-2023 georefererad karta.tif", "A 54498-2023")</f>
        <v/>
      </c>
      <c r="AA41">
        <f>HYPERLINK("https://klasma.github.io/Logging_0480/klagomål/A 54498-2023 FSC-klagomål.docx", "A 54498-2023")</f>
        <v/>
      </c>
      <c r="AB41">
        <f>HYPERLINK("https://klasma.github.io/Logging_0480/klagomålsmail/A 54498-2023 FSC-klagomål mail.docx", "A 54498-2023")</f>
        <v/>
      </c>
      <c r="AC41">
        <f>HYPERLINK("https://klasma.github.io/Logging_0480/tillsyn/A 54498-2023 tillsynsbegäran.docx", "A 54498-2023")</f>
        <v/>
      </c>
      <c r="AD41">
        <f>HYPERLINK("https://klasma.github.io/Logging_0480/tillsynsmail/A 54498-2023 tillsynsbegäran mail.docx", "A 54498-2023")</f>
        <v/>
      </c>
      <c r="AE41">
        <f>HYPERLINK("https://klasma.github.io/Logging_0480/fåglar/A 54498-2023 prioriterade fågelarter.docx", "A 54498-2023")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46224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Skogshare
Nattskärra
Revlummer</t>
        </is>
      </c>
      <c r="W42">
        <f>HYPERLINK("https://klasma.github.io/Logging_0480/artfynd/A 58783-2025 artfynd.xlsx", "A 58783-2025")</f>
        <v/>
      </c>
      <c r="X42">
        <f>HYPERLINK("https://klasma.github.io/Logging_0480/kartor/A 58783-2025 karta.png", "A 58783-2025")</f>
        <v/>
      </c>
      <c r="Y42">
        <f>HYPERLINK("https://klasma.github.io/Logging_0480/kartor_geotiff/A 58783-2025 georefererad karta.tif", "A 58783-2025")</f>
        <v/>
      </c>
      <c r="AA42">
        <f>HYPERLINK("https://klasma.github.io/Logging_0480/klagomål/A 58783-2025 FSC-klagomål.docx", "A 58783-2025")</f>
        <v/>
      </c>
      <c r="AB42">
        <f>HYPERLINK("https://klasma.github.io/Logging_0480/klagomålsmail/A 58783-2025 FSC-klagomål mail.docx", "A 58783-2025")</f>
        <v/>
      </c>
      <c r="AC42">
        <f>HYPERLINK("https://klasma.github.io/Logging_0480/tillsyn/A 58783-2025 tillsynsbegäran.docx", "A 58783-2025")</f>
        <v/>
      </c>
      <c r="AD42">
        <f>HYPERLINK("https://klasma.github.io/Logging_0480/tillsynsmail/A 58783-2025 tillsynsbegäran mail.docx", "A 58783-2025")</f>
        <v/>
      </c>
      <c r="AE42">
        <f>HYPERLINK("https://klasma.github.io/Logging_0480/fåglar/A 58783-2025 prioriterade fågelarter.docx", "A 58783-2025")</f>
        <v/>
      </c>
    </row>
    <row r="43" ht="15" customHeight="1">
      <c r="A43" t="inlineStr">
        <is>
          <t>A 11640-2022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44631</v>
      </c>
      <c r="E43" s="1" t="n">
        <v>46224</v>
      </c>
      <c r="F43" t="inlineStr">
        <is>
          <t>SÖDERMANLANDS LÄN</t>
        </is>
      </c>
      <c r="G43" t="inlineStr">
        <is>
          <t>NYKÖPING</t>
        </is>
      </c>
      <c r="H43" t="inlineStr">
        <is>
          <t>Kyrkan</t>
        </is>
      </c>
      <c r="I43" t="n">
        <v>7.6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Fjällig taggsvamp s.str.
Granbarkgnagare
Grovticka</t>
        </is>
      </c>
      <c r="W43">
        <f>HYPERLINK("https://klasma.github.io/Logging_0480/artfynd/A 11640-2022 artfynd.xlsx", "A 11640-2022")</f>
        <v/>
      </c>
      <c r="X43">
        <f>HYPERLINK("https://klasma.github.io/Logging_0480/kartor/A 11640-2022 karta.png", "A 11640-2022")</f>
        <v/>
      </c>
      <c r="Y43">
        <f>HYPERLINK("https://klasma.github.io/Logging_0480/kartor_geotiff/A 11640-2022 georefererad karta.tif", "A 11640-2022")</f>
        <v/>
      </c>
      <c r="AA43">
        <f>HYPERLINK("https://klasma.github.io/Logging_0480/klagomål/A 11640-2022 FSC-klagomål.docx", "A 11640-2022")</f>
        <v/>
      </c>
      <c r="AB43">
        <f>HYPERLINK("https://klasma.github.io/Logging_0480/klagomålsmail/A 11640-2022 FSC-klagomål mail.docx", "A 11640-2022")</f>
        <v/>
      </c>
      <c r="AC43">
        <f>HYPERLINK("https://klasma.github.io/Logging_0480/tillsyn/A 11640-2022 tillsynsbegäran.docx", "A 11640-2022")</f>
        <v/>
      </c>
      <c r="AD43">
        <f>HYPERLINK("https://klasma.github.io/Logging_0480/tillsynsmail/A 11640-2022 tillsynsbegäran mail.docx", "A 11640-2022")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46224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46224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Tallticka
Vågbandad barkbock
Blåsippa</t>
        </is>
      </c>
      <c r="W45">
        <f>HYPERLINK("https://klasma.github.io/Logging_0480/artfynd/A 39740-2022 artfynd.xlsx", "A 39740-2022")</f>
        <v/>
      </c>
      <c r="X45">
        <f>HYPERLINK("https://klasma.github.io/Logging_0480/kartor/A 39740-2022 karta.png", "A 39740-2022")</f>
        <v/>
      </c>
      <c r="Y45">
        <f>HYPERLINK("https://klasma.github.io/Logging_0480/kartor_geotiff/A 39740-2022 georefererad karta.tif", "A 39740-2022")</f>
        <v/>
      </c>
      <c r="AA45">
        <f>HYPERLINK("https://klasma.github.io/Logging_0480/klagomål/A 39740-2022 FSC-klagomål.docx", "A 39740-2022")</f>
        <v/>
      </c>
      <c r="AB45">
        <f>HYPERLINK("https://klasma.github.io/Logging_0480/klagomålsmail/A 39740-2022 FSC-klagomål mail.docx", "A 39740-2022")</f>
        <v/>
      </c>
      <c r="AC45">
        <f>HYPERLINK("https://klasma.github.io/Logging_0480/tillsyn/A 39740-2022 tillsynsbegäran.docx", "A 39740-2022")</f>
        <v/>
      </c>
      <c r="AD45">
        <f>HYPERLINK("https://klasma.github.io/Logging_0480/tillsynsmail/A 39740-2022 tillsynsbegäran mail.docx", "A 39740-2022")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46224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46224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Grönsångare
Spillkråka
Trana</t>
        </is>
      </c>
      <c r="W47">
        <f>HYPERLINK("https://klasma.github.io/Logging_0480/artfynd/A 57727-2025 artfynd.xlsx", "A 57727-2025")</f>
        <v/>
      </c>
      <c r="X47">
        <f>HYPERLINK("https://klasma.github.io/Logging_0480/kartor/A 57727-2025 karta.png", "A 57727-2025")</f>
        <v/>
      </c>
      <c r="Y47">
        <f>HYPERLINK("https://klasma.github.io/Logging_0480/kartor_geotiff/A 57727-2025 georefererad karta.tif", "A 57727-2025")</f>
        <v/>
      </c>
      <c r="AA47">
        <f>HYPERLINK("https://klasma.github.io/Logging_0480/klagomål/A 57727-2025 FSC-klagomål.docx", "A 57727-2025")</f>
        <v/>
      </c>
      <c r="AB47">
        <f>HYPERLINK("https://klasma.github.io/Logging_0480/klagomålsmail/A 57727-2025 FSC-klagomål mail.docx", "A 57727-2025")</f>
        <v/>
      </c>
      <c r="AC47">
        <f>HYPERLINK("https://klasma.github.io/Logging_0480/tillsyn/A 57727-2025 tillsynsbegäran.docx", "A 57727-2025")</f>
        <v/>
      </c>
      <c r="AD47">
        <f>HYPERLINK("https://klasma.github.io/Logging_0480/tillsynsmail/A 57727-2025 tillsynsbegäran mail.docx", "A 57727-2025")</f>
        <v/>
      </c>
      <c r="AE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46224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Blåbär
Vildkaprifol
Ängskovall</t>
        </is>
      </c>
      <c r="W48">
        <f>HYPERLINK("https://klasma.github.io/Logging_0480/artfynd/A 24092-2026 artfynd.xlsx", "A 24092-2026")</f>
        <v/>
      </c>
      <c r="X48">
        <f>HYPERLINK("https://klasma.github.io/Logging_0480/kartor/A 24092-2026 karta.png", "A 24092-2026")</f>
        <v/>
      </c>
      <c r="Y48">
        <f>HYPERLINK("https://klasma.github.io/Logging_0480/kartor_geotiff/A 24092-2026 georefererad karta.tif", "A 24092-2026")</f>
        <v/>
      </c>
      <c r="AA48">
        <f>HYPERLINK("https://klasma.github.io/Logging_0480/klagomål/A 24092-2026 FSC-klagomål.docx", "A 24092-2026")</f>
        <v/>
      </c>
      <c r="AB48">
        <f>HYPERLINK("https://klasma.github.io/Logging_0480/klagomålsmail/A 24092-2026 FSC-klagomål mail.docx", "A 24092-2026")</f>
        <v/>
      </c>
      <c r="AC48">
        <f>HYPERLINK("https://klasma.github.io/Logging_0480/tillsyn/A 24092-2026 tillsynsbegäran.docx", "A 24092-2026")</f>
        <v/>
      </c>
      <c r="AD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46224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46224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5865-2024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46224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4.9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Entita
Fläcknycklar</t>
        </is>
      </c>
      <c r="W51">
        <f>HYPERLINK("https://klasma.github.io/Logging_0480/artfynd/A 5865-2024 artfynd.xlsx", "A 5865-2024")</f>
        <v/>
      </c>
      <c r="X51">
        <f>HYPERLINK("https://klasma.github.io/Logging_0480/kartor/A 5865-2024 karta.png", "A 5865-2024")</f>
        <v/>
      </c>
      <c r="Y51">
        <f>HYPERLINK("https://klasma.github.io/Logging_0480/kartor_geotiff/A 5865-2024 georefererad karta.tif", "A 5865-2024")</f>
        <v/>
      </c>
      <c r="AA51">
        <f>HYPERLINK("https://klasma.github.io/Logging_0480/klagomål/A 5865-2024 FSC-klagomål.docx", "A 5865-2024")</f>
        <v/>
      </c>
      <c r="AB51">
        <f>HYPERLINK("https://klasma.github.io/Logging_0480/klagomålsmail/A 5865-2024 FSC-klagomål mail.docx", "A 5865-2024")</f>
        <v/>
      </c>
      <c r="AC51">
        <f>HYPERLINK("https://klasma.github.io/Logging_0480/tillsyn/A 5865-2024 tillsynsbegäran.docx", "A 5865-2024")</f>
        <v/>
      </c>
      <c r="AD51">
        <f>HYPERLINK("https://klasma.github.io/Logging_0480/tillsynsmail/A 5865-2024 tillsynsbegäran mail.docx", "A 5865-2024")</f>
        <v/>
      </c>
      <c r="AE51">
        <f>HYPERLINK("https://klasma.github.io/Logging_0480/fåglar/A 5865-2024 prioriterade fågelarter.docx", "A 5865-2024")</f>
        <v/>
      </c>
    </row>
    <row r="52" ht="15" customHeight="1">
      <c r="A52" t="inlineStr">
        <is>
          <t>A 16078-2023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45027</v>
      </c>
      <c r="E52" s="1" t="n">
        <v>46224</v>
      </c>
      <c r="F52" t="inlineStr">
        <is>
          <t>SÖDERMANLANDS LÄN</t>
        </is>
      </c>
      <c r="G52" t="inlineStr">
        <is>
          <t>NYKÖPING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Rödlånke
Fläcknycklar</t>
        </is>
      </c>
      <c r="W52">
        <f>HYPERLINK("https://klasma.github.io/Logging_0480/artfynd/A 16078-2023 artfynd.xlsx", "A 16078-2023")</f>
        <v/>
      </c>
      <c r="X52">
        <f>HYPERLINK("https://klasma.github.io/Logging_0480/kartor/A 16078-2023 karta.png", "A 16078-2023")</f>
        <v/>
      </c>
      <c r="Y52">
        <f>HYPERLINK("https://klasma.github.io/Logging_0480/kartor_geotiff/A 16078-2023 georefererad karta.tif", "A 16078-2023")</f>
        <v/>
      </c>
      <c r="AA52">
        <f>HYPERLINK("https://klasma.github.io/Logging_0480/klagomål/A 16078-2023 FSC-klagomål.docx", "A 16078-2023")</f>
        <v/>
      </c>
      <c r="AB52">
        <f>HYPERLINK("https://klasma.github.io/Logging_0480/klagomålsmail/A 16078-2023 FSC-klagomål mail.docx", "A 16078-2023")</f>
        <v/>
      </c>
      <c r="AC52">
        <f>HYPERLINK("https://klasma.github.io/Logging_0480/tillsyn/A 16078-2023 tillsynsbegäran.docx", "A 16078-2023")</f>
        <v/>
      </c>
      <c r="AD52">
        <f>HYPERLINK("https://klasma.github.io/Logging_0480/tillsynsmail/A 16078-2023 tillsynsbegäran mail.docx", "A 16078-2023")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46224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46224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46224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46224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46224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Berguv
Skogsklocka</t>
        </is>
      </c>
      <c r="W57">
        <f>HYPERLINK("https://klasma.github.io/Logging_0480/artfynd/A 38366-2021 artfynd.xlsx", "A 38366-2021")</f>
        <v/>
      </c>
      <c r="X57">
        <f>HYPERLINK("https://klasma.github.io/Logging_0480/kartor/A 38366-2021 karta.png", "A 38366-2021")</f>
        <v/>
      </c>
      <c r="Y57">
        <f>HYPERLINK("https://klasma.github.io/Logging_0480/kartor_geotiff/A 38366-2021 georefererad karta.tif", "A 38366-2021")</f>
        <v/>
      </c>
      <c r="AA57">
        <f>HYPERLINK("https://klasma.github.io/Logging_0480/klagomål/A 38366-2021 FSC-klagomål.docx", "A 38366-2021")</f>
        <v/>
      </c>
      <c r="AB57">
        <f>HYPERLINK("https://klasma.github.io/Logging_0480/klagomålsmail/A 38366-2021 FSC-klagomål mail.docx", "A 38366-2021")</f>
        <v/>
      </c>
      <c r="AC57">
        <f>HYPERLINK("https://klasma.github.io/Logging_0480/tillsyn/A 38366-2021 tillsynsbegäran.docx", "A 38366-2021")</f>
        <v/>
      </c>
      <c r="AD57">
        <f>HYPERLINK("https://klasma.github.io/Logging_0480/tillsynsmail/A 38366-2021 tillsynsbegäran mail.docx", "A 38366-2021")</f>
        <v/>
      </c>
      <c r="AE57">
        <f>HYPERLINK("https://klasma.github.io/Logging_0480/fåglar/A 38366-2021 prioriterade fågelarter.docx", "A 38366-2021")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46224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Gullklöver
Gullviva</t>
        </is>
      </c>
      <c r="W58">
        <f>HYPERLINK("https://klasma.github.io/Logging_0480/artfynd/A 60518-2022 artfynd.xlsx", "A 60518-2022")</f>
        <v/>
      </c>
      <c r="X58">
        <f>HYPERLINK("https://klasma.github.io/Logging_0480/kartor/A 60518-2022 karta.png", "A 60518-2022")</f>
        <v/>
      </c>
      <c r="Y58">
        <f>HYPERLINK("https://klasma.github.io/Logging_0480/kartor_geotiff/A 60518-2022 georefererad karta.tif", "A 60518-2022")</f>
        <v/>
      </c>
      <c r="AA58">
        <f>HYPERLINK("https://klasma.github.io/Logging_0480/klagomål/A 60518-2022 FSC-klagomål.docx", "A 60518-2022")</f>
        <v/>
      </c>
      <c r="AB58">
        <f>HYPERLINK("https://klasma.github.io/Logging_0480/klagomålsmail/A 60518-2022 FSC-klagomål mail.docx", "A 60518-2022")</f>
        <v/>
      </c>
      <c r="AC58">
        <f>HYPERLINK("https://klasma.github.io/Logging_0480/tillsyn/A 60518-2022 tillsynsbegäran.docx", "A 60518-2022")</f>
        <v/>
      </c>
      <c r="AD58">
        <f>HYPERLINK("https://klasma.github.io/Logging_0480/tillsynsmail/A 60518-2022 tillsynsbegäran mail.docx", "A 60518-2022")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46224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5857-2024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45335</v>
      </c>
      <c r="E60" s="1" t="n">
        <v>46224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1.9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Törnskata
Revlummer</t>
        </is>
      </c>
      <c r="W60">
        <f>HYPERLINK("https://klasma.github.io/Logging_0480/artfynd/A 5857-2024 artfynd.xlsx", "A 5857-2024")</f>
        <v/>
      </c>
      <c r="X60">
        <f>HYPERLINK("https://klasma.github.io/Logging_0480/kartor/A 5857-2024 karta.png", "A 5857-2024")</f>
        <v/>
      </c>
      <c r="Y60">
        <f>HYPERLINK("https://klasma.github.io/Logging_0480/kartor_geotiff/A 5857-2024 georefererad karta.tif", "A 5857-2024")</f>
        <v/>
      </c>
      <c r="AA60">
        <f>HYPERLINK("https://klasma.github.io/Logging_0480/klagomål/A 5857-2024 FSC-klagomål.docx", "A 5857-2024")</f>
        <v/>
      </c>
      <c r="AB60">
        <f>HYPERLINK("https://klasma.github.io/Logging_0480/klagomålsmail/A 5857-2024 FSC-klagomål mail.docx", "A 5857-2024")</f>
        <v/>
      </c>
      <c r="AC60">
        <f>HYPERLINK("https://klasma.github.io/Logging_0480/tillsyn/A 5857-2024 tillsynsbegäran.docx", "A 5857-2024")</f>
        <v/>
      </c>
      <c r="AD60">
        <f>HYPERLINK("https://klasma.github.io/Logging_0480/tillsynsmail/A 5857-2024 tillsynsbegäran mail.docx", "A 5857-2024")</f>
        <v/>
      </c>
      <c r="AE60">
        <f>HYPERLINK("https://klasma.github.io/Logging_0480/fåglar/A 5857-2024 prioriterade fågelarter.docx", "A 5857-2024")</f>
        <v/>
      </c>
    </row>
    <row r="61" ht="15" customHeight="1">
      <c r="A61" t="inlineStr">
        <is>
          <t>A 6276-2026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46224</v>
      </c>
      <c r="F61" t="inlineStr">
        <is>
          <t>SÖDERMANLANDS LÄN</t>
        </is>
      </c>
      <c r="G61" t="inlineStr">
        <is>
          <t>NYKÖPING</t>
        </is>
      </c>
      <c r="I61" t="n">
        <v>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Granbarkgnagare</t>
        </is>
      </c>
      <c r="W61">
        <f>HYPERLINK("https://klasma.github.io/Logging_0480/artfynd/A 6276-2026 artfynd.xlsx", "A 6276-2026")</f>
        <v/>
      </c>
      <c r="X61">
        <f>HYPERLINK("https://klasma.github.io/Logging_0480/kartor/A 6276-2026 karta.png", "A 6276-2026")</f>
        <v/>
      </c>
      <c r="Y61">
        <f>HYPERLINK("https://klasma.github.io/Logging_0480/kartor_geotiff/A 6276-2026 georefererad karta.tif", "A 6276-2026")</f>
        <v/>
      </c>
      <c r="AA61">
        <f>HYPERLINK("https://klasma.github.io/Logging_0480/klagomål/A 6276-2026 FSC-klagomål.docx", "A 6276-2026")</f>
        <v/>
      </c>
      <c r="AB61">
        <f>HYPERLINK("https://klasma.github.io/Logging_0480/klagomålsmail/A 6276-2026 FSC-klagomål mail.docx", "A 6276-2026")</f>
        <v/>
      </c>
      <c r="AC61">
        <f>HYPERLINK("https://klasma.github.io/Logging_0480/tillsyn/A 6276-2026 tillsynsbegäran.docx", "A 6276-2026")</f>
        <v/>
      </c>
      <c r="AD61">
        <f>HYPERLINK("https://klasma.github.io/Logging_0480/tillsynsmail/A 6276-2026 tillsynsbegäran mail.docx", "A 6276-2026")</f>
        <v/>
      </c>
      <c r="AE61">
        <f>HYPERLINK("https://klasma.github.io/Logging_0480/fåglar/A 6276-2026 prioriterade fågelarter.docx", "A 6276-2026")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46224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46224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14862-2026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46224</v>
      </c>
      <c r="F64" t="inlineStr">
        <is>
          <t>SÖDERMANLANDS LÄN</t>
        </is>
      </c>
      <c r="G64" t="inlineStr">
        <is>
          <t>NYKÖPING</t>
        </is>
      </c>
      <c r="I64" t="n">
        <v>10.8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Dropptaggsvamp
Blåbär</t>
        </is>
      </c>
      <c r="W64">
        <f>HYPERLINK("https://klasma.github.io/Logging_0480/artfynd/A 14862-2026 artfynd.xlsx", "A 14862-2026")</f>
        <v/>
      </c>
      <c r="X64">
        <f>HYPERLINK("https://klasma.github.io/Logging_0480/kartor/A 14862-2026 karta.png", "A 14862-2026")</f>
        <v/>
      </c>
      <c r="Y64">
        <f>HYPERLINK("https://klasma.github.io/Logging_0480/kartor_geotiff/A 14862-2026 georefererad karta.tif", "A 14862-2026")</f>
        <v/>
      </c>
      <c r="AA64">
        <f>HYPERLINK("https://klasma.github.io/Logging_0480/klagomål/A 14862-2026 FSC-klagomål.docx", "A 14862-2026")</f>
        <v/>
      </c>
      <c r="AB64">
        <f>HYPERLINK("https://klasma.github.io/Logging_0480/klagomålsmail/A 14862-2026 FSC-klagomål mail.docx", "A 14862-2026")</f>
        <v/>
      </c>
      <c r="AC64">
        <f>HYPERLINK("https://klasma.github.io/Logging_0480/tillsyn/A 14862-2026 tillsynsbegäran.docx", "A 14862-2026")</f>
        <v/>
      </c>
      <c r="AD64">
        <f>HYPERLINK("https://klasma.github.io/Logging_0480/tillsynsmail/A 14862-2026 tillsynsbegäran mail.docx", "A 14862-2026")</f>
        <v/>
      </c>
    </row>
    <row r="65" ht="15" customHeight="1">
      <c r="A65" t="inlineStr">
        <is>
          <t>A 55497-2021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46224</v>
      </c>
      <c r="F65" t="inlineStr">
        <is>
          <t>SÖDERMANLANDS LÄN</t>
        </is>
      </c>
      <c r="G65" t="inlineStr">
        <is>
          <t>NYKÖPING</t>
        </is>
      </c>
      <c r="I65" t="n">
        <v>7.7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Älg
Nattskärra</t>
        </is>
      </c>
      <c r="W65">
        <f>HYPERLINK("https://klasma.github.io/Logging_0480/artfynd/A 55497-2021 artfynd.xlsx", "A 55497-2021")</f>
        <v/>
      </c>
      <c r="X65">
        <f>HYPERLINK("https://klasma.github.io/Logging_0480/kartor/A 55497-2021 karta.png", "A 55497-2021")</f>
        <v/>
      </c>
      <c r="Y65">
        <f>HYPERLINK("https://klasma.github.io/Logging_0480/kartor_geotiff/A 55497-2021 georefererad karta.tif", "A 55497-2021")</f>
        <v/>
      </c>
      <c r="AA65">
        <f>HYPERLINK("https://klasma.github.io/Logging_0480/klagomål/A 55497-2021 FSC-klagomål.docx", "A 55497-2021")</f>
        <v/>
      </c>
      <c r="AB65">
        <f>HYPERLINK("https://klasma.github.io/Logging_0480/klagomålsmail/A 55497-2021 FSC-klagomål mail.docx", "A 55497-2021")</f>
        <v/>
      </c>
      <c r="AC65">
        <f>HYPERLINK("https://klasma.github.io/Logging_0480/tillsyn/A 55497-2021 tillsynsbegäran.docx", "A 55497-2021")</f>
        <v/>
      </c>
      <c r="AD65">
        <f>HYPERLINK("https://klasma.github.io/Logging_0480/tillsynsmail/A 55497-2021 tillsynsbegäran mail.docx", "A 55497-2021")</f>
        <v/>
      </c>
      <c r="AE65">
        <f>HYPERLINK("https://klasma.github.io/Logging_0480/fåglar/A 55497-2021 prioriterade fågelarter.docx", "A 55497-2021")</f>
        <v/>
      </c>
    </row>
    <row r="66" ht="15" customHeight="1">
      <c r="A66" t="inlineStr">
        <is>
          <t>A 38366-2021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44406</v>
      </c>
      <c r="E66" s="1" t="n">
        <v>46224</v>
      </c>
      <c r="F66" t="inlineStr">
        <is>
          <t>SÖDERMANLANDS LÄN</t>
        </is>
      </c>
      <c r="G66" t="inlineStr">
        <is>
          <t>NYKÖPING</t>
        </is>
      </c>
      <c r="H66" t="inlineStr">
        <is>
          <t>Holmen skog AB</t>
        </is>
      </c>
      <c r="I66" t="n">
        <v>2.6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Berguv
Skogsklocka</t>
        </is>
      </c>
      <c r="W66">
        <f>HYPERLINK("https://klasma.github.io/Logging_0480/artfynd/A 38366-2021 artfynd.xlsx", "A 38366-2021")</f>
        <v/>
      </c>
      <c r="X66">
        <f>HYPERLINK("https://klasma.github.io/Logging_0480/kartor/A 38366-2021 karta.png", "A 38366-2021")</f>
        <v/>
      </c>
      <c r="Y66">
        <f>HYPERLINK("https://klasma.github.io/Logging_0480/kartor_geotiff/A 38366-2021 georefererad karta.tif", "A 38366-2021")</f>
        <v/>
      </c>
      <c r="AA66">
        <f>HYPERLINK("https://klasma.github.io/Logging_0480/klagomål/A 38366-2021 FSC-klagomål.docx", "A 38366-2021")</f>
        <v/>
      </c>
      <c r="AB66">
        <f>HYPERLINK("https://klasma.github.io/Logging_0480/klagomålsmail/A 38366-2021 FSC-klagomål mail.docx", "A 38366-2021")</f>
        <v/>
      </c>
      <c r="AC66">
        <f>HYPERLINK("https://klasma.github.io/Logging_0480/tillsyn/A 38366-2021 tillsynsbegäran.docx", "A 38366-2021")</f>
        <v/>
      </c>
      <c r="AD66">
        <f>HYPERLINK("https://klasma.github.io/Logging_0480/tillsynsmail/A 38366-2021 tillsynsbegäran mail.docx", "A 38366-2021")</f>
        <v/>
      </c>
      <c r="AE66">
        <f>HYPERLINK("https://klasma.github.io/Logging_0480/fåglar/A 38366-2021 prioriterade fågelarter.docx", "A 38366-2021")</f>
        <v/>
      </c>
    </row>
    <row r="67" ht="15" customHeight="1">
      <c r="A67" t="inlineStr">
        <is>
          <t>A 29766-2022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46224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Broskvaxing
Kungsfågel</t>
        </is>
      </c>
      <c r="W67">
        <f>HYPERLINK("https://klasma.github.io/Logging_0480/artfynd/A 29766-2022 artfynd.xlsx", "A 29766-2022")</f>
        <v/>
      </c>
      <c r="X67">
        <f>HYPERLINK("https://klasma.github.io/Logging_0480/kartor/A 29766-2022 karta.png", "A 29766-2022")</f>
        <v/>
      </c>
      <c r="Y67">
        <f>HYPERLINK("https://klasma.github.io/Logging_0480/kartor_geotiff/A 29766-2022 georefererad karta.tif", "A 29766-2022")</f>
        <v/>
      </c>
      <c r="AA67">
        <f>HYPERLINK("https://klasma.github.io/Logging_0480/klagomål/A 29766-2022 FSC-klagomål.docx", "A 29766-2022")</f>
        <v/>
      </c>
      <c r="AB67">
        <f>HYPERLINK("https://klasma.github.io/Logging_0480/klagomålsmail/A 29766-2022 FSC-klagomål mail.docx", "A 29766-2022")</f>
        <v/>
      </c>
      <c r="AC67">
        <f>HYPERLINK("https://klasma.github.io/Logging_0480/tillsyn/A 29766-2022 tillsynsbegäran.docx", "A 29766-2022")</f>
        <v/>
      </c>
      <c r="AD67">
        <f>HYPERLINK("https://klasma.github.io/Logging_0480/tillsynsmail/A 29766-2022 tillsynsbegäran mail.docx", "A 29766-2022")</f>
        <v/>
      </c>
    </row>
    <row r="68" ht="15" customHeight="1">
      <c r="A68" t="inlineStr">
        <is>
          <t>A 1037-2026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46224</v>
      </c>
      <c r="F68" t="inlineStr">
        <is>
          <t>SÖDERMANLANDS LÄN</t>
        </is>
      </c>
      <c r="G68" t="inlineStr">
        <is>
          <t>NYKÖPING</t>
        </is>
      </c>
      <c r="I68" t="n">
        <v>11.6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Talltita
Spillkråka</t>
        </is>
      </c>
      <c r="W68">
        <f>HYPERLINK("https://klasma.github.io/Logging_0480/artfynd/A 1037-2026 artfynd.xlsx", "A 1037-2026")</f>
        <v/>
      </c>
      <c r="X68">
        <f>HYPERLINK("https://klasma.github.io/Logging_0480/kartor/A 1037-2026 karta.png", "A 1037-2026")</f>
        <v/>
      </c>
      <c r="Y68">
        <f>HYPERLINK("https://klasma.github.io/Logging_0480/kartor_geotiff/A 1037-2026 georefererad karta.tif", "A 1037-2026")</f>
        <v/>
      </c>
      <c r="AA68">
        <f>HYPERLINK("https://klasma.github.io/Logging_0480/klagomål/A 1037-2026 FSC-klagomål.docx", "A 1037-2026")</f>
        <v/>
      </c>
      <c r="AB68">
        <f>HYPERLINK("https://klasma.github.io/Logging_0480/klagomålsmail/A 1037-2026 FSC-klagomål mail.docx", "A 1037-2026")</f>
        <v/>
      </c>
      <c r="AC68">
        <f>HYPERLINK("https://klasma.github.io/Logging_0480/tillsyn/A 1037-2026 tillsynsbegäran.docx", "A 1037-2026")</f>
        <v/>
      </c>
      <c r="AD68">
        <f>HYPERLINK("https://klasma.github.io/Logging_0480/tillsynsmail/A 1037-2026 tillsynsbegäran mail.docx", "A 1037-2026")</f>
        <v/>
      </c>
      <c r="AE68">
        <f>HYPERLINK("https://klasma.github.io/Logging_0480/fåglar/A 1037-2026 prioriterade fågelarter.docx", "A 1037-2026")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46224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t="n">
        <v>0</v>
      </c>
      <c r="V69" s="2" t="inlineStr">
        <is>
          <t>Sandödla
Vanlig snok</t>
        </is>
      </c>
      <c r="W69">
        <f>HYPERLINK("https://klasma.github.io/Logging_0480/artfynd/A 56728-2025 artfynd.xlsx", "A 56728-2025")</f>
        <v/>
      </c>
      <c r="X69">
        <f>HYPERLINK("https://klasma.github.io/Logging_0480/kartor/A 56728-2025 karta.png", "A 56728-2025")</f>
        <v/>
      </c>
      <c r="Y69">
        <f>HYPERLINK("https://klasma.github.io/Logging_0480/kartor_geotiff/A 56728-2025 georefererad karta.tif", "A 56728-2025")</f>
        <v/>
      </c>
      <c r="AA69">
        <f>HYPERLINK("https://klasma.github.io/Logging_0480/klagomål/A 56728-2025 FSC-klagomål.docx", "A 56728-2025")</f>
        <v/>
      </c>
      <c r="AB69">
        <f>HYPERLINK("https://klasma.github.io/Logging_0480/klagomålsmail/A 56728-2025 FSC-klagomål mail.docx", "A 56728-2025")</f>
        <v/>
      </c>
      <c r="AC69">
        <f>HYPERLINK("https://klasma.github.io/Logging_0480/tillsyn/A 56728-2025 tillsynsbegäran.docx", "A 56728-2025")</f>
        <v/>
      </c>
      <c r="AD69">
        <f>HYPERLINK("https://klasma.github.io/Logging_0480/tillsynsmail/A 56728-2025 tillsynsbegäran mail.docx", "A 56728-2025")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46224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t="n">
        <v>0</v>
      </c>
      <c r="V70" s="2" t="inlineStr">
        <is>
          <t>Bombmurkla
Grönpyrola</t>
        </is>
      </c>
      <c r="W70">
        <f>HYPERLINK("https://klasma.github.io/Logging_0480/artfynd/A 34310-2022 artfynd.xlsx", "A 34310-2022")</f>
        <v/>
      </c>
      <c r="X70">
        <f>HYPERLINK("https://klasma.github.io/Logging_0480/kartor/A 34310-2022 karta.png", "A 34310-2022")</f>
        <v/>
      </c>
      <c r="Y70">
        <f>HYPERLINK("https://klasma.github.io/Logging_0480/kartor_geotiff/A 34310-2022 georefererad karta.tif", "A 34310-2022")</f>
        <v/>
      </c>
      <c r="AA70">
        <f>HYPERLINK("https://klasma.github.io/Logging_0480/klagomål/A 34310-2022 FSC-klagomål.docx", "A 34310-2022")</f>
        <v/>
      </c>
      <c r="AB70">
        <f>HYPERLINK("https://klasma.github.io/Logging_0480/klagomålsmail/A 34310-2022 FSC-klagomål mail.docx", "A 34310-2022")</f>
        <v/>
      </c>
      <c r="AC70">
        <f>HYPERLINK("https://klasma.github.io/Logging_0480/tillsyn/A 34310-2022 tillsynsbegäran.docx", "A 34310-2022")</f>
        <v/>
      </c>
      <c r="AD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46224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46224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46224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46224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46224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46224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46224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46224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46224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46224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46224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56080-2024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46224</v>
      </c>
      <c r="F82" t="inlineStr">
        <is>
          <t>SÖDERMANLANDS LÄN</t>
        </is>
      </c>
      <c r="G82" t="inlineStr">
        <is>
          <t>NYKÖPING</t>
        </is>
      </c>
      <c r="I82" t="n">
        <v>5.5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Ärtsångare</t>
        </is>
      </c>
      <c r="W82">
        <f>HYPERLINK("https://klasma.github.io/Logging_0480/artfynd/A 56080-2024 artfynd.xlsx", "A 56080-2024")</f>
        <v/>
      </c>
      <c r="X82">
        <f>HYPERLINK("https://klasma.github.io/Logging_0480/kartor/A 56080-2024 karta.png", "A 56080-2024")</f>
        <v/>
      </c>
      <c r="Y82">
        <f>HYPERLINK("https://klasma.github.io/Logging_0480/kartor_geotiff/A 56080-2024 georefererad karta.tif", "A 56080-2024")</f>
        <v/>
      </c>
      <c r="AA82">
        <f>HYPERLINK("https://klasma.github.io/Logging_0480/klagomål/A 56080-2024 FSC-klagomål.docx", "A 56080-2024")</f>
        <v/>
      </c>
      <c r="AB82">
        <f>HYPERLINK("https://klasma.github.io/Logging_0480/klagomålsmail/A 56080-2024 FSC-klagomål mail.docx", "A 56080-2024")</f>
        <v/>
      </c>
      <c r="AC82">
        <f>HYPERLINK("https://klasma.github.io/Logging_0480/tillsyn/A 56080-2024 tillsynsbegäran.docx", "A 56080-2024")</f>
        <v/>
      </c>
      <c r="AD82">
        <f>HYPERLINK("https://klasma.github.io/Logging_0480/tillsynsmail/A 56080-2024 tillsynsbegäran mail.docx", "A 56080-2024")</f>
        <v/>
      </c>
    </row>
    <row r="83" ht="15" customHeight="1">
      <c r="A83" t="inlineStr">
        <is>
          <t>A 63423-2025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46224</v>
      </c>
      <c r="F83" t="inlineStr">
        <is>
          <t>SÖDERMANLANDS LÄN</t>
        </is>
      </c>
      <c r="G83" t="inlineStr">
        <is>
          <t>NYKÖPING</t>
        </is>
      </c>
      <c r="I83" t="n">
        <v>7.4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HYPERLINK("https://klasma.github.io/Logging_0480/artfynd/A 63423-2025 artfynd.xlsx", "A 63423-2025")</f>
        <v/>
      </c>
      <c r="X83">
        <f>HYPERLINK("https://klasma.github.io/Logging_0480/kartor/A 63423-2025 karta.png", "A 63423-2025")</f>
        <v/>
      </c>
      <c r="Y83">
        <f>HYPERLINK("https://klasma.github.io/Logging_0480/kartor_geotiff/A 63423-2025 georefererad karta.tif", "A 63423-2025")</f>
        <v/>
      </c>
      <c r="AA83">
        <f>HYPERLINK("https://klasma.github.io/Logging_0480/klagomål/A 63423-2025 FSC-klagomål.docx", "A 63423-2025")</f>
        <v/>
      </c>
      <c r="AB83">
        <f>HYPERLINK("https://klasma.github.io/Logging_0480/klagomålsmail/A 63423-2025 FSC-klagomål mail.docx", "A 63423-2025")</f>
        <v/>
      </c>
      <c r="AC83">
        <f>HYPERLINK("https://klasma.github.io/Logging_0480/tillsyn/A 63423-2025 tillsynsbegäran.docx", "A 63423-2025")</f>
        <v/>
      </c>
      <c r="AD83">
        <f>HYPERLINK("https://klasma.github.io/Logging_0480/tillsynsmail/A 63423-2025 tillsynsbegäran mail.docx", "A 63423-2025")</f>
        <v/>
      </c>
    </row>
    <row r="84" ht="15" customHeight="1">
      <c r="A84" t="inlineStr">
        <is>
          <t>A 1105-2023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46224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Skuggblåslav</t>
        </is>
      </c>
      <c r="W84">
        <f>HYPERLINK("https://klasma.github.io/Logging_0480/artfynd/A 1105-2023 artfynd.xlsx", "A 1105-2023")</f>
        <v/>
      </c>
      <c r="X84">
        <f>HYPERLINK("https://klasma.github.io/Logging_0480/kartor/A 1105-2023 karta.png", "A 1105-2023")</f>
        <v/>
      </c>
      <c r="Y84">
        <f>HYPERLINK("https://klasma.github.io/Logging_0480/kartor_geotiff/A 1105-2023 georefererad karta.tif", "A 1105-2023")</f>
        <v/>
      </c>
      <c r="AA84">
        <f>HYPERLINK("https://klasma.github.io/Logging_0480/klagomål/A 1105-2023 FSC-klagomål.docx", "A 1105-2023")</f>
        <v/>
      </c>
      <c r="AB84">
        <f>HYPERLINK("https://klasma.github.io/Logging_0480/klagomålsmail/A 1105-2023 FSC-klagomål mail.docx", "A 1105-2023")</f>
        <v/>
      </c>
      <c r="AC84">
        <f>HYPERLINK("https://klasma.github.io/Logging_0480/tillsyn/A 1105-2023 tillsynsbegäran.docx", "A 1105-2023")</f>
        <v/>
      </c>
      <c r="AD84">
        <f>HYPERLINK("https://klasma.github.io/Logging_0480/tillsynsmail/A 1105-2023 tillsynsbegäran mail.docx", "A 1105-2023")</f>
        <v/>
      </c>
    </row>
    <row r="85" ht="15" customHeight="1">
      <c r="A85" t="inlineStr">
        <is>
          <t>A 2829-2025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46224</v>
      </c>
      <c r="F85" t="inlineStr">
        <is>
          <t>SÖDERMANLANDS LÄN</t>
        </is>
      </c>
      <c r="G85" t="inlineStr">
        <is>
          <t>NYKÖPING</t>
        </is>
      </c>
      <c r="H85" t="inlineStr">
        <is>
          <t>Allmännings- och besparingsskogar</t>
        </is>
      </c>
      <c r="I85" t="n">
        <v>12.1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HYPERLINK("https://klasma.github.io/Logging_0480/artfynd/A 2829-2025 artfynd.xlsx", "A 2829-2025")</f>
        <v/>
      </c>
      <c r="X85">
        <f>HYPERLINK("https://klasma.github.io/Logging_0480/kartor/A 2829-2025 karta.png", "A 2829-2025")</f>
        <v/>
      </c>
      <c r="Y85">
        <f>HYPERLINK("https://klasma.github.io/Logging_0480/kartor_geotiff/A 2829-2025 georefererad karta.tif", "A 2829-2025")</f>
        <v/>
      </c>
      <c r="AA85">
        <f>HYPERLINK("https://klasma.github.io/Logging_0480/klagomål/A 2829-2025 FSC-klagomål.docx", "A 2829-2025")</f>
        <v/>
      </c>
      <c r="AB85">
        <f>HYPERLINK("https://klasma.github.io/Logging_0480/klagomålsmail/A 2829-2025 FSC-klagomål mail.docx", "A 2829-2025")</f>
        <v/>
      </c>
      <c r="AC85">
        <f>HYPERLINK("https://klasma.github.io/Logging_0480/tillsyn/A 2829-2025 tillsynsbegäran.docx", "A 2829-2025")</f>
        <v/>
      </c>
      <c r="AD85">
        <f>HYPERLINK("https://klasma.github.io/Logging_0480/tillsynsmail/A 2829-2025 tillsynsbegäran mail.docx", "A 2829-2025")</f>
        <v/>
      </c>
      <c r="AE85">
        <f>HYPERLINK("https://klasma.github.io/Logging_0480/fåglar/A 2829-2025 prioriterade fågelarter.docx", "A 2829-2025")</f>
        <v/>
      </c>
    </row>
    <row r="86" ht="15" customHeight="1">
      <c r="A86" t="inlineStr">
        <is>
          <t>A 65889-2021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46224</v>
      </c>
      <c r="F86" t="inlineStr">
        <is>
          <t>SÖDERMANLANDS LÄN</t>
        </is>
      </c>
      <c r="G86" t="inlineStr">
        <is>
          <t>NYKÖPING</t>
        </is>
      </c>
      <c r="I86" t="n">
        <v>4.8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Backstarr</t>
        </is>
      </c>
      <c r="W86">
        <f>HYPERLINK("https://klasma.github.io/Logging_0480/artfynd/A 65889-2021 artfynd.xlsx", "A 65889-2021")</f>
        <v/>
      </c>
      <c r="X86">
        <f>HYPERLINK("https://klasma.github.io/Logging_0480/kartor/A 65889-2021 karta.png", "A 65889-2021")</f>
        <v/>
      </c>
      <c r="Y86">
        <f>HYPERLINK("https://klasma.github.io/Logging_0480/kartor_geotiff/A 65889-2021 georefererad karta.tif", "A 65889-2021")</f>
        <v/>
      </c>
      <c r="AA86">
        <f>HYPERLINK("https://klasma.github.io/Logging_0480/klagomål/A 65889-2021 FSC-klagomål.docx", "A 65889-2021")</f>
        <v/>
      </c>
      <c r="AB86">
        <f>HYPERLINK("https://klasma.github.io/Logging_0480/klagomålsmail/A 65889-2021 FSC-klagomål mail.docx", "A 65889-2021")</f>
        <v/>
      </c>
      <c r="AC86">
        <f>HYPERLINK("https://klasma.github.io/Logging_0480/tillsyn/A 65889-2021 tillsynsbegäran.docx", "A 65889-2021")</f>
        <v/>
      </c>
      <c r="AD86">
        <f>HYPERLINK("https://klasma.github.io/Logging_0480/tillsynsmail/A 65889-2021 tillsynsbegäran mail.docx", "A 65889-2021")</f>
        <v/>
      </c>
    </row>
    <row r="87" ht="15" customHeight="1">
      <c r="A87" t="inlineStr">
        <is>
          <t>A 45122-2025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46224</v>
      </c>
      <c r="F87" t="inlineStr">
        <is>
          <t>SÖDERMANLANDS LÄN</t>
        </is>
      </c>
      <c r="G87" t="inlineStr">
        <is>
          <t>NYKÖPING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HYPERLINK("https://klasma.github.io/Logging_0480/artfynd/A 45122-2025 artfynd.xlsx", "A 45122-2025")</f>
        <v/>
      </c>
      <c r="X87">
        <f>HYPERLINK("https://klasma.github.io/Logging_0480/kartor/A 45122-2025 karta.png", "A 45122-2025")</f>
        <v/>
      </c>
      <c r="Y87">
        <f>HYPERLINK("https://klasma.github.io/Logging_0480/kartor_geotiff/A 45122-2025 georefererad karta.tif", "A 45122-2025")</f>
        <v/>
      </c>
      <c r="AA87">
        <f>HYPERLINK("https://klasma.github.io/Logging_0480/klagomål/A 45122-2025 FSC-klagomål.docx", "A 45122-2025")</f>
        <v/>
      </c>
      <c r="AB87">
        <f>HYPERLINK("https://klasma.github.io/Logging_0480/klagomålsmail/A 45122-2025 FSC-klagomål mail.docx", "A 45122-2025")</f>
        <v/>
      </c>
      <c r="AC87">
        <f>HYPERLINK("https://klasma.github.io/Logging_0480/tillsyn/A 45122-2025 tillsynsbegäran.docx", "A 45122-2025")</f>
        <v/>
      </c>
      <c r="AD87">
        <f>HYPERLINK("https://klasma.github.io/Logging_0480/tillsynsmail/A 45122-2025 tillsynsbegäran mail.docx", "A 45122-2025")</f>
        <v/>
      </c>
      <c r="AE87">
        <f>HYPERLINK("https://klasma.github.io/Logging_0480/fåglar/A 45122-2025 prioriterade fågelarter.docx", "A 45122-2025")</f>
        <v/>
      </c>
    </row>
    <row r="88" ht="15" customHeight="1">
      <c r="A88" t="inlineStr">
        <is>
          <t>A 28704-2025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46224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Tallticka</t>
        </is>
      </c>
      <c r="W88">
        <f>HYPERLINK("https://klasma.github.io/Logging_0480/artfynd/A 28704-2025 artfynd.xlsx", "A 28704-2025")</f>
        <v/>
      </c>
      <c r="X88">
        <f>HYPERLINK("https://klasma.github.io/Logging_0480/kartor/A 28704-2025 karta.png", "A 28704-2025")</f>
        <v/>
      </c>
      <c r="Y88">
        <f>HYPERLINK("https://klasma.github.io/Logging_0480/kartor_geotiff/A 28704-2025 georefererad karta.tif", "A 28704-2025")</f>
        <v/>
      </c>
      <c r="AA88">
        <f>HYPERLINK("https://klasma.github.io/Logging_0480/klagomål/A 28704-2025 FSC-klagomål.docx", "A 28704-2025")</f>
        <v/>
      </c>
      <c r="AB88">
        <f>HYPERLINK("https://klasma.github.io/Logging_0480/klagomålsmail/A 28704-2025 FSC-klagomål mail.docx", "A 28704-2025")</f>
        <v/>
      </c>
      <c r="AC88">
        <f>HYPERLINK("https://klasma.github.io/Logging_0480/tillsyn/A 28704-2025 tillsynsbegäran.docx", "A 28704-2025")</f>
        <v/>
      </c>
      <c r="AD88">
        <f>HYPERLINK("https://klasma.github.io/Logging_0480/tillsynsmail/A 28704-2025 tillsynsbegäran mail.docx", "A 28704-2025")</f>
        <v/>
      </c>
    </row>
    <row r="89" ht="15" customHeight="1">
      <c r="A89" t="inlineStr">
        <is>
          <t>A 18500-2024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45424</v>
      </c>
      <c r="E89" s="1" t="n">
        <v>46224</v>
      </c>
      <c r="F89" t="inlineStr">
        <is>
          <t>SÖDERMANLANDS LÄN</t>
        </is>
      </c>
      <c r="G89" t="inlineStr">
        <is>
          <t>NYKÖPING</t>
        </is>
      </c>
      <c r="I89" t="n">
        <v>2.4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Tornseglare</t>
        </is>
      </c>
      <c r="W89">
        <f>HYPERLINK("https://klasma.github.io/Logging_0480/artfynd/A 18500-2024 artfynd.xlsx", "A 18500-2024")</f>
        <v/>
      </c>
      <c r="X89">
        <f>HYPERLINK("https://klasma.github.io/Logging_0480/kartor/A 18500-2024 karta.png", "A 18500-2024")</f>
        <v/>
      </c>
      <c r="Y89">
        <f>HYPERLINK("https://klasma.github.io/Logging_0480/kartor_geotiff/A 18500-2024 georefererad karta.tif", "A 18500-2024")</f>
        <v/>
      </c>
      <c r="AA89">
        <f>HYPERLINK("https://klasma.github.io/Logging_0480/klagomål/A 18500-2024 FSC-klagomål.docx", "A 18500-2024")</f>
        <v/>
      </c>
      <c r="AB89">
        <f>HYPERLINK("https://klasma.github.io/Logging_0480/klagomålsmail/A 18500-2024 FSC-klagomål mail.docx", "A 18500-2024")</f>
        <v/>
      </c>
      <c r="AC89">
        <f>HYPERLINK("https://klasma.github.io/Logging_0480/tillsyn/A 18500-2024 tillsynsbegäran.docx", "A 18500-2024")</f>
        <v/>
      </c>
      <c r="AD89">
        <f>HYPERLINK("https://klasma.github.io/Logging_0480/tillsynsmail/A 18500-2024 tillsynsbegäran mail.docx", "A 18500-2024")</f>
        <v/>
      </c>
      <c r="AE89">
        <f>HYPERLINK("https://klasma.github.io/Logging_0480/fåglar/A 18500-2024 prioriterade fågelarter.docx", "A 18500-2024")</f>
        <v/>
      </c>
    </row>
    <row r="90" ht="15" customHeight="1">
      <c r="A90" t="inlineStr">
        <is>
          <t>A 50014-2025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46224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4.9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Sexfläckig bastardsvärmare</t>
        </is>
      </c>
      <c r="W90">
        <f>HYPERLINK("https://klasma.github.io/Logging_0480/artfynd/A 50014-2025 artfynd.xlsx", "A 50014-2025")</f>
        <v/>
      </c>
      <c r="X90">
        <f>HYPERLINK("https://klasma.github.io/Logging_0480/kartor/A 50014-2025 karta.png", "A 50014-2025")</f>
        <v/>
      </c>
      <c r="Y90">
        <f>HYPERLINK("https://klasma.github.io/Logging_0480/kartor_geotiff/A 50014-2025 georefererad karta.tif", "A 50014-2025")</f>
        <v/>
      </c>
      <c r="AA90">
        <f>HYPERLINK("https://klasma.github.io/Logging_0480/klagomål/A 50014-2025 FSC-klagomål.docx", "A 50014-2025")</f>
        <v/>
      </c>
      <c r="AB90">
        <f>HYPERLINK("https://klasma.github.io/Logging_0480/klagomålsmail/A 50014-2025 FSC-klagomål mail.docx", "A 50014-2025")</f>
        <v/>
      </c>
      <c r="AC90">
        <f>HYPERLINK("https://klasma.github.io/Logging_0480/tillsyn/A 50014-2025 tillsynsbegäran.docx", "A 50014-2025")</f>
        <v/>
      </c>
      <c r="AD90">
        <f>HYPERLINK("https://klasma.github.io/Logging_0480/tillsynsmail/A 50014-2025 tillsynsbegäran mail.docx", "A 50014-2025")</f>
        <v/>
      </c>
    </row>
    <row r="91" ht="15" customHeight="1">
      <c r="A91" t="inlineStr">
        <is>
          <t>A 7270-2025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45702</v>
      </c>
      <c r="E91" s="1" t="n">
        <v>46224</v>
      </c>
      <c r="F91" t="inlineStr">
        <is>
          <t>SÖDERMANLANDS LÄN</t>
        </is>
      </c>
      <c r="G91" t="inlineStr">
        <is>
          <t>NYKÖPING</t>
        </is>
      </c>
      <c r="H91" t="inlineStr">
        <is>
          <t>Övriga Aktiebolag</t>
        </is>
      </c>
      <c r="I91" t="n">
        <v>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Järpe</t>
        </is>
      </c>
      <c r="W91">
        <f>HYPERLINK("https://klasma.github.io/Logging_0480/artfynd/A 7270-2025 artfynd.xlsx", "A 7270-2025")</f>
        <v/>
      </c>
      <c r="X91">
        <f>HYPERLINK("https://klasma.github.io/Logging_0480/kartor/A 7270-2025 karta.png", "A 7270-2025")</f>
        <v/>
      </c>
      <c r="Y91">
        <f>HYPERLINK("https://klasma.github.io/Logging_0480/kartor_geotiff/A 7270-2025 georefererad karta.tif", "A 7270-2025")</f>
        <v/>
      </c>
      <c r="AA91">
        <f>HYPERLINK("https://klasma.github.io/Logging_0480/klagomål/A 7270-2025 FSC-klagomål.docx", "A 7270-2025")</f>
        <v/>
      </c>
      <c r="AB91">
        <f>HYPERLINK("https://klasma.github.io/Logging_0480/klagomålsmail/A 7270-2025 FSC-klagomål mail.docx", "A 7270-2025")</f>
        <v/>
      </c>
      <c r="AC91">
        <f>HYPERLINK("https://klasma.github.io/Logging_0480/tillsyn/A 7270-2025 tillsynsbegäran.docx", "A 7270-2025")</f>
        <v/>
      </c>
      <c r="AD91">
        <f>HYPERLINK("https://klasma.github.io/Logging_0480/tillsynsmail/A 7270-2025 tillsynsbegäran mail.docx", "A 7270-2025")</f>
        <v/>
      </c>
      <c r="AE91">
        <f>HYPERLINK("https://klasma.github.io/Logging_0480/fåglar/A 7270-2025 prioriterade fågelarter.docx", "A 7270-2025")</f>
        <v/>
      </c>
    </row>
    <row r="92" ht="15" customHeight="1">
      <c r="A92" t="inlineStr">
        <is>
          <t>A 50871-2025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46224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50871-2025 artfynd.xlsx", "A 50871-2025")</f>
        <v/>
      </c>
      <c r="X92">
        <f>HYPERLINK("https://klasma.github.io/Logging_0480/kartor/A 50871-2025 karta.png", "A 50871-2025")</f>
        <v/>
      </c>
      <c r="Y92">
        <f>HYPERLINK("https://klasma.github.io/Logging_0480/kartor_geotiff/A 50871-2025 georefererad karta.tif", "A 50871-2025")</f>
        <v/>
      </c>
      <c r="AA92">
        <f>HYPERLINK("https://klasma.github.io/Logging_0480/klagomål/A 50871-2025 FSC-klagomål.docx", "A 50871-2025")</f>
        <v/>
      </c>
      <c r="AB92">
        <f>HYPERLINK("https://klasma.github.io/Logging_0480/klagomålsmail/A 50871-2025 FSC-klagomål mail.docx", "A 50871-2025")</f>
        <v/>
      </c>
      <c r="AC92">
        <f>HYPERLINK("https://klasma.github.io/Logging_0480/tillsyn/A 50871-2025 tillsynsbegäran.docx", "A 50871-2025")</f>
        <v/>
      </c>
      <c r="AD92">
        <f>HYPERLINK("https://klasma.github.io/Logging_0480/tillsynsmail/A 50871-2025 tillsynsbegäran mail.docx", "A 50871-2025")</f>
        <v/>
      </c>
      <c r="AE92">
        <f>HYPERLINK("https://klasma.github.io/Logging_0480/fåglar/A 50871-2025 prioriterade fågelarter.docx", "A 50871-2025")</f>
        <v/>
      </c>
    </row>
    <row r="93" ht="15" customHeight="1">
      <c r="A93" t="inlineStr">
        <is>
          <t>A 52384-2025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46224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Törnskata</t>
        </is>
      </c>
      <c r="W93">
        <f>HYPERLINK("https://klasma.github.io/Logging_0480/artfynd/A 52384-2025 artfynd.xlsx", "A 52384-2025")</f>
        <v/>
      </c>
      <c r="X93">
        <f>HYPERLINK("https://klasma.github.io/Logging_0480/kartor/A 52384-2025 karta.png", "A 52384-2025")</f>
        <v/>
      </c>
      <c r="Y93">
        <f>HYPERLINK("https://klasma.github.io/Logging_0480/kartor_geotiff/A 52384-2025 georefererad karta.tif", "A 52384-2025")</f>
        <v/>
      </c>
      <c r="AA93">
        <f>HYPERLINK("https://klasma.github.io/Logging_0480/klagomål/A 52384-2025 FSC-klagomål.docx", "A 52384-2025")</f>
        <v/>
      </c>
      <c r="AB93">
        <f>HYPERLINK("https://klasma.github.io/Logging_0480/klagomålsmail/A 52384-2025 FSC-klagomål mail.docx", "A 52384-2025")</f>
        <v/>
      </c>
      <c r="AC93">
        <f>HYPERLINK("https://klasma.github.io/Logging_0480/tillsyn/A 52384-2025 tillsynsbegäran.docx", "A 52384-2025")</f>
        <v/>
      </c>
      <c r="AD93">
        <f>HYPERLINK("https://klasma.github.io/Logging_0480/tillsynsmail/A 52384-2025 tillsynsbegäran mail.docx", "A 52384-2025")</f>
        <v/>
      </c>
      <c r="AE93">
        <f>HYPERLINK("https://klasma.github.io/Logging_0480/fåglar/A 52384-2025 prioriterade fågelarter.docx", "A 52384-2025")</f>
        <v/>
      </c>
    </row>
    <row r="94" ht="15" customHeight="1">
      <c r="A94" t="inlineStr">
        <is>
          <t>A 59905-2025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46224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11.7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HYPERLINK("https://klasma.github.io/Logging_0480/artfynd/A 59905-2025 artfynd.xlsx", "A 59905-2025")</f>
        <v/>
      </c>
      <c r="X94">
        <f>HYPERLINK("https://klasma.github.io/Logging_0480/kartor/A 59905-2025 karta.png", "A 59905-2025")</f>
        <v/>
      </c>
      <c r="Y94">
        <f>HYPERLINK("https://klasma.github.io/Logging_0480/kartor_geotiff/A 59905-2025 georefererad karta.tif", "A 59905-2025")</f>
        <v/>
      </c>
      <c r="AA94">
        <f>HYPERLINK("https://klasma.github.io/Logging_0480/klagomål/A 59905-2025 FSC-klagomål.docx", "A 59905-2025")</f>
        <v/>
      </c>
      <c r="AB94">
        <f>HYPERLINK("https://klasma.github.io/Logging_0480/klagomålsmail/A 59905-2025 FSC-klagomål mail.docx", "A 59905-2025")</f>
        <v/>
      </c>
      <c r="AC94">
        <f>HYPERLINK("https://klasma.github.io/Logging_0480/tillsyn/A 59905-2025 tillsynsbegäran.docx", "A 59905-2025")</f>
        <v/>
      </c>
      <c r="AD94">
        <f>HYPERLINK("https://klasma.github.io/Logging_0480/tillsynsmail/A 59905-2025 tillsynsbegäran mail.docx", "A 59905-2025")</f>
        <v/>
      </c>
    </row>
    <row r="95" ht="15" customHeight="1">
      <c r="A95" t="inlineStr">
        <is>
          <t>A 4305-2026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46224</v>
      </c>
      <c r="F95" t="inlineStr">
        <is>
          <t>SÖDERMANLANDS LÄN</t>
        </is>
      </c>
      <c r="G95" t="inlineStr">
        <is>
          <t>NYKÖPING</t>
        </is>
      </c>
      <c r="I95" t="n">
        <v>3.8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Tallticka</t>
        </is>
      </c>
      <c r="W95">
        <f>HYPERLINK("https://klasma.github.io/Logging_0480/artfynd/A 4305-2026 artfynd.xlsx", "A 4305-2026")</f>
        <v/>
      </c>
      <c r="X95">
        <f>HYPERLINK("https://klasma.github.io/Logging_0480/kartor/A 4305-2026 karta.png", "A 4305-2026")</f>
        <v/>
      </c>
      <c r="Y95">
        <f>HYPERLINK("https://klasma.github.io/Logging_0480/kartor_geotiff/A 4305-2026 georefererad karta.tif", "A 4305-2026")</f>
        <v/>
      </c>
      <c r="AA95">
        <f>HYPERLINK("https://klasma.github.io/Logging_0480/klagomål/A 4305-2026 FSC-klagomål.docx", "A 4305-2026")</f>
        <v/>
      </c>
      <c r="AB95">
        <f>HYPERLINK("https://klasma.github.io/Logging_0480/klagomålsmail/A 4305-2026 FSC-klagomål mail.docx", "A 4305-2026")</f>
        <v/>
      </c>
      <c r="AC95">
        <f>HYPERLINK("https://klasma.github.io/Logging_0480/tillsyn/A 4305-2026 tillsynsbegäran.docx", "A 4305-2026")</f>
        <v/>
      </c>
      <c r="AD95">
        <f>HYPERLINK("https://klasma.github.io/Logging_0480/tillsynsmail/A 4305-2026 tillsynsbegäran mail.docx", "A 4305-2026")</f>
        <v/>
      </c>
    </row>
    <row r="96" ht="15" customHeight="1">
      <c r="A96" t="inlineStr">
        <is>
          <t>A 59329-2023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45252</v>
      </c>
      <c r="E96" s="1" t="n">
        <v>46224</v>
      </c>
      <c r="F96" t="inlineStr">
        <is>
          <t>SÖDERMANLANDS LÄN</t>
        </is>
      </c>
      <c r="G96" t="inlineStr">
        <is>
          <t>NYKÖPING</t>
        </is>
      </c>
      <c r="I96" t="n">
        <v>22.1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HYPERLINK("https://klasma.github.io/Logging_0480/artfynd/A 59329-2023 artfynd.xlsx", "A 59329-2023")</f>
        <v/>
      </c>
      <c r="X96">
        <f>HYPERLINK("https://klasma.github.io/Logging_0480/kartor/A 59329-2023 karta.png", "A 59329-2023")</f>
        <v/>
      </c>
      <c r="Y96">
        <f>HYPERLINK("https://klasma.github.io/Logging_0480/kartor_geotiff/A 59329-2023 georefererad karta.tif", "A 59329-2023")</f>
        <v/>
      </c>
      <c r="AA96">
        <f>HYPERLINK("https://klasma.github.io/Logging_0480/klagomål/A 59329-2023 FSC-klagomål.docx", "A 59329-2023")</f>
        <v/>
      </c>
      <c r="AB96">
        <f>HYPERLINK("https://klasma.github.io/Logging_0480/klagomålsmail/A 59329-2023 FSC-klagomål mail.docx", "A 59329-2023")</f>
        <v/>
      </c>
      <c r="AC96">
        <f>HYPERLINK("https://klasma.github.io/Logging_0480/tillsyn/A 59329-2023 tillsynsbegäran.docx", "A 59329-2023")</f>
        <v/>
      </c>
      <c r="AD96">
        <f>HYPERLINK("https://klasma.github.io/Logging_0480/tillsynsmail/A 59329-2023 tillsynsbegäran mail.docx", "A 59329-2023")</f>
        <v/>
      </c>
    </row>
    <row r="97" ht="15" customHeight="1">
      <c r="A97" t="inlineStr">
        <is>
          <t>A 10886-2026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46224</v>
      </c>
      <c r="F97" t="inlineStr">
        <is>
          <t>SÖDERMANLANDS LÄN</t>
        </is>
      </c>
      <c r="G97" t="inlineStr">
        <is>
          <t>NYKÖPING</t>
        </is>
      </c>
      <c r="I97" t="n">
        <v>2.5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Tibast</t>
        </is>
      </c>
      <c r="W97">
        <f>HYPERLINK("https://klasma.github.io/Logging_0480/artfynd/A 10886-2026 artfynd.xlsx", "A 10886-2026")</f>
        <v/>
      </c>
      <c r="X97">
        <f>HYPERLINK("https://klasma.github.io/Logging_0480/kartor/A 10886-2026 karta.png", "A 10886-2026")</f>
        <v/>
      </c>
      <c r="Y97">
        <f>HYPERLINK("https://klasma.github.io/Logging_0480/kartor_geotiff/A 10886-2026 georefererad karta.tif", "A 10886-2026")</f>
        <v/>
      </c>
      <c r="AA97">
        <f>HYPERLINK("https://klasma.github.io/Logging_0480/klagomål/A 10886-2026 FSC-klagomål.docx", "A 10886-2026")</f>
        <v/>
      </c>
      <c r="AB97">
        <f>HYPERLINK("https://klasma.github.io/Logging_0480/klagomålsmail/A 10886-2026 FSC-klagomål mail.docx", "A 10886-2026")</f>
        <v/>
      </c>
      <c r="AC97">
        <f>HYPERLINK("https://klasma.github.io/Logging_0480/tillsyn/A 10886-2026 tillsynsbegäran.docx", "A 10886-2026")</f>
        <v/>
      </c>
      <c r="AD97">
        <f>HYPERLINK("https://klasma.github.io/Logging_0480/tillsynsmail/A 10886-2026 tillsynsbegäran mail.docx", "A 10886-2026")</f>
        <v/>
      </c>
    </row>
    <row r="98" ht="15" customHeight="1">
      <c r="A98" t="inlineStr">
        <is>
          <t>A 8387-2024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46224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Gulsparv</t>
        </is>
      </c>
      <c r="W98">
        <f>HYPERLINK("https://klasma.github.io/Logging_0480/artfynd/A 8387-2024 artfynd.xlsx", "A 8387-2024")</f>
        <v/>
      </c>
      <c r="X98">
        <f>HYPERLINK("https://klasma.github.io/Logging_0480/kartor/A 8387-2024 karta.png", "A 8387-2024")</f>
        <v/>
      </c>
      <c r="Y98">
        <f>HYPERLINK("https://klasma.github.io/Logging_0480/kartor_geotiff/A 8387-2024 georefererad karta.tif", "A 8387-2024")</f>
        <v/>
      </c>
      <c r="AA98">
        <f>HYPERLINK("https://klasma.github.io/Logging_0480/klagomål/A 8387-2024 FSC-klagomål.docx", "A 8387-2024")</f>
        <v/>
      </c>
      <c r="AB98">
        <f>HYPERLINK("https://klasma.github.io/Logging_0480/klagomålsmail/A 8387-2024 FSC-klagomål mail.docx", "A 8387-2024")</f>
        <v/>
      </c>
      <c r="AC98">
        <f>HYPERLINK("https://klasma.github.io/Logging_0480/tillsyn/A 8387-2024 tillsynsbegäran.docx", "A 8387-2024")</f>
        <v/>
      </c>
      <c r="AD98">
        <f>HYPERLINK("https://klasma.github.io/Logging_0480/tillsynsmail/A 8387-2024 tillsynsbegäran mail.docx", "A 8387-2024")</f>
        <v/>
      </c>
      <c r="AE98">
        <f>HYPERLINK("https://klasma.github.io/Logging_0480/fåglar/A 8387-2024 prioriterade fågelarter.docx", "A 8387-2024")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46224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4903-2022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46224</v>
      </c>
      <c r="F100" t="inlineStr">
        <is>
          <t>SÖDERMANLANDS LÄN</t>
        </is>
      </c>
      <c r="G100" t="inlineStr">
        <is>
          <t>NYKÖPING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Knärot</t>
        </is>
      </c>
      <c r="W100">
        <f>HYPERLINK("https://klasma.github.io/Logging_0480/artfynd/A 4903-2022 artfynd.xlsx", "A 4903-2022")</f>
        <v/>
      </c>
      <c r="X100">
        <f>HYPERLINK("https://klasma.github.io/Logging_0480/kartor/A 4903-2022 karta.png", "A 4903-2022")</f>
        <v/>
      </c>
      <c r="Y100">
        <f>HYPERLINK("https://klasma.github.io/Logging_0480/kartor_geotiff/A 4903-2022 georefererad karta.tif", "A 4903-2022")</f>
        <v/>
      </c>
      <c r="Z100">
        <f>HYPERLINK("https://klasma.github.io/Logging_0480/knärot/A 4903-2022 karta knärot.png", "A 4903-2022")</f>
        <v/>
      </c>
      <c r="AA100">
        <f>HYPERLINK("https://klasma.github.io/Logging_0480/klagomål/A 4903-2022 FSC-klagomål.docx", "A 4903-2022")</f>
        <v/>
      </c>
      <c r="AB100">
        <f>HYPERLINK("https://klasma.github.io/Logging_0480/klagomålsmail/A 4903-2022 FSC-klagomål mail.docx", "A 4903-2022")</f>
        <v/>
      </c>
      <c r="AC100">
        <f>HYPERLINK("https://klasma.github.io/Logging_0480/tillsyn/A 4903-2022 tillsynsbegäran.docx", "A 4903-2022")</f>
        <v/>
      </c>
      <c r="AD100">
        <f>HYPERLINK("https://klasma.github.io/Logging_0480/tillsynsmail/A 4903-2022 tillsynsbegäran mail.docx", "A 4903-2022")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46224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50554-2023 artfynd.xlsx", "A 50554-2023")</f>
        <v/>
      </c>
      <c r="X101">
        <f>HYPERLINK("https://klasma.github.io/Logging_0480/kartor/A 50554-2023 karta.png", "A 50554-2023")</f>
        <v/>
      </c>
      <c r="Y101">
        <f>HYPERLINK("https://klasma.github.io/Logging_0480/kartor_geotiff/A 50554-2023 georefererad karta.tif", "A 50554-2023")</f>
        <v/>
      </c>
      <c r="AA101">
        <f>HYPERLINK("https://klasma.github.io/Logging_0480/klagomål/A 50554-2023 FSC-klagomål.docx", "A 50554-2023")</f>
        <v/>
      </c>
      <c r="AB101">
        <f>HYPERLINK("https://klasma.github.io/Logging_0480/klagomålsmail/A 50554-2023 FSC-klagomål mail.docx", "A 50554-2023")</f>
        <v/>
      </c>
      <c r="AC101">
        <f>HYPERLINK("https://klasma.github.io/Logging_0480/tillsyn/A 50554-2023 tillsynsbegäran.docx", "A 50554-2023")</f>
        <v/>
      </c>
      <c r="AD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46224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HYPERLINK("https://klasma.github.io/Logging_0480/artfynd/A 5509-2023 artfynd.xlsx", "A 5509-2023")</f>
        <v/>
      </c>
      <c r="X102">
        <f>HYPERLINK("https://klasma.github.io/Logging_0480/kartor/A 5509-2023 karta.png", "A 5509-2023")</f>
        <v/>
      </c>
      <c r="Y102">
        <f>HYPERLINK("https://klasma.github.io/Logging_0480/kartor_geotiff/A 5509-2023 georefererad karta.tif", "A 5509-2023")</f>
        <v/>
      </c>
      <c r="AA102">
        <f>HYPERLINK("https://klasma.github.io/Logging_0480/klagomål/A 5509-2023 FSC-klagomål.docx", "A 5509-2023")</f>
        <v/>
      </c>
      <c r="AB102">
        <f>HYPERLINK("https://klasma.github.io/Logging_0480/klagomålsmail/A 5509-2023 FSC-klagomål mail.docx", "A 5509-2023")</f>
        <v/>
      </c>
      <c r="AC102">
        <f>HYPERLINK("https://klasma.github.io/Logging_0480/tillsyn/A 5509-2023 tillsynsbegäran.docx", "A 5509-2023")</f>
        <v/>
      </c>
      <c r="AD102">
        <f>HYPERLINK("https://klasma.github.io/Logging_0480/tillsynsmail/A 5509-2023 tillsynsbegäran mail.docx", "A 5509-2023")</f>
        <v/>
      </c>
    </row>
    <row r="103" ht="15" customHeight="1">
      <c r="A103" t="inlineStr">
        <is>
          <t>A 20415-2024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46224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6.4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Gulsparv</t>
        </is>
      </c>
      <c r="W103">
        <f>HYPERLINK("https://klasma.github.io/Logging_0480/artfynd/A 20415-2024 artfynd.xlsx", "A 20415-2024")</f>
        <v/>
      </c>
      <c r="X103">
        <f>HYPERLINK("https://klasma.github.io/Logging_0480/kartor/A 20415-2024 karta.png", "A 20415-2024")</f>
        <v/>
      </c>
      <c r="Y103">
        <f>HYPERLINK("https://klasma.github.io/Logging_0480/kartor_geotiff/A 20415-2024 georefererad karta.tif", "A 20415-2024")</f>
        <v/>
      </c>
      <c r="AA103">
        <f>HYPERLINK("https://klasma.github.io/Logging_0480/klagomål/A 20415-2024 FSC-klagomål.docx", "A 20415-2024")</f>
        <v/>
      </c>
      <c r="AB103">
        <f>HYPERLINK("https://klasma.github.io/Logging_0480/klagomålsmail/A 20415-2024 FSC-klagomål mail.docx", "A 20415-2024")</f>
        <v/>
      </c>
      <c r="AC103">
        <f>HYPERLINK("https://klasma.github.io/Logging_0480/tillsyn/A 20415-2024 tillsynsbegäran.docx", "A 20415-2024")</f>
        <v/>
      </c>
      <c r="AD103">
        <f>HYPERLINK("https://klasma.github.io/Logging_0480/tillsynsmail/A 20415-2024 tillsynsbegäran mail.docx", "A 20415-2024")</f>
        <v/>
      </c>
      <c r="AE103">
        <f>HYPERLINK("https://klasma.github.io/Logging_0480/fåglar/A 20415-2024 prioriterade fågelarter.docx", "A 20415-2024")</f>
        <v/>
      </c>
    </row>
    <row r="104" ht="15" customHeight="1">
      <c r="A104" t="inlineStr">
        <is>
          <t>A 20425-2024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46224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Skogsalm</t>
        </is>
      </c>
      <c r="W104">
        <f>HYPERLINK("https://klasma.github.io/Logging_0480/artfynd/A 20425-2024 artfynd.xlsx", "A 20425-2024")</f>
        <v/>
      </c>
      <c r="X104">
        <f>HYPERLINK("https://klasma.github.io/Logging_0480/kartor/A 20425-2024 karta.png", "A 20425-2024")</f>
        <v/>
      </c>
      <c r="Y104">
        <f>HYPERLINK("https://klasma.github.io/Logging_0480/kartor_geotiff/A 20425-2024 georefererad karta.tif", "A 20425-2024")</f>
        <v/>
      </c>
      <c r="AA104">
        <f>HYPERLINK("https://klasma.github.io/Logging_0480/klagomål/A 20425-2024 FSC-klagomål.docx", "A 20425-2024")</f>
        <v/>
      </c>
      <c r="AB104">
        <f>HYPERLINK("https://klasma.github.io/Logging_0480/klagomålsmail/A 20425-2024 FSC-klagomål mail.docx", "A 20425-2024")</f>
        <v/>
      </c>
      <c r="AC104">
        <f>HYPERLINK("https://klasma.github.io/Logging_0480/tillsyn/A 20425-2024 tillsynsbegäran.docx", "A 20425-2024")</f>
        <v/>
      </c>
      <c r="AD104">
        <f>HYPERLINK("https://klasma.github.io/Logging_0480/tillsynsmail/A 20425-2024 tillsynsbegäran mail.docx", "A 20425-2024")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46224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Dropptaggsvamp</t>
        </is>
      </c>
      <c r="W105">
        <f>HYPERLINK("https://klasma.github.io/Logging_0480/artfynd/A 13724-2024 artfynd.xlsx", "A 13724-2024")</f>
        <v/>
      </c>
      <c r="X105">
        <f>HYPERLINK("https://klasma.github.io/Logging_0480/kartor/A 13724-2024 karta.png", "A 13724-2024")</f>
        <v/>
      </c>
      <c r="Y105">
        <f>HYPERLINK("https://klasma.github.io/Logging_0480/kartor_geotiff/A 13724-2024 georefererad karta.tif", "A 13724-2024")</f>
        <v/>
      </c>
      <c r="AA105">
        <f>HYPERLINK("https://klasma.github.io/Logging_0480/klagomål/A 13724-2024 FSC-klagomål.docx", "A 13724-2024")</f>
        <v/>
      </c>
      <c r="AB105">
        <f>HYPERLINK("https://klasma.github.io/Logging_0480/klagomålsmail/A 13724-2024 FSC-klagomål mail.docx", "A 13724-2024")</f>
        <v/>
      </c>
      <c r="AC105">
        <f>HYPERLINK("https://klasma.github.io/Logging_0480/tillsyn/A 13724-2024 tillsynsbegäran.docx", "A 13724-2024")</f>
        <v/>
      </c>
      <c r="AD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46224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46224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Gullviva</t>
        </is>
      </c>
      <c r="W107">
        <f>HYPERLINK("https://klasma.github.io/Logging_0480/artfynd/A 35318-2024 artfynd.xlsx", "A 35318-2024")</f>
        <v/>
      </c>
      <c r="X107">
        <f>HYPERLINK("https://klasma.github.io/Logging_0480/kartor/A 35318-2024 karta.png", "A 35318-2024")</f>
        <v/>
      </c>
      <c r="Y107">
        <f>HYPERLINK("https://klasma.github.io/Logging_0480/kartor_geotiff/A 35318-2024 georefererad karta.tif", "A 35318-2024")</f>
        <v/>
      </c>
      <c r="AA107">
        <f>HYPERLINK("https://klasma.github.io/Logging_0480/klagomål/A 35318-2024 FSC-klagomål.docx", "A 35318-2024")</f>
        <v/>
      </c>
      <c r="AB107">
        <f>HYPERLINK("https://klasma.github.io/Logging_0480/klagomålsmail/A 35318-2024 FSC-klagomål mail.docx", "A 35318-2024")</f>
        <v/>
      </c>
      <c r="AC107">
        <f>HYPERLINK("https://klasma.github.io/Logging_0480/tillsyn/A 35318-2024 tillsynsbegäran.docx", "A 35318-2024")</f>
        <v/>
      </c>
      <c r="AD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46224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HYPERLINK("https://klasma.github.io/Logging_0480/artfynd/A 28542-2023 artfynd.xlsx", "A 28542-2023")</f>
        <v/>
      </c>
      <c r="X108">
        <f>HYPERLINK("https://klasma.github.io/Logging_0480/kartor/A 28542-2023 karta.png", "A 28542-2023")</f>
        <v/>
      </c>
      <c r="Y108">
        <f>HYPERLINK("https://klasma.github.io/Logging_0480/kartor_geotiff/A 28542-2023 georefererad karta.tif", "A 28542-2023")</f>
        <v/>
      </c>
      <c r="Z108">
        <f>HYPERLINK("https://klasma.github.io/Logging_0480/knärot/A 28542-2023 karta knärot.png", "A 28542-2023")</f>
        <v/>
      </c>
      <c r="AA108">
        <f>HYPERLINK("https://klasma.github.io/Logging_0480/klagomål/A 28542-2023 FSC-klagomål.docx", "A 28542-2023")</f>
        <v/>
      </c>
      <c r="AB108">
        <f>HYPERLINK("https://klasma.github.io/Logging_0480/klagomålsmail/A 28542-2023 FSC-klagomål mail.docx", "A 28542-2023")</f>
        <v/>
      </c>
      <c r="AC108">
        <f>HYPERLINK("https://klasma.github.io/Logging_0480/tillsyn/A 28542-2023 tillsynsbegäran.docx", "A 28542-2023")</f>
        <v/>
      </c>
      <c r="AD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5385-2026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46224</v>
      </c>
      <c r="F109" t="inlineStr">
        <is>
          <t>SÖDERMANLANDS LÄN</t>
        </is>
      </c>
      <c r="G109" t="inlineStr">
        <is>
          <t>NYKÖPING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Spillkråka</t>
        </is>
      </c>
      <c r="W109">
        <f>HYPERLINK("https://klasma.github.io/Logging_0480/artfynd/A 5385-2026 artfynd.xlsx", "A 5385-2026")</f>
        <v/>
      </c>
      <c r="X109">
        <f>HYPERLINK("https://klasma.github.io/Logging_0480/kartor/A 5385-2026 karta.png", "A 5385-2026")</f>
        <v/>
      </c>
      <c r="Y109">
        <f>HYPERLINK("https://klasma.github.io/Logging_0480/kartor_geotiff/A 5385-2026 georefererad karta.tif", "A 5385-2026")</f>
        <v/>
      </c>
      <c r="AA109">
        <f>HYPERLINK("https://klasma.github.io/Logging_0480/klagomål/A 5385-2026 FSC-klagomål.docx", "A 5385-2026")</f>
        <v/>
      </c>
      <c r="AB109">
        <f>HYPERLINK("https://klasma.github.io/Logging_0480/klagomålsmail/A 5385-2026 FSC-klagomål mail.docx", "A 5385-2026")</f>
        <v/>
      </c>
      <c r="AC109">
        <f>HYPERLINK("https://klasma.github.io/Logging_0480/tillsyn/A 5385-2026 tillsynsbegäran.docx", "A 5385-2026")</f>
        <v/>
      </c>
      <c r="AD109">
        <f>HYPERLINK("https://klasma.github.io/Logging_0480/tillsynsmail/A 5385-2026 tillsynsbegäran mail.docx", "A 5385-2026")</f>
        <v/>
      </c>
      <c r="AE109">
        <f>HYPERLINK("https://klasma.github.io/Logging_0480/fåglar/A 5385-2026 prioriterade fågelarter.docx", "A 5385-2026")</f>
        <v/>
      </c>
    </row>
    <row r="110" ht="15" customHeight="1">
      <c r="A110" t="inlineStr">
        <is>
          <t>A 21021-2026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46145</v>
      </c>
      <c r="E110" s="1" t="n">
        <v>46224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HYPERLINK("https://klasma.github.io/Logging_0480/artfynd/A 21021-2026 artfynd.xlsx", "A 21021-2026")</f>
        <v/>
      </c>
      <c r="X110">
        <f>HYPERLINK("https://klasma.github.io/Logging_0480/kartor/A 21021-2026 karta.png", "A 21021-2026")</f>
        <v/>
      </c>
      <c r="Y110">
        <f>HYPERLINK("https://klasma.github.io/Logging_0480/kartor_geotiff/A 21021-2026 georefererad karta.tif", "A 21021-2026")</f>
        <v/>
      </c>
      <c r="AA110">
        <f>HYPERLINK("https://klasma.github.io/Logging_0480/klagomål/A 21021-2026 FSC-klagomål.docx", "A 21021-2026")</f>
        <v/>
      </c>
      <c r="AB110">
        <f>HYPERLINK("https://klasma.github.io/Logging_0480/klagomålsmail/A 21021-2026 FSC-klagomål mail.docx", "A 21021-2026")</f>
        <v/>
      </c>
      <c r="AC110">
        <f>HYPERLINK("https://klasma.github.io/Logging_0480/tillsyn/A 21021-2026 tillsynsbegäran.docx", "A 21021-2026")</f>
        <v/>
      </c>
      <c r="AD110">
        <f>HYPERLINK("https://klasma.github.io/Logging_0480/tillsynsmail/A 21021-2026 tillsynsbegäran mail.docx", "A 21021-2026")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46224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Kamjordstjärna</t>
        </is>
      </c>
      <c r="W111">
        <f>HYPERLINK("https://klasma.github.io/Logging_0480/artfynd/A 20325-2023 artfynd.xlsx", "A 20325-2023")</f>
        <v/>
      </c>
      <c r="X111">
        <f>HYPERLINK("https://klasma.github.io/Logging_0480/kartor/A 20325-2023 karta.png", "A 20325-2023")</f>
        <v/>
      </c>
      <c r="Y111">
        <f>HYPERLINK("https://klasma.github.io/Logging_0480/kartor_geotiff/A 20325-2023 georefererad karta.tif", "A 20325-2023")</f>
        <v/>
      </c>
      <c r="AA111">
        <f>HYPERLINK("https://klasma.github.io/Logging_0480/klagomål/A 20325-2023 FSC-klagomål.docx", "A 20325-2023")</f>
        <v/>
      </c>
      <c r="AB111">
        <f>HYPERLINK("https://klasma.github.io/Logging_0480/klagomålsmail/A 20325-2023 FSC-klagomål mail.docx", "A 20325-2023")</f>
        <v/>
      </c>
      <c r="AC111">
        <f>HYPERLINK("https://klasma.github.io/Logging_0480/tillsyn/A 20325-2023 tillsynsbegäran.docx", "A 20325-2023")</f>
        <v/>
      </c>
      <c r="AD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22495-2026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46224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Vedticka</t>
        </is>
      </c>
      <c r="W112">
        <f>HYPERLINK("https://klasma.github.io/Logging_0480/artfynd/A 22495-2026 artfynd.xlsx", "A 22495-2026")</f>
        <v/>
      </c>
      <c r="X112">
        <f>HYPERLINK("https://klasma.github.io/Logging_0480/kartor/A 22495-2026 karta.png", "A 22495-2026")</f>
        <v/>
      </c>
      <c r="Y112">
        <f>HYPERLINK("https://klasma.github.io/Logging_0480/kartor_geotiff/A 22495-2026 georefererad karta.tif", "A 22495-2026")</f>
        <v/>
      </c>
      <c r="AA112">
        <f>HYPERLINK("https://klasma.github.io/Logging_0480/klagomål/A 22495-2026 FSC-klagomål.docx", "A 22495-2026")</f>
        <v/>
      </c>
      <c r="AB112">
        <f>HYPERLINK("https://klasma.github.io/Logging_0480/klagomålsmail/A 22495-2026 FSC-klagomål mail.docx", "A 22495-2026")</f>
        <v/>
      </c>
      <c r="AC112">
        <f>HYPERLINK("https://klasma.github.io/Logging_0480/tillsyn/A 22495-2026 tillsynsbegäran.docx", "A 22495-2026")</f>
        <v/>
      </c>
      <c r="AD112">
        <f>HYPERLINK("https://klasma.github.io/Logging_0480/tillsynsmail/A 22495-2026 tillsynsbegäran mail.docx", "A 22495-2026")</f>
        <v/>
      </c>
    </row>
    <row r="113" ht="15" customHeight="1">
      <c r="A113" t="inlineStr">
        <is>
          <t>A 9973-2022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44621</v>
      </c>
      <c r="E113" s="1" t="n">
        <v>46224</v>
      </c>
      <c r="F113" t="inlineStr">
        <is>
          <t>SÖDERMANLANDS LÄN</t>
        </is>
      </c>
      <c r="G113" t="inlineStr">
        <is>
          <t>NYKÖPING</t>
        </is>
      </c>
      <c r="I113" t="n">
        <v>18.3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HYPERLINK("https://klasma.github.io/Logging_0480/artfynd/A 9973-2022 artfynd.xlsx", "A 9973-2022")</f>
        <v/>
      </c>
      <c r="X113">
        <f>HYPERLINK("https://klasma.github.io/Logging_0480/kartor/A 9973-2022 karta.png", "A 9973-2022")</f>
        <v/>
      </c>
      <c r="Y113">
        <f>HYPERLINK("https://klasma.github.io/Logging_0480/kartor_geotiff/A 9973-2022 georefererad karta.tif", "A 9973-2022")</f>
        <v/>
      </c>
      <c r="AA113">
        <f>HYPERLINK("https://klasma.github.io/Logging_0480/klagomål/A 9973-2022 FSC-klagomål.docx", "A 9973-2022")</f>
        <v/>
      </c>
      <c r="AB113">
        <f>HYPERLINK("https://klasma.github.io/Logging_0480/klagomålsmail/A 9973-2022 FSC-klagomål mail.docx", "A 9973-2022")</f>
        <v/>
      </c>
      <c r="AC113">
        <f>HYPERLINK("https://klasma.github.io/Logging_0480/tillsyn/A 9973-2022 tillsynsbegäran.docx", "A 9973-2022")</f>
        <v/>
      </c>
      <c r="AD113">
        <f>HYPERLINK("https://klasma.github.io/Logging_0480/tillsynsmail/A 9973-2022 tillsynsbegäran mail.docx", "A 9973-2022")</f>
        <v/>
      </c>
    </row>
    <row r="114" ht="15" customHeight="1">
      <c r="A114" t="inlineStr">
        <is>
          <t>A 47095-2021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46224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Kommuner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Kricka</t>
        </is>
      </c>
      <c r="W114">
        <f>HYPERLINK("https://klasma.github.io/Logging_0480/artfynd/A 47095-2021 artfynd.xlsx", "A 47095-2021")</f>
        <v/>
      </c>
      <c r="X114">
        <f>HYPERLINK("https://klasma.github.io/Logging_0480/kartor/A 47095-2021 karta.png", "A 47095-2021")</f>
        <v/>
      </c>
      <c r="Y114">
        <f>HYPERLINK("https://klasma.github.io/Logging_0480/kartor_geotiff/A 47095-2021 georefererad karta.tif", "A 47095-2021")</f>
        <v/>
      </c>
      <c r="AA114">
        <f>HYPERLINK("https://klasma.github.io/Logging_0480/klagomål/A 47095-2021 FSC-klagomål.docx", "A 47095-2021")</f>
        <v/>
      </c>
      <c r="AB114">
        <f>HYPERLINK("https://klasma.github.io/Logging_0480/klagomålsmail/A 47095-2021 FSC-klagomål mail.docx", "A 47095-2021")</f>
        <v/>
      </c>
      <c r="AC114">
        <f>HYPERLINK("https://klasma.github.io/Logging_0480/tillsyn/A 47095-2021 tillsynsbegäran.docx", "A 47095-2021")</f>
        <v/>
      </c>
      <c r="AD114">
        <f>HYPERLINK("https://klasma.github.io/Logging_0480/tillsynsmail/A 47095-2021 tillsynsbegäran mail.docx", "A 47095-2021")</f>
        <v/>
      </c>
      <c r="AE114">
        <f>HYPERLINK("https://klasma.github.io/Logging_0480/fåglar/A 47095-2021 prioriterade fågelarter.docx", "A 47095-2021")</f>
        <v/>
      </c>
    </row>
    <row r="115" ht="15" customHeight="1">
      <c r="A115" t="inlineStr">
        <is>
          <t>A 13038-2024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45385</v>
      </c>
      <c r="E115" s="1" t="n">
        <v>46224</v>
      </c>
      <c r="F115" t="inlineStr">
        <is>
          <t>SÖDERMANLANDS LÄN</t>
        </is>
      </c>
      <c r="G115" t="inlineStr">
        <is>
          <t>NYKÖPING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Knärot</t>
        </is>
      </c>
      <c r="W115">
        <f>HYPERLINK("https://klasma.github.io/Logging_0480/artfynd/A 13038-2024 artfynd.xlsx", "A 13038-2024")</f>
        <v/>
      </c>
      <c r="X115">
        <f>HYPERLINK("https://klasma.github.io/Logging_0480/kartor/A 13038-2024 karta.png", "A 13038-2024")</f>
        <v/>
      </c>
      <c r="Y115">
        <f>HYPERLINK("https://klasma.github.io/Logging_0480/kartor_geotiff/A 13038-2024 georefererad karta.tif", "A 13038-2024")</f>
        <v/>
      </c>
      <c r="Z115">
        <f>HYPERLINK("https://klasma.github.io/Logging_0480/knärot/A 13038-2024 karta knärot.png", "A 13038-2024")</f>
        <v/>
      </c>
      <c r="AA115">
        <f>HYPERLINK("https://klasma.github.io/Logging_0480/klagomål/A 13038-2024 FSC-klagomål.docx", "A 13038-2024")</f>
        <v/>
      </c>
      <c r="AB115">
        <f>HYPERLINK("https://klasma.github.io/Logging_0480/klagomålsmail/A 13038-2024 FSC-klagomål mail.docx", "A 13038-2024")</f>
        <v/>
      </c>
      <c r="AC115">
        <f>HYPERLINK("https://klasma.github.io/Logging_0480/tillsyn/A 13038-2024 tillsynsbegäran.docx", "A 13038-2024")</f>
        <v/>
      </c>
      <c r="AD115">
        <f>HYPERLINK("https://klasma.github.io/Logging_0480/tillsynsmail/A 13038-2024 tillsynsbegäran mail.docx", "A 13038-2024")</f>
        <v/>
      </c>
    </row>
    <row r="116" ht="15" customHeight="1">
      <c r="A116" t="inlineStr">
        <is>
          <t>A 51258-2024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46224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Sveaskog</t>
        </is>
      </c>
      <c r="I116" t="n">
        <v>2.6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Grönpyrola</t>
        </is>
      </c>
      <c r="W116">
        <f>HYPERLINK("https://klasma.github.io/Logging_0480/artfynd/A 51258-2024 artfynd.xlsx", "A 51258-2024")</f>
        <v/>
      </c>
      <c r="X116">
        <f>HYPERLINK("https://klasma.github.io/Logging_0480/kartor/A 51258-2024 karta.png", "A 51258-2024")</f>
        <v/>
      </c>
      <c r="Y116">
        <f>HYPERLINK("https://klasma.github.io/Logging_0480/kartor_geotiff/A 51258-2024 georefererad karta.tif", "A 51258-2024")</f>
        <v/>
      </c>
      <c r="AA116">
        <f>HYPERLINK("https://klasma.github.io/Logging_0480/klagomål/A 51258-2024 FSC-klagomål.docx", "A 51258-2024")</f>
        <v/>
      </c>
      <c r="AB116">
        <f>HYPERLINK("https://klasma.github.io/Logging_0480/klagomålsmail/A 51258-2024 FSC-klagomål mail.docx", "A 51258-2024")</f>
        <v/>
      </c>
      <c r="AC116">
        <f>HYPERLINK("https://klasma.github.io/Logging_0480/tillsyn/A 51258-2024 tillsynsbegäran.docx", "A 51258-2024")</f>
        <v/>
      </c>
      <c r="AD116">
        <f>HYPERLINK("https://klasma.github.io/Logging_0480/tillsynsmail/A 51258-2024 tillsynsbegäran mail.docx", "A 51258-2024")</f>
        <v/>
      </c>
    </row>
    <row r="117" ht="15" customHeight="1">
      <c r="A117" t="inlineStr">
        <is>
          <t>A 31182-2026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46224</v>
      </c>
      <c r="F117" t="inlineStr">
        <is>
          <t>SÖDERMANLANDS LÄN</t>
        </is>
      </c>
      <c r="G117" t="inlineStr">
        <is>
          <t>NYKÖPING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HYPERLINK("https://klasma.github.io/Logging_0480/artfynd/A 31182-2026 artfynd.xlsx", "A 31182-2026")</f>
        <v/>
      </c>
      <c r="X117">
        <f>HYPERLINK("https://klasma.github.io/Logging_0480/kartor/A 31182-2026 karta.png", "A 31182-2026")</f>
        <v/>
      </c>
      <c r="Y117">
        <f>HYPERLINK("https://klasma.github.io/Logging_0480/kartor_geotiff/A 31182-2026 georefererad karta.tif", "A 31182-2026")</f>
        <v/>
      </c>
      <c r="AA117">
        <f>HYPERLINK("https://klasma.github.io/Logging_0480/klagomål/A 31182-2026 FSC-klagomål.docx", "A 31182-2026")</f>
        <v/>
      </c>
      <c r="AB117">
        <f>HYPERLINK("https://klasma.github.io/Logging_0480/klagomålsmail/A 31182-2026 FSC-klagomål mail.docx", "A 31182-2026")</f>
        <v/>
      </c>
      <c r="AC117">
        <f>HYPERLINK("https://klasma.github.io/Logging_0480/tillsyn/A 31182-2026 tillsynsbegäran.docx", "A 31182-2026")</f>
        <v/>
      </c>
      <c r="AD117">
        <f>HYPERLINK("https://klasma.github.io/Logging_0480/tillsynsmail/A 31182-2026 tillsynsbegäran mail.docx", "A 31182-2026")</f>
        <v/>
      </c>
    </row>
    <row r="118" ht="15" customHeight="1">
      <c r="A118" t="inlineStr">
        <is>
          <t>A 35122-2023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46224</v>
      </c>
      <c r="F118" t="inlineStr">
        <is>
          <t>SÖDERMANLANDS LÄN</t>
        </is>
      </c>
      <c r="G118" t="inlineStr">
        <is>
          <t>NYKÖPING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HYPERLINK("https://klasma.github.io/Logging_0480/artfynd/A 35122-2023 artfynd.xlsx", "A 35122-2023")</f>
        <v/>
      </c>
      <c r="X118">
        <f>HYPERLINK("https://klasma.github.io/Logging_0480/kartor/A 35122-2023 karta.png", "A 35122-2023")</f>
        <v/>
      </c>
      <c r="Y118">
        <f>HYPERLINK("https://klasma.github.io/Logging_0480/kartor_geotiff/A 35122-2023 georefererad karta.tif", "A 35122-2023")</f>
        <v/>
      </c>
      <c r="AA118">
        <f>HYPERLINK("https://klasma.github.io/Logging_0480/klagomål/A 35122-2023 FSC-klagomål.docx", "A 35122-2023")</f>
        <v/>
      </c>
      <c r="AB118">
        <f>HYPERLINK("https://klasma.github.io/Logging_0480/klagomålsmail/A 35122-2023 FSC-klagomål mail.docx", "A 35122-2023")</f>
        <v/>
      </c>
      <c r="AC118">
        <f>HYPERLINK("https://klasma.github.io/Logging_0480/tillsyn/A 35122-2023 tillsynsbegäran.docx", "A 35122-2023")</f>
        <v/>
      </c>
      <c r="AD118">
        <f>HYPERLINK("https://klasma.github.io/Logging_0480/tillsynsmail/A 35122-2023 tillsynsbegäran mail.docx", "A 35122-2023")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46224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HYPERLINK("https://klasma.github.io/Logging_0480/artfynd/S 447-2021 artfynd.xlsx", "S 447-2021")</f>
        <v/>
      </c>
      <c r="X119">
        <f>HYPERLINK("https://klasma.github.io/Logging_0480/kartor/S 447-2021 karta.png", "S 447-2021")</f>
        <v/>
      </c>
      <c r="Y119">
        <f>HYPERLINK("https://klasma.github.io/Logging_0480/kartor_geotiff/S 447-2021 georefererad karta.tif", "S 447-2021")</f>
        <v/>
      </c>
      <c r="AA119">
        <f>HYPERLINK("https://klasma.github.io/Logging_0480/klagomål/S 447-2021 FSC-klagomål.docx", "S 447-2021")</f>
        <v/>
      </c>
      <c r="AB119">
        <f>HYPERLINK("https://klasma.github.io/Logging_0480/klagomålsmail/S 447-2021 FSC-klagomål mail.docx", "S 447-2021")</f>
        <v/>
      </c>
      <c r="AC119">
        <f>HYPERLINK("https://klasma.github.io/Logging_0480/tillsyn/S 447-2021 tillsynsbegäran.docx", "S 447-2021")</f>
        <v/>
      </c>
      <c r="AD119">
        <f>HYPERLINK("https://klasma.github.io/Logging_0480/tillsynsmail/S 447-2021 tillsynsbegäran mail.docx", "S 447-2021")</f>
        <v/>
      </c>
    </row>
    <row r="120" ht="15" customHeight="1">
      <c r="A120" t="inlineStr">
        <is>
          <t>A 74404-2021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46224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44870</v>
      </c>
      <c r="E121" s="1" t="n">
        <v>46224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46224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46224</v>
      </c>
      <c r="F123" t="inlineStr">
        <is>
          <t>SÖDERMANLANDS LÄN</t>
        </is>
      </c>
      <c r="G123" t="inlineStr">
        <is>
          <t>NYKÖPING</t>
        </is>
      </c>
      <c r="I123" t="n">
        <v>21.9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46224</v>
      </c>
      <c r="F124" t="inlineStr">
        <is>
          <t>SÖDERMANLANDS LÄN</t>
        </is>
      </c>
      <c r="G124" t="inlineStr">
        <is>
          <t>NYKÖPING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46224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46224</v>
      </c>
      <c r="F126" t="inlineStr">
        <is>
          <t>SÖDERMANLANDS LÄN</t>
        </is>
      </c>
      <c r="G126" t="inlineStr">
        <is>
          <t>NYKÖPING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44466</v>
      </c>
      <c r="E127" s="1" t="n">
        <v>46224</v>
      </c>
      <c r="F127" t="inlineStr">
        <is>
          <t>SÖDERMANLANDS LÄN</t>
        </is>
      </c>
      <c r="G127" t="inlineStr">
        <is>
          <t>NYKÖPING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46224</v>
      </c>
      <c r="F128" t="inlineStr">
        <is>
          <t>SÖDERMANLANDS LÄN</t>
        </is>
      </c>
      <c r="G128" t="inlineStr">
        <is>
          <t>NYKÖPING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46224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46224</v>
      </c>
      <c r="F130" t="inlineStr">
        <is>
          <t>SÖDERMANLANDS LÄN</t>
        </is>
      </c>
      <c r="G130" t="inlineStr">
        <is>
          <t>NYKÖPING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46224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46224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46224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46224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46224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46224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46224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46224</v>
      </c>
      <c r="F138" t="inlineStr">
        <is>
          <t>SÖDERMANLANDS LÄN</t>
        </is>
      </c>
      <c r="G138" t="inlineStr">
        <is>
          <t>NYKÖPING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46224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46224</v>
      </c>
      <c r="F140" t="inlineStr">
        <is>
          <t>SÖDERMANLANDS LÄN</t>
        </is>
      </c>
      <c r="G140" t="inlineStr">
        <is>
          <t>NYKÖPING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46224</v>
      </c>
      <c r="F141" t="inlineStr">
        <is>
          <t>SÖDERMANLANDS LÄN</t>
        </is>
      </c>
      <c r="G141" t="inlineStr">
        <is>
          <t>NYKÖPING</t>
        </is>
      </c>
      <c r="H141" t="inlineStr">
        <is>
          <t>Övriga Aktiebolag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46224</v>
      </c>
      <c r="F142" t="inlineStr">
        <is>
          <t>SÖDERMANLANDS LÄN</t>
        </is>
      </c>
      <c r="G142" t="inlineStr">
        <is>
          <t>NYKÖPING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46224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44416</v>
      </c>
      <c r="E144" s="1" t="n">
        <v>46224</v>
      </c>
      <c r="F144" t="inlineStr">
        <is>
          <t>SÖDERMANLANDS LÄN</t>
        </is>
      </c>
      <c r="G144" t="inlineStr">
        <is>
          <t>NYKÖPING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44873</v>
      </c>
      <c r="E145" s="1" t="n">
        <v>46224</v>
      </c>
      <c r="F145" t="inlineStr">
        <is>
          <t>SÖDERMANLANDS LÄN</t>
        </is>
      </c>
      <c r="G145" t="inlineStr">
        <is>
          <t>NYKÖPING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44623</v>
      </c>
      <c r="E146" s="1" t="n">
        <v>46224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46224</v>
      </c>
      <c r="F147" t="inlineStr">
        <is>
          <t>SÖDERMANLANDS LÄN</t>
        </is>
      </c>
      <c r="G147" t="inlineStr">
        <is>
          <t>NYKÖPING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44431</v>
      </c>
      <c r="E148" s="1" t="n">
        <v>46224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46224</v>
      </c>
      <c r="F149" t="inlineStr">
        <is>
          <t>SÖDERMANLANDS LÄN</t>
        </is>
      </c>
      <c r="G149" t="inlineStr">
        <is>
          <t>NYKÖPING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46224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44430</v>
      </c>
      <c r="E151" s="1" t="n">
        <v>46224</v>
      </c>
      <c r="F151" t="inlineStr">
        <is>
          <t>SÖDERMANLANDS LÄN</t>
        </is>
      </c>
      <c r="G151" t="inlineStr">
        <is>
          <t>NYKÖPING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46224</v>
      </c>
      <c r="F152" t="inlineStr">
        <is>
          <t>SÖDERMANLANDS LÄN</t>
        </is>
      </c>
      <c r="G152" t="inlineStr">
        <is>
          <t>NYKÖPING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44659</v>
      </c>
      <c r="E153" s="1" t="n">
        <v>46224</v>
      </c>
      <c r="F153" t="inlineStr">
        <is>
          <t>SÖDERMANLANDS LÄN</t>
        </is>
      </c>
      <c r="G153" t="inlineStr">
        <is>
          <t>NYKÖPING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46224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46224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46224</v>
      </c>
      <c r="F156" t="inlineStr">
        <is>
          <t>SÖDERMANLANDS LÄN</t>
        </is>
      </c>
      <c r="G156" t="inlineStr">
        <is>
          <t>NYKÖPING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46224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Kyrkan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46224</v>
      </c>
      <c r="F158" t="inlineStr">
        <is>
          <t>SÖDERMANLANDS LÄN</t>
        </is>
      </c>
      <c r="G158" t="inlineStr">
        <is>
          <t>NYKÖPING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46224</v>
      </c>
      <c r="F159" t="inlineStr">
        <is>
          <t>SÖDERMANLANDS LÄN</t>
        </is>
      </c>
      <c r="G159" t="inlineStr">
        <is>
          <t>NYKÖPING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46224</v>
      </c>
      <c r="F160" t="inlineStr">
        <is>
          <t>SÖDERMANLANDS LÄN</t>
        </is>
      </c>
      <c r="G160" t="inlineStr">
        <is>
          <t>NYKÖPING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44416</v>
      </c>
      <c r="E161" s="1" t="n">
        <v>46224</v>
      </c>
      <c r="F161" t="inlineStr">
        <is>
          <t>SÖDERMANLANDS LÄN</t>
        </is>
      </c>
      <c r="G161" t="inlineStr">
        <is>
          <t>NYKÖPING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46224</v>
      </c>
      <c r="F162" t="inlineStr">
        <is>
          <t>SÖDERMANLANDS LÄN</t>
        </is>
      </c>
      <c r="G162" t="inlineStr">
        <is>
          <t>NYKÖPING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46224</v>
      </c>
      <c r="F163" t="inlineStr">
        <is>
          <t>SÖDERMANLANDS LÄN</t>
        </is>
      </c>
      <c r="G163" t="inlineStr">
        <is>
          <t>NYKÖPING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46224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41723-2021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44425</v>
      </c>
      <c r="E165" s="1" t="n">
        <v>46224</v>
      </c>
      <c r="F165" t="inlineStr">
        <is>
          <t>SÖDERMANLANDS LÄN</t>
        </is>
      </c>
      <c r="G165" t="inlineStr">
        <is>
          <t>NYKÖPING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61248-2021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46224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63052-2021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46224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46224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46224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39542-2021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44416</v>
      </c>
      <c r="E170" s="1" t="n">
        <v>46224</v>
      </c>
      <c r="F170" t="inlineStr">
        <is>
          <t>SÖDERMANLANDS LÄN</t>
        </is>
      </c>
      <c r="G170" t="inlineStr">
        <is>
          <t>NYKÖPING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42417-2021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44427</v>
      </c>
      <c r="E171" s="1" t="n">
        <v>46224</v>
      </c>
      <c r="F171" t="inlineStr">
        <is>
          <t>SÖDERMANLANDS LÄN</t>
        </is>
      </c>
      <c r="G171" t="inlineStr">
        <is>
          <t>NYKÖPING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46224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46224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Holmen skog AB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46838-2021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44446</v>
      </c>
      <c r="E174" s="1" t="n">
        <v>46224</v>
      </c>
      <c r="F174" t="inlineStr">
        <is>
          <t>SÖDERMANLANDS LÄN</t>
        </is>
      </c>
      <c r="G174" t="inlineStr">
        <is>
          <t>NYKÖPING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44662</v>
      </c>
      <c r="E175" s="1" t="n">
        <v>46224</v>
      </c>
      <c r="F175" t="inlineStr">
        <is>
          <t>SÖDERMANLANDS LÄN</t>
        </is>
      </c>
      <c r="G175" t="inlineStr">
        <is>
          <t>NYKÖPING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46224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44887</v>
      </c>
      <c r="E177" s="1" t="n">
        <v>46224</v>
      </c>
      <c r="F177" t="inlineStr">
        <is>
          <t>SÖDERMANLANDS LÄN</t>
        </is>
      </c>
      <c r="G177" t="inlineStr">
        <is>
          <t>NYKÖPING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46224</v>
      </c>
      <c r="F178" t="inlineStr">
        <is>
          <t>SÖDERMANLANDS LÄN</t>
        </is>
      </c>
      <c r="G178" t="inlineStr">
        <is>
          <t>NYKÖPING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46224</v>
      </c>
      <c r="F179" t="inlineStr">
        <is>
          <t>SÖDERMANLANDS LÄN</t>
        </is>
      </c>
      <c r="G179" t="inlineStr">
        <is>
          <t>NYKÖPING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46224</v>
      </c>
      <c r="F180" t="inlineStr">
        <is>
          <t>SÖDERMANLANDS LÄN</t>
        </is>
      </c>
      <c r="G180" t="inlineStr">
        <is>
          <t>NYKÖPING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44783</v>
      </c>
      <c r="E181" s="1" t="n">
        <v>46224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46224</v>
      </c>
      <c r="F182" t="inlineStr">
        <is>
          <t>SÖDERMANLANDS LÄN</t>
        </is>
      </c>
      <c r="G182" t="inlineStr">
        <is>
          <t>NYKÖPING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46224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46224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40680-2021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44420</v>
      </c>
      <c r="E185" s="1" t="n">
        <v>46224</v>
      </c>
      <c r="F185" t="inlineStr">
        <is>
          <t>SÖDERMANLANDS LÄN</t>
        </is>
      </c>
      <c r="G185" t="inlineStr">
        <is>
          <t>NYKÖPING</t>
        </is>
      </c>
      <c r="I185" t="n">
        <v>11.1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46224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46224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46224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46224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46224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46224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46224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44536</v>
      </c>
      <c r="E193" s="1" t="n">
        <v>46224</v>
      </c>
      <c r="F193" t="inlineStr">
        <is>
          <t>SÖDERMANLANDS LÄN</t>
        </is>
      </c>
      <c r="G193" t="inlineStr">
        <is>
          <t>NYKÖPING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46224</v>
      </c>
      <c r="F194" t="inlineStr">
        <is>
          <t>SÖDERMANLANDS LÄN</t>
        </is>
      </c>
      <c r="G194" t="inlineStr">
        <is>
          <t>NYKÖPING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17541-2022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44679</v>
      </c>
      <c r="E195" s="1" t="n">
        <v>46224</v>
      </c>
      <c r="F195" t="inlineStr">
        <is>
          <t>SÖDERMANLANDS LÄN</t>
        </is>
      </c>
      <c r="G195" t="inlineStr">
        <is>
          <t>NYKÖPING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46224</v>
      </c>
      <c r="F196" t="inlineStr">
        <is>
          <t>SÖDERMANLANDS LÄN</t>
        </is>
      </c>
      <c r="G196" t="inlineStr">
        <is>
          <t>NYKÖPING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46224</v>
      </c>
      <c r="F197" t="inlineStr">
        <is>
          <t>SÖDERMANLANDS LÄN</t>
        </is>
      </c>
      <c r="G197" t="inlineStr">
        <is>
          <t>NYKÖPING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46224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46224</v>
      </c>
      <c r="F199" t="inlineStr">
        <is>
          <t>SÖDERMANLANDS LÄN</t>
        </is>
      </c>
      <c r="G199" t="inlineStr">
        <is>
          <t>NYKÖPING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46224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71175-2021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44539</v>
      </c>
      <c r="E201" s="1" t="n">
        <v>46224</v>
      </c>
      <c r="F201" t="inlineStr">
        <is>
          <t>SÖDERMANLANDS LÄN</t>
        </is>
      </c>
      <c r="G201" t="inlineStr">
        <is>
          <t>NYKÖPING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44658</v>
      </c>
      <c r="E202" s="1" t="n">
        <v>46224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46224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66860-2021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46224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46224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46224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69598-2021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44531</v>
      </c>
      <c r="E207" s="1" t="n">
        <v>46224</v>
      </c>
      <c r="F207" t="inlineStr">
        <is>
          <t>SÖDERMANLANDS LÄN</t>
        </is>
      </c>
      <c r="G207" t="inlineStr">
        <is>
          <t>NYKÖPING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46224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46224</v>
      </c>
      <c r="F209" t="inlineStr">
        <is>
          <t>SÖDERMANLANDS LÄN</t>
        </is>
      </c>
      <c r="G209" t="inlineStr">
        <is>
          <t>NYKÖPING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44425</v>
      </c>
      <c r="E210" s="1" t="n">
        <v>46224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46224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46224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46224</v>
      </c>
      <c r="F213" t="inlineStr">
        <is>
          <t>SÖDERMANLANDS LÄN</t>
        </is>
      </c>
      <c r="G213" t="inlineStr">
        <is>
          <t>NYKÖPING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46224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44813</v>
      </c>
      <c r="E215" s="1" t="n">
        <v>46224</v>
      </c>
      <c r="F215" t="inlineStr">
        <is>
          <t>SÖDERMANLANDS LÄN</t>
        </is>
      </c>
      <c r="G215" t="inlineStr">
        <is>
          <t>NYKÖPING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46224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41437-2021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46224</v>
      </c>
      <c r="F217" t="inlineStr">
        <is>
          <t>SÖDERMANLANDS LÄN</t>
        </is>
      </c>
      <c r="G217" t="inlineStr">
        <is>
          <t>NYKÖPING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46224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46224</v>
      </c>
      <c r="F219" t="inlineStr">
        <is>
          <t>SÖDERMANLANDS LÄN</t>
        </is>
      </c>
      <c r="G219" t="inlineStr">
        <is>
          <t>NYKÖPING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46224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46224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46224</v>
      </c>
      <c r="F222" t="inlineStr">
        <is>
          <t>SÖDERMANLANDS LÄN</t>
        </is>
      </c>
      <c r="G222" t="inlineStr">
        <is>
          <t>NYKÖPING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25130-2022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44729</v>
      </c>
      <c r="E223" s="1" t="n">
        <v>46224</v>
      </c>
      <c r="F223" t="inlineStr">
        <is>
          <t>SÖDERMANLANDS LÄN</t>
        </is>
      </c>
      <c r="G223" t="inlineStr">
        <is>
          <t>NYKÖPING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46224</v>
      </c>
      <c r="F224" t="inlineStr">
        <is>
          <t>SÖDERMANLANDS LÄN</t>
        </is>
      </c>
      <c r="G224" t="inlineStr">
        <is>
          <t>NYKÖPING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55272-2021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44475</v>
      </c>
      <c r="E225" s="1" t="n">
        <v>46224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44627</v>
      </c>
      <c r="E226" s="1" t="n">
        <v>46224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46224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46828-2021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46224</v>
      </c>
      <c r="F228" t="inlineStr">
        <is>
          <t>SÖDERMANLANDS LÄN</t>
        </is>
      </c>
      <c r="G228" t="inlineStr">
        <is>
          <t>NYKÖPING</t>
        </is>
      </c>
      <c r="I228" t="n">
        <v>30.2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46224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52055-2021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44462</v>
      </c>
      <c r="E230" s="1" t="n">
        <v>46224</v>
      </c>
      <c r="F230" t="inlineStr">
        <is>
          <t>SÖDERMANLANDS LÄN</t>
        </is>
      </c>
      <c r="G230" t="inlineStr">
        <is>
          <t>NYKÖPING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46224</v>
      </c>
      <c r="F231" t="inlineStr">
        <is>
          <t>SÖDERMANLANDS LÄN</t>
        </is>
      </c>
      <c r="G231" t="inlineStr">
        <is>
          <t>NYKÖPING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45443</v>
      </c>
      <c r="E232" s="1" t="n">
        <v>46224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44491</v>
      </c>
      <c r="E233" s="1" t="n">
        <v>46224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65109-2021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44515</v>
      </c>
      <c r="E234" s="1" t="n">
        <v>46224</v>
      </c>
      <c r="F234" t="inlineStr">
        <is>
          <t>SÖDERMANLANDS LÄN</t>
        </is>
      </c>
      <c r="G234" t="inlineStr">
        <is>
          <t>NYKÖPING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46224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46224</v>
      </c>
      <c r="F236" t="inlineStr">
        <is>
          <t>SÖDERMANLANDS LÄN</t>
        </is>
      </c>
      <c r="G236" t="inlineStr">
        <is>
          <t>NYKÖPING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46224</v>
      </c>
      <c r="F237" t="inlineStr">
        <is>
          <t>SÖDERMANLANDS LÄN</t>
        </is>
      </c>
      <c r="G237" t="inlineStr">
        <is>
          <t>NYKÖPING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46224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46224</v>
      </c>
      <c r="F239" t="inlineStr">
        <is>
          <t>SÖDERMANLANDS LÄN</t>
        </is>
      </c>
      <c r="G239" t="inlineStr">
        <is>
          <t>NYKÖPING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46224</v>
      </c>
      <c r="F240" t="inlineStr">
        <is>
          <t>SÖDERMANLANDS LÄN</t>
        </is>
      </c>
      <c r="G240" t="inlineStr">
        <is>
          <t>NYKÖPING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68500-2021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44529</v>
      </c>
      <c r="E241" s="1" t="n">
        <v>46224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44774</v>
      </c>
      <c r="E242" s="1" t="n">
        <v>46224</v>
      </c>
      <c r="F242" t="inlineStr">
        <is>
          <t>SÖDERMANLANDS LÄN</t>
        </is>
      </c>
      <c r="G242" t="inlineStr">
        <is>
          <t>NYKÖPING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45143</v>
      </c>
      <c r="E243" s="1" t="n">
        <v>46224</v>
      </c>
      <c r="F243" t="inlineStr">
        <is>
          <t>SÖDERMANLANDS LÄN</t>
        </is>
      </c>
      <c r="G243" t="inlineStr">
        <is>
          <t>NYKÖPING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46224</v>
      </c>
      <c r="F244" t="inlineStr">
        <is>
          <t>SÖDERMANLANDS LÄN</t>
        </is>
      </c>
      <c r="G244" t="inlineStr">
        <is>
          <t>NYKÖPING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46224</v>
      </c>
      <c r="F245" t="inlineStr">
        <is>
          <t>SÖDERMANLANDS LÄN</t>
        </is>
      </c>
      <c r="G245" t="inlineStr">
        <is>
          <t>NYKÖPING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44579</v>
      </c>
      <c r="E246" s="1" t="n">
        <v>46224</v>
      </c>
      <c r="F246" t="inlineStr">
        <is>
          <t>SÖDERMANLANDS LÄN</t>
        </is>
      </c>
      <c r="G246" t="inlineStr">
        <is>
          <t>NYKÖPING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45378</v>
      </c>
      <c r="E247" s="1" t="n">
        <v>46224</v>
      </c>
      <c r="F247" t="inlineStr">
        <is>
          <t>SÖDERMANLANDS LÄN</t>
        </is>
      </c>
      <c r="G247" t="inlineStr">
        <is>
          <t>NYKÖPING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44620</v>
      </c>
      <c r="E248" s="1" t="n">
        <v>46224</v>
      </c>
      <c r="F248" t="inlineStr">
        <is>
          <t>SÖDERMANLANDS LÄN</t>
        </is>
      </c>
      <c r="G248" t="inlineStr">
        <is>
          <t>NYKÖPING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46224</v>
      </c>
      <c r="F249" t="inlineStr">
        <is>
          <t>SÖDERMANLANDS LÄN</t>
        </is>
      </c>
      <c r="G249" t="inlineStr">
        <is>
          <t>NYKÖPING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44582</v>
      </c>
      <c r="E250" s="1" t="n">
        <v>46224</v>
      </c>
      <c r="F250" t="inlineStr">
        <is>
          <t>SÖDERMANLANDS LÄN</t>
        </is>
      </c>
      <c r="G250" t="inlineStr">
        <is>
          <t>NYKÖPING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45352</v>
      </c>
      <c r="E251" s="1" t="n">
        <v>46224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Kommuner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46224</v>
      </c>
      <c r="F252" t="inlineStr">
        <is>
          <t>SÖDERMANLANDS LÄN</t>
        </is>
      </c>
      <c r="G252" t="inlineStr">
        <is>
          <t>NYKÖPING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46224</v>
      </c>
      <c r="F253" t="inlineStr">
        <is>
          <t>SÖDERMANLANDS LÄN</t>
        </is>
      </c>
      <c r="G253" t="inlineStr">
        <is>
          <t>NYKÖPING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44454</v>
      </c>
      <c r="E254" s="1" t="n">
        <v>46224</v>
      </c>
      <c r="F254" t="inlineStr">
        <is>
          <t>SÖDERMANLANDS LÄN</t>
        </is>
      </c>
      <c r="G254" t="inlineStr">
        <is>
          <t>NYKÖPING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45370</v>
      </c>
      <c r="E255" s="1" t="n">
        <v>46224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Kommuner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46224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46224</v>
      </c>
      <c r="F257" t="inlineStr">
        <is>
          <t>SÖDERMANLANDS LÄN</t>
        </is>
      </c>
      <c r="G257" t="inlineStr">
        <is>
          <t>NYKÖPING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45419</v>
      </c>
      <c r="E258" s="1" t="n">
        <v>46224</v>
      </c>
      <c r="F258" t="inlineStr">
        <is>
          <t>SÖDERMANLANDS LÄN</t>
        </is>
      </c>
      <c r="G258" t="inlineStr">
        <is>
          <t>NYKÖPING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46224</v>
      </c>
      <c r="F259" t="inlineStr">
        <is>
          <t>SÖDERMANLANDS LÄN</t>
        </is>
      </c>
      <c r="G259" t="inlineStr">
        <is>
          <t>NYKÖPING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46224</v>
      </c>
      <c r="F260" t="inlineStr">
        <is>
          <t>SÖDERMANLANDS LÄN</t>
        </is>
      </c>
      <c r="G260" t="inlineStr">
        <is>
          <t>NYKÖPING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46224</v>
      </c>
      <c r="F261" t="inlineStr">
        <is>
          <t>SÖDERMANLANDS LÄN</t>
        </is>
      </c>
      <c r="G261" t="inlineStr">
        <is>
          <t>NYKÖPING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46224</v>
      </c>
      <c r="F262" t="inlineStr">
        <is>
          <t>SÖDERMANLANDS LÄN</t>
        </is>
      </c>
      <c r="G262" t="inlineStr">
        <is>
          <t>NYKÖPING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46224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45424</v>
      </c>
      <c r="E264" s="1" t="n">
        <v>46224</v>
      </c>
      <c r="F264" t="inlineStr">
        <is>
          <t>SÖDERMANLANDS LÄN</t>
        </is>
      </c>
      <c r="G264" t="inlineStr">
        <is>
          <t>NYKÖPING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46224</v>
      </c>
      <c r="F265" t="inlineStr">
        <is>
          <t>SÖDERMANLANDS LÄN</t>
        </is>
      </c>
      <c r="G265" t="inlineStr">
        <is>
          <t>NYKÖPING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45443</v>
      </c>
      <c r="E266" s="1" t="n">
        <v>46224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46224</v>
      </c>
      <c r="F267" t="inlineStr">
        <is>
          <t>SÖDERMANLANDS LÄN</t>
        </is>
      </c>
      <c r="G267" t="inlineStr">
        <is>
          <t>NYKÖPING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45424</v>
      </c>
      <c r="E268" s="1" t="n">
        <v>46224</v>
      </c>
      <c r="F268" t="inlineStr">
        <is>
          <t>SÖDERMANLANDS LÄN</t>
        </is>
      </c>
      <c r="G268" t="inlineStr">
        <is>
          <t>NYKÖPING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46224</v>
      </c>
      <c r="F269" t="inlineStr">
        <is>
          <t>SÖDERMANLANDS LÄN</t>
        </is>
      </c>
      <c r="G269" t="inlineStr">
        <is>
          <t>NYKÖPING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46224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46224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45148</v>
      </c>
      <c r="E272" s="1" t="n">
        <v>46224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Kommuner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44990</v>
      </c>
      <c r="E273" s="1" t="n">
        <v>46224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Allmännings- och besparingsskogar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46224</v>
      </c>
      <c r="F274" t="inlineStr">
        <is>
          <t>SÖDERMANLANDS LÄN</t>
        </is>
      </c>
      <c r="G274" t="inlineStr">
        <is>
          <t>NYKÖPING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44968</v>
      </c>
      <c r="E275" s="1" t="n">
        <v>46224</v>
      </c>
      <c r="F275" t="inlineStr">
        <is>
          <t>SÖDERMANLANDS LÄN</t>
        </is>
      </c>
      <c r="G275" t="inlineStr">
        <is>
          <t>NYKÖPING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42977-2021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44430</v>
      </c>
      <c r="E276" s="1" t="n">
        <v>46224</v>
      </c>
      <c r="F276" t="inlineStr">
        <is>
          <t>SÖDERMANLANDS LÄN</t>
        </is>
      </c>
      <c r="G276" t="inlineStr">
        <is>
          <t>NYKÖPING</t>
        </is>
      </c>
      <c r="I276" t="n">
        <v>25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62323-2025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46224</v>
      </c>
      <c r="F277" t="inlineStr">
        <is>
          <t>SÖDERMANLANDS LÄN</t>
        </is>
      </c>
      <c r="G277" t="inlineStr">
        <is>
          <t>NYKÖPING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46224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46224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46224</v>
      </c>
      <c r="F280" t="inlineStr">
        <is>
          <t>SÖDERMANLANDS LÄN</t>
        </is>
      </c>
      <c r="G280" t="inlineStr">
        <is>
          <t>NYKÖPING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46224</v>
      </c>
      <c r="F281" t="inlineStr">
        <is>
          <t>SÖDERMANLANDS LÄN</t>
        </is>
      </c>
      <c r="G281" t="inlineStr">
        <is>
          <t>NYKÖPING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45856-2021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44433</v>
      </c>
      <c r="E282" s="1" t="n">
        <v>46224</v>
      </c>
      <c r="F282" t="inlineStr">
        <is>
          <t>SÖDERMANLANDS LÄN</t>
        </is>
      </c>
      <c r="G282" t="inlineStr">
        <is>
          <t>NYKÖPING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45393</v>
      </c>
      <c r="E283" s="1" t="n">
        <v>46224</v>
      </c>
      <c r="F283" t="inlineStr">
        <is>
          <t>SÖDERMANLANDS LÄN</t>
        </is>
      </c>
      <c r="G283" t="inlineStr">
        <is>
          <t>NYKÖPING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46224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46224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Övriga Aktiebolag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62492-2025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46007</v>
      </c>
      <c r="E286" s="1" t="n">
        <v>46224</v>
      </c>
      <c r="F286" t="inlineStr">
        <is>
          <t>SÖDERMANLANDS LÄN</t>
        </is>
      </c>
      <c r="G286" t="inlineStr">
        <is>
          <t>NYKÖPING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46224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46224</v>
      </c>
      <c r="F288" t="inlineStr">
        <is>
          <t>SÖDERMANLANDS LÄN</t>
        </is>
      </c>
      <c r="G288" t="inlineStr">
        <is>
          <t>NYKÖPING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46006</v>
      </c>
      <c r="E289" s="1" t="n">
        <v>46224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68401-2021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44529</v>
      </c>
      <c r="E290" s="1" t="n">
        <v>46224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Övriga Aktiebolag</t>
        </is>
      </c>
      <c r="I290" t="n">
        <v>16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46224</v>
      </c>
      <c r="F291" t="inlineStr">
        <is>
          <t>SÖDERMANLANDS LÄN</t>
        </is>
      </c>
      <c r="G291" t="inlineStr">
        <is>
          <t>NYKÖPING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46224</v>
      </c>
      <c r="F292" t="inlineStr">
        <is>
          <t>SÖDERMANLANDS LÄN</t>
        </is>
      </c>
      <c r="G292" t="inlineStr">
        <is>
          <t>NYKÖPING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46224</v>
      </c>
      <c r="F293" t="inlineStr">
        <is>
          <t>SÖDERMANLANDS LÄN</t>
        </is>
      </c>
      <c r="G293" t="inlineStr">
        <is>
          <t>NYKÖPING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67736-2021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46224</v>
      </c>
      <c r="F294" t="inlineStr">
        <is>
          <t>SÖDERMANLANDS LÄN</t>
        </is>
      </c>
      <c r="G294" t="inlineStr">
        <is>
          <t>NYKÖPING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46224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Kommuner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72117-2021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44543</v>
      </c>
      <c r="E296" s="1" t="n">
        <v>46224</v>
      </c>
      <c r="F296" t="inlineStr">
        <is>
          <t>SÖDERMANLANDS LÄN</t>
        </is>
      </c>
      <c r="G296" t="inlineStr">
        <is>
          <t>NYKÖPING</t>
        </is>
      </c>
      <c r="I296" t="n">
        <v>14.9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68401-2021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46224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Övriga Aktiebolag</t>
        </is>
      </c>
      <c r="I297" t="n">
        <v>16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37361-2024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45540</v>
      </c>
      <c r="E298" s="1" t="n">
        <v>46224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44825</v>
      </c>
      <c r="E299" s="1" t="n">
        <v>46224</v>
      </c>
      <c r="F299" t="inlineStr">
        <is>
          <t>SÖDERMANLANDS LÄN</t>
        </is>
      </c>
      <c r="G299" t="inlineStr">
        <is>
          <t>NYKÖPING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6519-2023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44965</v>
      </c>
      <c r="E300" s="1" t="n">
        <v>46224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Kyrkan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46224</v>
      </c>
      <c r="F301" t="inlineStr">
        <is>
          <t>SÖDERMANLANDS LÄN</t>
        </is>
      </c>
      <c r="G301" t="inlineStr">
        <is>
          <t>NYKÖPING</t>
        </is>
      </c>
      <c r="I301" t="n">
        <v>15.2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46224</v>
      </c>
      <c r="F302" t="inlineStr">
        <is>
          <t>SÖDERMANLANDS LÄN</t>
        </is>
      </c>
      <c r="G302" t="inlineStr">
        <is>
          <t>NYKÖPING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63293-2025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46224</v>
      </c>
      <c r="F303" t="inlineStr">
        <is>
          <t>SÖDERMANLANDS LÄN</t>
        </is>
      </c>
      <c r="G303" t="inlineStr">
        <is>
          <t>NYKÖPING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46224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Kommuner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45854</v>
      </c>
      <c r="E305" s="1" t="n">
        <v>46224</v>
      </c>
      <c r="F305" t="inlineStr">
        <is>
          <t>SÖDERMANLANDS LÄN</t>
        </is>
      </c>
      <c r="G305" t="inlineStr">
        <is>
          <t>NYKÖPING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38149-2024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45545</v>
      </c>
      <c r="E306" s="1" t="n">
        <v>46224</v>
      </c>
      <c r="F306" t="inlineStr">
        <is>
          <t>SÖDERMANLANDS LÄN</t>
        </is>
      </c>
      <c r="G306" t="inlineStr">
        <is>
          <t>NYKÖPING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46224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45161</v>
      </c>
      <c r="E308" s="1" t="n">
        <v>46224</v>
      </c>
      <c r="F308" t="inlineStr">
        <is>
          <t>SÖDERMANLANDS LÄN</t>
        </is>
      </c>
      <c r="G308" t="inlineStr">
        <is>
          <t>NYKÖPING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48709-2022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44859</v>
      </c>
      <c r="E309" s="1" t="n">
        <v>46224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53413-2022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46224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Övriga Aktiebolag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46224</v>
      </c>
      <c r="F311" t="inlineStr">
        <is>
          <t>SÖDERMANLANDS LÄN</t>
        </is>
      </c>
      <c r="G311" t="inlineStr">
        <is>
          <t>NYKÖPING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46224</v>
      </c>
      <c r="F312" t="inlineStr">
        <is>
          <t>SÖDERMANLANDS LÄN</t>
        </is>
      </c>
      <c r="G312" t="inlineStr">
        <is>
          <t>NYKÖPING</t>
        </is>
      </c>
      <c r="I312" t="n">
        <v>21.2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46224</v>
      </c>
      <c r="F313" t="inlineStr">
        <is>
          <t>SÖDERMANLANDS LÄN</t>
        </is>
      </c>
      <c r="G313" t="inlineStr">
        <is>
          <t>NYKÖPING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44623</v>
      </c>
      <c r="E314" s="1" t="n">
        <v>46224</v>
      </c>
      <c r="F314" t="inlineStr">
        <is>
          <t>SÖDERMANLANDS LÄN</t>
        </is>
      </c>
      <c r="G314" t="inlineStr">
        <is>
          <t>NYKÖPING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45672</v>
      </c>
      <c r="E315" s="1" t="n">
        <v>46224</v>
      </c>
      <c r="F315" t="inlineStr">
        <is>
          <t>SÖDERMANLANDS LÄN</t>
        </is>
      </c>
      <c r="G315" t="inlineStr">
        <is>
          <t>NYKÖPING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46224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13863-2022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44649</v>
      </c>
      <c r="E317" s="1" t="n">
        <v>46224</v>
      </c>
      <c r="F317" t="inlineStr">
        <is>
          <t>SÖDERMANLANDS LÄN</t>
        </is>
      </c>
      <c r="G317" t="inlineStr">
        <is>
          <t>NYKÖPING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44744</v>
      </c>
      <c r="E318" s="1" t="n">
        <v>46224</v>
      </c>
      <c r="F318" t="inlineStr">
        <is>
          <t>SÖDERMANLANDS LÄN</t>
        </is>
      </c>
      <c r="G318" t="inlineStr">
        <is>
          <t>NYKÖPING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45315</v>
      </c>
      <c r="E319" s="1" t="n">
        <v>46224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Kyrkan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46224</v>
      </c>
      <c r="F320" t="inlineStr">
        <is>
          <t>SÖDERMANLANDS LÄN</t>
        </is>
      </c>
      <c r="G320" t="inlineStr">
        <is>
          <t>NYKÖPING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51244-2024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46224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46224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45733</v>
      </c>
      <c r="E323" s="1" t="n">
        <v>46224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45145</v>
      </c>
      <c r="E324" s="1" t="n">
        <v>46224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46224</v>
      </c>
      <c r="F325" t="inlineStr">
        <is>
          <t>SÖDERMANLANDS LÄN</t>
        </is>
      </c>
      <c r="G325" t="inlineStr">
        <is>
          <t>NYKÖPING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46224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45160</v>
      </c>
      <c r="E327" s="1" t="n">
        <v>46224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27874-2025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46224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46224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45817</v>
      </c>
      <c r="E330" s="1" t="n">
        <v>46224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46224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16.5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53335-2023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45229</v>
      </c>
      <c r="E332" s="1" t="n">
        <v>46224</v>
      </c>
      <c r="F332" t="inlineStr">
        <is>
          <t>SÖDERMANLANDS LÄN</t>
        </is>
      </c>
      <c r="G332" t="inlineStr">
        <is>
          <t>NYKÖPING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46224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46224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Sveaskog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46224</v>
      </c>
      <c r="F335" t="inlineStr">
        <is>
          <t>SÖDERMANLANDS LÄN</t>
        </is>
      </c>
      <c r="G335" t="inlineStr">
        <is>
          <t>NYKÖPING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46224</v>
      </c>
      <c r="F336" t="inlineStr">
        <is>
          <t>SÖDERMANLANDS LÄN</t>
        </is>
      </c>
      <c r="G336" t="inlineStr">
        <is>
          <t>NYKÖPING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46224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46224</v>
      </c>
      <c r="F338" t="inlineStr">
        <is>
          <t>SÖDERMANLANDS LÄN</t>
        </is>
      </c>
      <c r="G338" t="inlineStr">
        <is>
          <t>NYKÖPING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46224</v>
      </c>
      <c r="F339" t="inlineStr">
        <is>
          <t>SÖDERMANLANDS LÄN</t>
        </is>
      </c>
      <c r="G339" t="inlineStr">
        <is>
          <t>NYKÖPING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46224</v>
      </c>
      <c r="F340" t="inlineStr">
        <is>
          <t>SÖDERMANLANDS LÄN</t>
        </is>
      </c>
      <c r="G340" t="inlineStr">
        <is>
          <t>NYKÖPING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46224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44896</v>
      </c>
      <c r="E342" s="1" t="n">
        <v>46224</v>
      </c>
      <c r="F342" t="inlineStr">
        <is>
          <t>SÖDERMANLANDS LÄN</t>
        </is>
      </c>
      <c r="G342" t="inlineStr">
        <is>
          <t>NYKÖPING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46224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31034-2025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45831</v>
      </c>
      <c r="E344" s="1" t="n">
        <v>46224</v>
      </c>
      <c r="F344" t="inlineStr">
        <is>
          <t>SÖDERMANLANDS LÄN</t>
        </is>
      </c>
      <c r="G344" t="inlineStr">
        <is>
          <t>NYKÖPING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46224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45161</v>
      </c>
      <c r="E346" s="1" t="n">
        <v>46224</v>
      </c>
      <c r="F346" t="inlineStr">
        <is>
          <t>SÖDERMANLANDS LÄN</t>
        </is>
      </c>
      <c r="G346" t="inlineStr">
        <is>
          <t>NYKÖPING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41646-2021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44425</v>
      </c>
      <c r="E347" s="1" t="n">
        <v>46224</v>
      </c>
      <c r="F347" t="inlineStr">
        <is>
          <t>SÖDERMANLANDS LÄN</t>
        </is>
      </c>
      <c r="G347" t="inlineStr">
        <is>
          <t>NYKÖPING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46224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44830</v>
      </c>
      <c r="E349" s="1" t="n">
        <v>46224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46224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46224</v>
      </c>
      <c r="F351" t="inlineStr">
        <is>
          <t>SÖDERMANLANDS LÄN</t>
        </is>
      </c>
      <c r="G351" t="inlineStr">
        <is>
          <t>NYKÖPING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45216</v>
      </c>
      <c r="E352" s="1" t="n">
        <v>46224</v>
      </c>
      <c r="F352" t="inlineStr">
        <is>
          <t>SÖDERMANLANDS LÄN</t>
        </is>
      </c>
      <c r="G352" t="inlineStr">
        <is>
          <t>NYKÖPING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31922-2025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45834</v>
      </c>
      <c r="E353" s="1" t="n">
        <v>46224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46224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46224</v>
      </c>
      <c r="F355" t="inlineStr">
        <is>
          <t>SÖDERMANLANDS LÄN</t>
        </is>
      </c>
      <c r="G355" t="inlineStr">
        <is>
          <t>NYKÖPING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44976</v>
      </c>
      <c r="E356" s="1" t="n">
        <v>46224</v>
      </c>
      <c r="F356" t="inlineStr">
        <is>
          <t>SÖDERMANLANDS LÄN</t>
        </is>
      </c>
      <c r="G356" t="inlineStr">
        <is>
          <t>NYKÖPING</t>
        </is>
      </c>
      <c r="I356" t="n">
        <v>11.1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46224</v>
      </c>
      <c r="F357" t="inlineStr">
        <is>
          <t>SÖDERMANLANDS LÄN</t>
        </is>
      </c>
      <c r="G357" t="inlineStr">
        <is>
          <t>NYKÖPING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31923-2025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45834</v>
      </c>
      <c r="E358" s="1" t="n">
        <v>46224</v>
      </c>
      <c r="F358" t="inlineStr">
        <is>
          <t>SÖDERMANLANDS LÄN</t>
        </is>
      </c>
      <c r="G358" t="inlineStr">
        <is>
          <t>NYKÖPING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31929-2025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46224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46224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Kommuner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18604-2023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45043</v>
      </c>
      <c r="E361" s="1" t="n">
        <v>46224</v>
      </c>
      <c r="F361" t="inlineStr">
        <is>
          <t>SÖDERMANLANDS LÄN</t>
        </is>
      </c>
      <c r="G361" t="inlineStr">
        <is>
          <t>NYKÖPING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46224</v>
      </c>
      <c r="F362" t="inlineStr">
        <is>
          <t>SÖDERMANLANDS LÄN</t>
        </is>
      </c>
      <c r="G362" t="inlineStr">
        <is>
          <t>NYKÖPING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46224</v>
      </c>
      <c r="F363" t="inlineStr">
        <is>
          <t>SÖDERMANLANDS LÄN</t>
        </is>
      </c>
      <c r="G363" t="inlineStr">
        <is>
          <t>NYKÖPING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46027</v>
      </c>
      <c r="E364" s="1" t="n">
        <v>46224</v>
      </c>
      <c r="F364" t="inlineStr">
        <is>
          <t>SÖDERMANLANDS LÄN</t>
        </is>
      </c>
      <c r="G364" t="inlineStr">
        <is>
          <t>NYKÖPING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45359</v>
      </c>
      <c r="E365" s="1" t="n">
        <v>46224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46224</v>
      </c>
      <c r="F366" t="inlineStr">
        <is>
          <t>SÖDERMANLANDS LÄN</t>
        </is>
      </c>
      <c r="G366" t="inlineStr">
        <is>
          <t>NYKÖPING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46224</v>
      </c>
      <c r="F367" t="inlineStr">
        <is>
          <t>SÖDERMANLANDS LÄN</t>
        </is>
      </c>
      <c r="G367" t="inlineStr">
        <is>
          <t>NYKÖPING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45842</v>
      </c>
      <c r="E368" s="1" t="n">
        <v>46224</v>
      </c>
      <c r="F368" t="inlineStr">
        <is>
          <t>SÖDERMANLANDS LÄN</t>
        </is>
      </c>
      <c r="G368" t="inlineStr">
        <is>
          <t>NYKÖPING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45844</v>
      </c>
      <c r="E369" s="1" t="n">
        <v>46224</v>
      </c>
      <c r="F369" t="inlineStr">
        <is>
          <t>SÖDERMANLANDS LÄN</t>
        </is>
      </c>
      <c r="G369" t="inlineStr">
        <is>
          <t>NYKÖPING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45258</v>
      </c>
      <c r="E370" s="1" t="n">
        <v>46224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46224</v>
      </c>
      <c r="F371" t="inlineStr">
        <is>
          <t>SÖDERMANLANDS LÄN</t>
        </is>
      </c>
      <c r="G371" t="inlineStr">
        <is>
          <t>NYKÖPING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46224</v>
      </c>
      <c r="F372" t="inlineStr">
        <is>
          <t>SÖDERMANLANDS LÄN</t>
        </is>
      </c>
      <c r="G372" t="inlineStr">
        <is>
          <t>NYKÖPING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46224</v>
      </c>
      <c r="F373" t="inlineStr">
        <is>
          <t>SÖDERMANLANDS LÄN</t>
        </is>
      </c>
      <c r="G373" t="inlineStr">
        <is>
          <t>NYKÖPING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46224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64159-2021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44510</v>
      </c>
      <c r="E375" s="1" t="n">
        <v>46224</v>
      </c>
      <c r="F375" t="inlineStr">
        <is>
          <t>SÖDERMANLANDS LÄN</t>
        </is>
      </c>
      <c r="G375" t="inlineStr">
        <is>
          <t>NYKÖPING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46224</v>
      </c>
      <c r="F376" t="inlineStr">
        <is>
          <t>SÖDERMANLANDS LÄN</t>
        </is>
      </c>
      <c r="G376" t="inlineStr">
        <is>
          <t>NYKÖPING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46224</v>
      </c>
      <c r="F377" t="inlineStr">
        <is>
          <t>SÖDERMANLANDS LÄN</t>
        </is>
      </c>
      <c r="G377" t="inlineStr">
        <is>
          <t>NYKÖPING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38317-2022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46224</v>
      </c>
      <c r="F378" t="inlineStr">
        <is>
          <t>SÖDERMANLANDS LÄN</t>
        </is>
      </c>
      <c r="G378" t="inlineStr">
        <is>
          <t>NYKÖPING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46224</v>
      </c>
      <c r="F379" t="inlineStr">
        <is>
          <t>SÖDERMANLANDS LÄN</t>
        </is>
      </c>
      <c r="G379" t="inlineStr">
        <is>
          <t>NYKÖPING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46224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46224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Kyrkan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45008</v>
      </c>
      <c r="E382" s="1" t="n">
        <v>46224</v>
      </c>
      <c r="F382" t="inlineStr">
        <is>
          <t>SÖDERMANLANDS LÄN</t>
        </is>
      </c>
      <c r="G382" t="inlineStr">
        <is>
          <t>NYKÖPING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46224</v>
      </c>
      <c r="F383" t="inlineStr">
        <is>
          <t>SÖDERMANLANDS LÄN</t>
        </is>
      </c>
      <c r="G383" t="inlineStr">
        <is>
          <t>NYKÖPING</t>
        </is>
      </c>
      <c r="I383" t="n">
        <v>10.8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45900</v>
      </c>
      <c r="E384" s="1" t="n">
        <v>46224</v>
      </c>
      <c r="F384" t="inlineStr">
        <is>
          <t>SÖDERMANLANDS LÄN</t>
        </is>
      </c>
      <c r="G384" t="inlineStr">
        <is>
          <t>NYKÖPING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45705</v>
      </c>
      <c r="E385" s="1" t="n">
        <v>46224</v>
      </c>
      <c r="F385" t="inlineStr">
        <is>
          <t>SÖDERMANLANDS LÄN</t>
        </is>
      </c>
      <c r="G385" t="inlineStr">
        <is>
          <t>NYKÖPING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46224</v>
      </c>
      <c r="F386" t="inlineStr">
        <is>
          <t>SÖDERMANLANDS LÄN</t>
        </is>
      </c>
      <c r="G386" t="inlineStr">
        <is>
          <t>NYKÖPING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45082</v>
      </c>
      <c r="E387" s="1" t="n">
        <v>46224</v>
      </c>
      <c r="F387" t="inlineStr">
        <is>
          <t>SÖDERMANLANDS LÄN</t>
        </is>
      </c>
      <c r="G387" t="inlineStr">
        <is>
          <t>NYKÖPING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45860</v>
      </c>
      <c r="E388" s="1" t="n">
        <v>46224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46224</v>
      </c>
      <c r="F389" t="inlineStr">
        <is>
          <t>SÖDERMANLANDS LÄN</t>
        </is>
      </c>
      <c r="G389" t="inlineStr">
        <is>
          <t>NYKÖPING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44944</v>
      </c>
      <c r="E390" s="1" t="n">
        <v>46224</v>
      </c>
      <c r="F390" t="inlineStr">
        <is>
          <t>SÖDERMANLANDS LÄN</t>
        </is>
      </c>
      <c r="G390" t="inlineStr">
        <is>
          <t>NYKÖPING</t>
        </is>
      </c>
      <c r="I390" t="n">
        <v>14.9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46224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44810</v>
      </c>
      <c r="E392" s="1" t="n">
        <v>46224</v>
      </c>
      <c r="F392" t="inlineStr">
        <is>
          <t>SÖDERMANLANDS LÄN</t>
        </is>
      </c>
      <c r="G392" t="inlineStr">
        <is>
          <t>NYKÖPING</t>
        </is>
      </c>
      <c r="I392" t="n">
        <v>13.5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52572-2025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46224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46224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45798</v>
      </c>
      <c r="E395" s="1" t="n">
        <v>46224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9842-2022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44620</v>
      </c>
      <c r="E396" s="1" t="n">
        <v>46224</v>
      </c>
      <c r="F396" t="inlineStr">
        <is>
          <t>SÖDERMANLANDS LÄN</t>
        </is>
      </c>
      <c r="G396" t="inlineStr">
        <is>
          <t>NYKÖPING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46224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Kyrkan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45730</v>
      </c>
      <c r="E398" s="1" t="n">
        <v>46224</v>
      </c>
      <c r="F398" t="inlineStr">
        <is>
          <t>SÖDERMANLANDS LÄN</t>
        </is>
      </c>
      <c r="G398" t="inlineStr">
        <is>
          <t>NYKÖPING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37907-2022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44811</v>
      </c>
      <c r="E399" s="1" t="n">
        <v>46224</v>
      </c>
      <c r="F399" t="inlineStr">
        <is>
          <t>SÖDERMANLANDS LÄN</t>
        </is>
      </c>
      <c r="G399" t="inlineStr">
        <is>
          <t>NYKÖPING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37911-2022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46224</v>
      </c>
      <c r="F400" t="inlineStr">
        <is>
          <t>SÖDERMANLANDS LÄN</t>
        </is>
      </c>
      <c r="G400" t="inlineStr">
        <is>
          <t>NYKÖPING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31392-2022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44774</v>
      </c>
      <c r="E401" s="1" t="n">
        <v>46224</v>
      </c>
      <c r="F401" t="inlineStr">
        <is>
          <t>SÖDERMANLANDS LÄN</t>
        </is>
      </c>
      <c r="G401" t="inlineStr">
        <is>
          <t>NYKÖPING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44817</v>
      </c>
      <c r="E402" s="1" t="n">
        <v>46224</v>
      </c>
      <c r="F402" t="inlineStr">
        <is>
          <t>SÖDERMANLANDS LÄN</t>
        </is>
      </c>
      <c r="G402" t="inlineStr">
        <is>
          <t>NYKÖPING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44830</v>
      </c>
      <c r="E403" s="1" t="n">
        <v>46224</v>
      </c>
      <c r="F403" t="inlineStr">
        <is>
          <t>SÖDERMANLANDS LÄN</t>
        </is>
      </c>
      <c r="G403" t="inlineStr">
        <is>
          <t>NYKÖPING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46224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6392-2023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44965</v>
      </c>
      <c r="E405" s="1" t="n">
        <v>46224</v>
      </c>
      <c r="F405" t="inlineStr">
        <is>
          <t>SÖDERMANLANDS LÄN</t>
        </is>
      </c>
      <c r="G405" t="inlineStr">
        <is>
          <t>NYKÖPING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55311-2025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45970</v>
      </c>
      <c r="E406" s="1" t="n">
        <v>46224</v>
      </c>
      <c r="F406" t="inlineStr">
        <is>
          <t>SÖDERMANLANDS LÄN</t>
        </is>
      </c>
      <c r="G406" t="inlineStr">
        <is>
          <t>NYKÖPING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46224</v>
      </c>
      <c r="F407" t="inlineStr">
        <is>
          <t>SÖDERMANLANDS LÄN</t>
        </is>
      </c>
      <c r="G407" t="inlineStr">
        <is>
          <t>NYKÖPING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46224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46036</v>
      </c>
      <c r="E409" s="1" t="n">
        <v>46224</v>
      </c>
      <c r="F409" t="inlineStr">
        <is>
          <t>SÖDERMANLANDS LÄN</t>
        </is>
      </c>
      <c r="G409" t="inlineStr">
        <is>
          <t>NYKÖPING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46224</v>
      </c>
      <c r="F410" t="inlineStr">
        <is>
          <t>SÖDERMANLANDS LÄN</t>
        </is>
      </c>
      <c r="G410" t="inlineStr">
        <is>
          <t>NYKÖPING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45729</v>
      </c>
      <c r="E411" s="1" t="n">
        <v>46224</v>
      </c>
      <c r="F411" t="inlineStr">
        <is>
          <t>SÖDERMANLANDS LÄN</t>
        </is>
      </c>
      <c r="G411" t="inlineStr">
        <is>
          <t>NYKÖPING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45729</v>
      </c>
      <c r="E412" s="1" t="n">
        <v>46224</v>
      </c>
      <c r="F412" t="inlineStr">
        <is>
          <t>SÖDERMANLANDS LÄN</t>
        </is>
      </c>
      <c r="G412" t="inlineStr">
        <is>
          <t>NYKÖPING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46224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46224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44890</v>
      </c>
      <c r="E415" s="1" t="n">
        <v>46224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Övriga Aktiebolag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46224</v>
      </c>
      <c r="F416" t="inlineStr">
        <is>
          <t>SÖDERMANLANDS LÄN</t>
        </is>
      </c>
      <c r="G416" t="inlineStr">
        <is>
          <t>NYKÖPING</t>
        </is>
      </c>
      <c r="I416" t="n">
        <v>11.7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46224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44690</v>
      </c>
      <c r="E418" s="1" t="n">
        <v>46224</v>
      </c>
      <c r="F418" t="inlineStr">
        <is>
          <t>SÖDERMANLANDS LÄN</t>
        </is>
      </c>
      <c r="G418" t="inlineStr">
        <is>
          <t>NYKÖPING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46224</v>
      </c>
      <c r="F419" t="inlineStr">
        <is>
          <t>SÖDERMANLANDS LÄN</t>
        </is>
      </c>
      <c r="G419" t="inlineStr">
        <is>
          <t>NYKÖPING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7303-2025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45702</v>
      </c>
      <c r="E420" s="1" t="n">
        <v>46224</v>
      </c>
      <c r="F420" t="inlineStr">
        <is>
          <t>SÖDERMANLANDS LÄN</t>
        </is>
      </c>
      <c r="G420" t="inlineStr">
        <is>
          <t>NYKÖPING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44838</v>
      </c>
      <c r="E421" s="1" t="n">
        <v>46224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44820-2022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44839</v>
      </c>
      <c r="E422" s="1" t="n">
        <v>46224</v>
      </c>
      <c r="F422" t="inlineStr">
        <is>
          <t>SÖDERMANLANDS LÄN</t>
        </is>
      </c>
      <c r="G422" t="inlineStr">
        <is>
          <t>NYKÖPING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44908-2022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44840</v>
      </c>
      <c r="E423" s="1" t="n">
        <v>46224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46224</v>
      </c>
      <c r="F424" t="inlineStr">
        <is>
          <t>SÖDERMANLANDS LÄN</t>
        </is>
      </c>
      <c r="G424" t="inlineStr">
        <is>
          <t>NYKÖPING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46224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44965</v>
      </c>
      <c r="E426" s="1" t="n">
        <v>46224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Kyrkan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45365</v>
      </c>
      <c r="E427" s="1" t="n">
        <v>46224</v>
      </c>
      <c r="F427" t="inlineStr">
        <is>
          <t>SÖDERMANLANDS LÄN</t>
        </is>
      </c>
      <c r="G427" t="inlineStr">
        <is>
          <t>NYKÖPING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46224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6976-2023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44967</v>
      </c>
      <c r="E429" s="1" t="n">
        <v>46224</v>
      </c>
      <c r="F429" t="inlineStr">
        <is>
          <t>SÖDERMANLANDS LÄN</t>
        </is>
      </c>
      <c r="G429" t="inlineStr">
        <is>
          <t>NYKÖPING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46224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46224</v>
      </c>
      <c r="F431" t="inlineStr">
        <is>
          <t>SÖDERMANLANDS LÄN</t>
        </is>
      </c>
      <c r="G431" t="inlineStr">
        <is>
          <t>NYKÖPING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46224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50158-2022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46224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46224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46224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39429-2021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44414</v>
      </c>
      <c r="E436" s="1" t="n">
        <v>46224</v>
      </c>
      <c r="F436" t="inlineStr">
        <is>
          <t>SÖDERMANLANDS LÄN</t>
        </is>
      </c>
      <c r="G436" t="inlineStr">
        <is>
          <t>NYKÖPING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46224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46224</v>
      </c>
      <c r="F438" t="inlineStr">
        <is>
          <t>SÖDERMANLANDS LÄN</t>
        </is>
      </c>
      <c r="G438" t="inlineStr">
        <is>
          <t>NYKÖPING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44960</v>
      </c>
      <c r="E439" s="1" t="n">
        <v>46224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46224</v>
      </c>
      <c r="F440" t="inlineStr">
        <is>
          <t>SÖDERMANLANDS LÄN</t>
        </is>
      </c>
      <c r="G440" t="inlineStr">
        <is>
          <t>NYKÖPING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46224</v>
      </c>
      <c r="F441" t="inlineStr">
        <is>
          <t>SÖDERMANLANDS LÄN</t>
        </is>
      </c>
      <c r="G441" t="inlineStr">
        <is>
          <t>NYKÖPING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34218-2024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45524</v>
      </c>
      <c r="E442" s="1" t="n">
        <v>46224</v>
      </c>
      <c r="F442" t="inlineStr">
        <is>
          <t>SÖDERMANLANDS LÄN</t>
        </is>
      </c>
      <c r="G442" t="inlineStr">
        <is>
          <t>NYKÖPING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46224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46224</v>
      </c>
      <c r="F444" t="inlineStr">
        <is>
          <t>SÖDERMANLANDS LÄN</t>
        </is>
      </c>
      <c r="G444" t="inlineStr">
        <is>
          <t>NYKÖPING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47370-2022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44853</v>
      </c>
      <c r="E445" s="1" t="n">
        <v>46224</v>
      </c>
      <c r="F445" t="inlineStr">
        <is>
          <t>SÖDERMANLANDS LÄN</t>
        </is>
      </c>
      <c r="G445" t="inlineStr">
        <is>
          <t>NYKÖPING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45999</v>
      </c>
      <c r="E446" s="1" t="n">
        <v>46224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Allmännings- och besparingsskogar</t>
        </is>
      </c>
      <c r="I446" t="n">
        <v>13.5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53738-2022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44880</v>
      </c>
      <c r="E447" s="1" t="n">
        <v>46224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Övriga Aktiebolag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39321-2023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46224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46224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45356</v>
      </c>
      <c r="E450" s="1" t="n">
        <v>46224</v>
      </c>
      <c r="F450" t="inlineStr">
        <is>
          <t>SÖDERMANLANDS LÄN</t>
        </is>
      </c>
      <c r="G450" t="inlineStr">
        <is>
          <t>NYKÖPING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46224</v>
      </c>
      <c r="F451" t="inlineStr">
        <is>
          <t>SÖDERMANLANDS LÄN</t>
        </is>
      </c>
      <c r="G451" t="inlineStr">
        <is>
          <t>NYKÖPING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70092-2021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44536</v>
      </c>
      <c r="E452" s="1" t="n">
        <v>46224</v>
      </c>
      <c r="F452" t="inlineStr">
        <is>
          <t>SÖDERMANLANDS LÄN</t>
        </is>
      </c>
      <c r="G452" t="inlineStr">
        <is>
          <t>NYKÖPING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61357-2025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46224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44767</v>
      </c>
      <c r="E454" s="1" t="n">
        <v>46224</v>
      </c>
      <c r="F454" t="inlineStr">
        <is>
          <t>SÖDERMANLANDS LÄN</t>
        </is>
      </c>
      <c r="G454" t="inlineStr">
        <is>
          <t>NYKÖPING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43880-2023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46224</v>
      </c>
      <c r="F455" t="inlineStr">
        <is>
          <t>SÖDERMANLANDS LÄN</t>
        </is>
      </c>
      <c r="G455" t="inlineStr">
        <is>
          <t>NYKÖPING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16906-2022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44676</v>
      </c>
      <c r="E456" s="1" t="n">
        <v>46224</v>
      </c>
      <c r="F456" t="inlineStr">
        <is>
          <t>SÖDERMANLANDS LÄN</t>
        </is>
      </c>
      <c r="G456" t="inlineStr">
        <is>
          <t>NYKÖPING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46224</v>
      </c>
      <c r="F457" t="inlineStr">
        <is>
          <t>SÖDERMANLANDS LÄN</t>
        </is>
      </c>
      <c r="G457" t="inlineStr">
        <is>
          <t>NYKÖPING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10955-2024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46224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Kommuner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44784</v>
      </c>
      <c r="E459" s="1" t="n">
        <v>46224</v>
      </c>
      <c r="F459" t="inlineStr">
        <is>
          <t>SÖDERMANLANDS LÄN</t>
        </is>
      </c>
      <c r="G459" t="inlineStr">
        <is>
          <t>NYKÖPING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46224</v>
      </c>
      <c r="F460" t="inlineStr">
        <is>
          <t>SÖDERMANLANDS LÄN</t>
        </is>
      </c>
      <c r="G460" t="inlineStr">
        <is>
          <t>NYKÖPING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73877-2021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44553</v>
      </c>
      <c r="E461" s="1" t="n">
        <v>46224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46224</v>
      </c>
      <c r="F462" t="inlineStr">
        <is>
          <t>SÖDERMANLANDS LÄN</t>
        </is>
      </c>
      <c r="G462" t="inlineStr">
        <is>
          <t>NYKÖPING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46224</v>
      </c>
      <c r="F463" t="inlineStr">
        <is>
          <t>SÖDERMANLANDS LÄN</t>
        </is>
      </c>
      <c r="G463" t="inlineStr">
        <is>
          <t>NYKÖPING</t>
        </is>
      </c>
      <c r="I463" t="n">
        <v>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46224</v>
      </c>
      <c r="F464" t="inlineStr">
        <is>
          <t>SÖDERMANLANDS LÄN</t>
        </is>
      </c>
      <c r="G464" t="inlineStr">
        <is>
          <t>NYKÖPING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46224</v>
      </c>
      <c r="F465" t="inlineStr">
        <is>
          <t>SÖDERMANLANDS LÄN</t>
        </is>
      </c>
      <c r="G465" t="inlineStr">
        <is>
          <t>NYKÖPING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46224</v>
      </c>
      <c r="F466" t="inlineStr">
        <is>
          <t>SÖDERMANLANDS LÄN</t>
        </is>
      </c>
      <c r="G466" t="inlineStr">
        <is>
          <t>NYKÖPING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54183-2022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46224</v>
      </c>
      <c r="F467" t="inlineStr">
        <is>
          <t>SÖDERMANLANDS LÄN</t>
        </is>
      </c>
      <c r="G467" t="inlineStr">
        <is>
          <t>NYKÖPING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41099-2022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44825</v>
      </c>
      <c r="E468" s="1" t="n">
        <v>46224</v>
      </c>
      <c r="F468" t="inlineStr">
        <is>
          <t>SÖDERMANLANDS LÄN</t>
        </is>
      </c>
      <c r="G468" t="inlineStr">
        <is>
          <t>NYKÖPING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44988</v>
      </c>
      <c r="E469" s="1" t="n">
        <v>46224</v>
      </c>
      <c r="F469" t="inlineStr">
        <is>
          <t>SÖDERMANLANDS LÄN</t>
        </is>
      </c>
      <c r="G469" t="inlineStr">
        <is>
          <t>NYKÖPING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45058</v>
      </c>
      <c r="E470" s="1" t="n">
        <v>46224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46224</v>
      </c>
      <c r="F471" t="inlineStr">
        <is>
          <t>SÖDERMANLANDS LÄN</t>
        </is>
      </c>
      <c r="G471" t="inlineStr">
        <is>
          <t>NYKÖPING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46224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46224</v>
      </c>
      <c r="F473" t="inlineStr">
        <is>
          <t>SÖDERMANLANDS LÄN</t>
        </is>
      </c>
      <c r="G473" t="inlineStr">
        <is>
          <t>NYKÖPING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11978-2023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44995</v>
      </c>
      <c r="E474" s="1" t="n">
        <v>46224</v>
      </c>
      <c r="F474" t="inlineStr">
        <is>
          <t>SÖDERMANLANDS LÄN</t>
        </is>
      </c>
      <c r="G474" t="inlineStr">
        <is>
          <t>NYKÖPING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46224</v>
      </c>
      <c r="F475" t="inlineStr">
        <is>
          <t>SÖDERMANLANDS LÄN</t>
        </is>
      </c>
      <c r="G475" t="inlineStr">
        <is>
          <t>NYKÖPING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45170</v>
      </c>
      <c r="E476" s="1" t="n">
        <v>46224</v>
      </c>
      <c r="F476" t="inlineStr">
        <is>
          <t>SÖDERMANLANDS LÄN</t>
        </is>
      </c>
      <c r="G476" t="inlineStr">
        <is>
          <t>NYKÖPING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46224</v>
      </c>
      <c r="F477" t="inlineStr">
        <is>
          <t>SÖDERMANLANDS LÄN</t>
        </is>
      </c>
      <c r="G477" t="inlineStr">
        <is>
          <t>NYKÖPING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45076</v>
      </c>
      <c r="E478" s="1" t="n">
        <v>46224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Övriga Aktiebolag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46224</v>
      </c>
      <c r="F479" t="inlineStr">
        <is>
          <t>SÖDERMANLANDS LÄN</t>
        </is>
      </c>
      <c r="G479" t="inlineStr">
        <is>
          <t>NYKÖPING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45072</v>
      </c>
      <c r="E480" s="1" t="n">
        <v>46224</v>
      </c>
      <c r="F480" t="inlineStr">
        <is>
          <t>SÖDERMANLANDS LÄN</t>
        </is>
      </c>
      <c r="G480" t="inlineStr">
        <is>
          <t>NYKÖPING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49223-2022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44858</v>
      </c>
      <c r="E481" s="1" t="n">
        <v>46224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Övriga statliga verk och myndigheter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46224</v>
      </c>
      <c r="F482" t="inlineStr">
        <is>
          <t>SÖDERMANLANDS LÄN</t>
        </is>
      </c>
      <c r="G482" t="inlineStr">
        <is>
          <t>NYKÖPING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45350</v>
      </c>
      <c r="E483" s="1" t="n">
        <v>46224</v>
      </c>
      <c r="F483" t="inlineStr">
        <is>
          <t>SÖDERMANLANDS LÄN</t>
        </is>
      </c>
      <c r="G483" t="inlineStr">
        <is>
          <t>NYKÖPING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46224</v>
      </c>
      <c r="F484" t="inlineStr">
        <is>
          <t>SÖDERMANLANDS LÄN</t>
        </is>
      </c>
      <c r="G484" t="inlineStr">
        <is>
          <t>NYKÖPING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46224</v>
      </c>
      <c r="F485" t="inlineStr">
        <is>
          <t>SÖDERMANLANDS LÄN</t>
        </is>
      </c>
      <c r="G485" t="inlineStr">
        <is>
          <t>NYKÖPING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46224</v>
      </c>
      <c r="F486" t="inlineStr">
        <is>
          <t>SÖDERMANLANDS LÄN</t>
        </is>
      </c>
      <c r="G486" t="inlineStr">
        <is>
          <t>NYKÖPING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46224</v>
      </c>
      <c r="F487" t="inlineStr">
        <is>
          <t>SÖDERMANLANDS LÄN</t>
        </is>
      </c>
      <c r="G487" t="inlineStr">
        <is>
          <t>NYKÖPING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46224</v>
      </c>
      <c r="F488" t="inlineStr">
        <is>
          <t>SÖDERMANLANDS LÄN</t>
        </is>
      </c>
      <c r="G488" t="inlineStr">
        <is>
          <t>NYKÖPING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46224</v>
      </c>
      <c r="F489" t="inlineStr">
        <is>
          <t>SÖDERMANLANDS LÄN</t>
        </is>
      </c>
      <c r="G489" t="inlineStr">
        <is>
          <t>NYKÖPING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9453-2026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46224</v>
      </c>
      <c r="F490" t="inlineStr">
        <is>
          <t>SÖDERMANLANDS LÄN</t>
        </is>
      </c>
      <c r="G490" t="inlineStr">
        <is>
          <t>NYKÖPING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45027</v>
      </c>
      <c r="E491" s="1" t="n">
        <v>46224</v>
      </c>
      <c r="F491" t="inlineStr">
        <is>
          <t>SÖDERMANLANDS LÄN</t>
        </is>
      </c>
      <c r="G491" t="inlineStr">
        <is>
          <t>NYKÖPING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18204-2025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45761</v>
      </c>
      <c r="E492" s="1" t="n">
        <v>46224</v>
      </c>
      <c r="F492" t="inlineStr">
        <is>
          <t>SÖDERMANLANDS LÄN</t>
        </is>
      </c>
      <c r="G492" t="inlineStr">
        <is>
          <t>NYKÖPING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45343</v>
      </c>
      <c r="E493" s="1" t="n">
        <v>46224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46224</v>
      </c>
      <c r="F494" t="inlineStr">
        <is>
          <t>SÖDERMANLANDS LÄN</t>
        </is>
      </c>
      <c r="G494" t="inlineStr">
        <is>
          <t>NYKÖPING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46224</v>
      </c>
      <c r="F495" t="inlineStr">
        <is>
          <t>SÖDERMANLANDS LÄN</t>
        </is>
      </c>
      <c r="G495" t="inlineStr">
        <is>
          <t>NYKÖPING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13963-2022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44650</v>
      </c>
      <c r="E496" s="1" t="n">
        <v>46224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44740</v>
      </c>
      <c r="E497" s="1" t="n">
        <v>46224</v>
      </c>
      <c r="F497" t="inlineStr">
        <is>
          <t>SÖDERMANLANDS LÄN</t>
        </is>
      </c>
      <c r="G497" t="inlineStr">
        <is>
          <t>NYKÖPING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45364</v>
      </c>
      <c r="E498" s="1" t="n">
        <v>46224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16881-2024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45410</v>
      </c>
      <c r="E499" s="1" t="n">
        <v>46224</v>
      </c>
      <c r="F499" t="inlineStr">
        <is>
          <t>SÖDERMANLANDS LÄN</t>
        </is>
      </c>
      <c r="G499" t="inlineStr">
        <is>
          <t>NYKÖPING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42856-2021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44430</v>
      </c>
      <c r="E500" s="1" t="n">
        <v>46224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46224</v>
      </c>
      <c r="F501" t="inlineStr">
        <is>
          <t>SÖDERMANLANDS LÄN</t>
        </is>
      </c>
      <c r="G501" t="inlineStr">
        <is>
          <t>NYKÖPING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38023-2021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44404</v>
      </c>
      <c r="E502" s="1" t="n">
        <v>46224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38029-2021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44404</v>
      </c>
      <c r="E503" s="1" t="n">
        <v>46224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71115-2021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44537</v>
      </c>
      <c r="E504" s="1" t="n">
        <v>46224</v>
      </c>
      <c r="F504" t="inlineStr">
        <is>
          <t>SÖDERMANLANDS LÄN</t>
        </is>
      </c>
      <c r="G504" t="inlineStr">
        <is>
          <t>NYKÖPING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44938</v>
      </c>
      <c r="E505" s="1" t="n">
        <v>46224</v>
      </c>
      <c r="F505" t="inlineStr">
        <is>
          <t>SÖDERMANLANDS LÄN</t>
        </is>
      </c>
      <c r="G505" t="inlineStr">
        <is>
          <t>NYKÖPING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8140-2023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46224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32594-2022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44783</v>
      </c>
      <c r="E507" s="1" t="n">
        <v>46224</v>
      </c>
      <c r="F507" t="inlineStr">
        <is>
          <t>SÖDERMANLANDS LÄN</t>
        </is>
      </c>
      <c r="G507" t="inlineStr">
        <is>
          <t>NYKÖPING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8573-2023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44977</v>
      </c>
      <c r="E508" s="1" t="n">
        <v>46224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Övriga Aktiebolag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43585-2022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44837</v>
      </c>
      <c r="E509" s="1" t="n">
        <v>46224</v>
      </c>
      <c r="F509" t="inlineStr">
        <is>
          <t>SÖDERMANLANDS LÄN</t>
        </is>
      </c>
      <c r="G509" t="inlineStr">
        <is>
          <t>NYKÖPING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46224</v>
      </c>
      <c r="F510" t="inlineStr">
        <is>
          <t>SÖDERMANLANDS LÄN</t>
        </is>
      </c>
      <c r="G510" t="inlineStr">
        <is>
          <t>NYKÖPING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45352</v>
      </c>
      <c r="E511" s="1" t="n">
        <v>46224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Sveaskog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12149-2023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44998</v>
      </c>
      <c r="E512" s="1" t="n">
        <v>46224</v>
      </c>
      <c r="F512" t="inlineStr">
        <is>
          <t>SÖDERMANLANDS LÄN</t>
        </is>
      </c>
      <c r="G512" t="inlineStr">
        <is>
          <t>NYKÖPING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43653-2022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46224</v>
      </c>
      <c r="F513" t="inlineStr">
        <is>
          <t>SÖDERMANLANDS LÄN</t>
        </is>
      </c>
      <c r="G513" t="inlineStr">
        <is>
          <t>NYKÖPING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43657-2022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44837</v>
      </c>
      <c r="E514" s="1" t="n">
        <v>46224</v>
      </c>
      <c r="F514" t="inlineStr">
        <is>
          <t>SÖDERMANLANDS LÄN</t>
        </is>
      </c>
      <c r="G514" t="inlineStr">
        <is>
          <t>NYKÖPING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44988</v>
      </c>
      <c r="E515" s="1" t="n">
        <v>46224</v>
      </c>
      <c r="F515" t="inlineStr">
        <is>
          <t>SÖDERMANLANDS LÄN</t>
        </is>
      </c>
      <c r="G515" t="inlineStr">
        <is>
          <t>NYKÖPING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47260-2023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45202</v>
      </c>
      <c r="E516" s="1" t="n">
        <v>46224</v>
      </c>
      <c r="F516" t="inlineStr">
        <is>
          <t>SÖDERMANLANDS LÄN</t>
        </is>
      </c>
      <c r="G516" t="inlineStr">
        <is>
          <t>NYKÖPING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46224</v>
      </c>
      <c r="F517" t="inlineStr">
        <is>
          <t>SÖDERMANLANDS LÄN</t>
        </is>
      </c>
      <c r="G517" t="inlineStr">
        <is>
          <t>NYKÖPING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45721</v>
      </c>
      <c r="E518" s="1" t="n">
        <v>46224</v>
      </c>
      <c r="F518" t="inlineStr">
        <is>
          <t>SÖDERMANLANDS LÄN</t>
        </is>
      </c>
      <c r="G518" t="inlineStr">
        <is>
          <t>NYKÖPING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45224</v>
      </c>
      <c r="E519" s="1" t="n">
        <v>46224</v>
      </c>
      <c r="F519" t="inlineStr">
        <is>
          <t>SÖDERMANLANDS LÄN</t>
        </is>
      </c>
      <c r="G519" t="inlineStr">
        <is>
          <t>NYKÖPING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52374-2023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45224</v>
      </c>
      <c r="E520" s="1" t="n">
        <v>46224</v>
      </c>
      <c r="F520" t="inlineStr">
        <is>
          <t>SÖDERMANLANDS LÄN</t>
        </is>
      </c>
      <c r="G520" t="inlineStr">
        <is>
          <t>NYKÖPING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46224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45349</v>
      </c>
      <c r="E522" s="1" t="n">
        <v>46224</v>
      </c>
      <c r="F522" t="inlineStr">
        <is>
          <t>SÖDERMANLANDS LÄN</t>
        </is>
      </c>
      <c r="G522" t="inlineStr">
        <is>
          <t>NYKÖPING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46224</v>
      </c>
      <c r="F523" t="inlineStr">
        <is>
          <t>SÖDERMANLANDS LÄN</t>
        </is>
      </c>
      <c r="G523" t="inlineStr">
        <is>
          <t>NYKÖPING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68041-2021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46224</v>
      </c>
      <c r="F524" t="inlineStr">
        <is>
          <t>SÖDERMANLANDS LÄN</t>
        </is>
      </c>
      <c r="G524" t="inlineStr">
        <is>
          <t>NYKÖPING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45384</v>
      </c>
      <c r="E525" s="1" t="n">
        <v>46224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46224</v>
      </c>
      <c r="F526" t="inlineStr">
        <is>
          <t>SÖDERMANLANDS LÄN</t>
        </is>
      </c>
      <c r="G526" t="inlineStr">
        <is>
          <t>NYKÖPING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13254-2026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46093</v>
      </c>
      <c r="E527" s="1" t="n">
        <v>46224</v>
      </c>
      <c r="F527" t="inlineStr">
        <is>
          <t>SÖDERMANLANDS LÄN</t>
        </is>
      </c>
      <c r="G527" t="inlineStr">
        <is>
          <t>NYKÖPING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44578</v>
      </c>
      <c r="E528" s="1" t="n">
        <v>46224</v>
      </c>
      <c r="F528" t="inlineStr">
        <is>
          <t>SÖDERMANLANDS LÄN</t>
        </is>
      </c>
      <c r="G528" t="inlineStr">
        <is>
          <t>NYKÖPING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15047-2025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45743</v>
      </c>
      <c r="E529" s="1" t="n">
        <v>46224</v>
      </c>
      <c r="F529" t="inlineStr">
        <is>
          <t>SÖDERMANLANDS LÄN</t>
        </is>
      </c>
      <c r="G529" t="inlineStr">
        <is>
          <t>NYKÖPING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46224</v>
      </c>
      <c r="F530" t="inlineStr">
        <is>
          <t>SÖDERMANLANDS LÄN</t>
        </is>
      </c>
      <c r="G530" t="inlineStr">
        <is>
          <t>NYKÖPING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14363-2026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46100</v>
      </c>
      <c r="E531" s="1" t="n">
        <v>46224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46224</v>
      </c>
      <c r="F532" t="inlineStr">
        <is>
          <t>SÖDERMANLANDS LÄN</t>
        </is>
      </c>
      <c r="G532" t="inlineStr">
        <is>
          <t>NYKÖPING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44936</v>
      </c>
      <c r="E533" s="1" t="n">
        <v>46224</v>
      </c>
      <c r="F533" t="inlineStr">
        <is>
          <t>SÖDERMANLANDS LÄN</t>
        </is>
      </c>
      <c r="G533" t="inlineStr">
        <is>
          <t>NYKÖPING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46224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51241-2024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45603</v>
      </c>
      <c r="E535" s="1" t="n">
        <v>46224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Sveaskog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55312-2021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44475</v>
      </c>
      <c r="E536" s="1" t="n">
        <v>46224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46224</v>
      </c>
      <c r="F537" t="inlineStr">
        <is>
          <t>SÖDERMANLANDS LÄN</t>
        </is>
      </c>
      <c r="G537" t="inlineStr">
        <is>
          <t>NYKÖPING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46575-2021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46224</v>
      </c>
      <c r="F538" t="inlineStr">
        <is>
          <t>SÖDERMANLANDS LÄN</t>
        </is>
      </c>
      <c r="G538" t="inlineStr">
        <is>
          <t>NYKÖPING</t>
        </is>
      </c>
      <c r="I538" t="n">
        <v>19.1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45721</v>
      </c>
      <c r="E539" s="1" t="n">
        <v>46224</v>
      </c>
      <c r="F539" t="inlineStr">
        <is>
          <t>SÖDERMANLANDS LÄN</t>
        </is>
      </c>
      <c r="G539" t="inlineStr">
        <is>
          <t>NYKÖPING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39368-2021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44414</v>
      </c>
      <c r="E540" s="1" t="n">
        <v>46224</v>
      </c>
      <c r="F540" t="inlineStr">
        <is>
          <t>SÖDERMANLANDS LÄN</t>
        </is>
      </c>
      <c r="G540" t="inlineStr">
        <is>
          <t>NYKÖPING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51556-2024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45604</v>
      </c>
      <c r="E541" s="1" t="n">
        <v>46224</v>
      </c>
      <c r="F541" t="inlineStr">
        <is>
          <t>SÖDERMANLANDS LÄN</t>
        </is>
      </c>
      <c r="G541" t="inlineStr">
        <is>
          <t>NYKÖPING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45329</v>
      </c>
      <c r="E542" s="1" t="n">
        <v>46224</v>
      </c>
      <c r="F542" t="inlineStr">
        <is>
          <t>SÖDERMANLANDS LÄN</t>
        </is>
      </c>
      <c r="G542" t="inlineStr">
        <is>
          <t>NYKÖPING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41719-2021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44425</v>
      </c>
      <c r="E543" s="1" t="n">
        <v>46224</v>
      </c>
      <c r="F543" t="inlineStr">
        <is>
          <t>SÖDERMANLANDS LÄN</t>
        </is>
      </c>
      <c r="G543" t="inlineStr">
        <is>
          <t>NYKÖPING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17315-2024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45414</v>
      </c>
      <c r="E544" s="1" t="n">
        <v>46224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9469-2022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44616</v>
      </c>
      <c r="E545" s="1" t="n">
        <v>46224</v>
      </c>
      <c r="F545" t="inlineStr">
        <is>
          <t>SÖDERMANLANDS LÄN</t>
        </is>
      </c>
      <c r="G545" t="inlineStr">
        <is>
          <t>NYKÖPING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13455-2022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44645</v>
      </c>
      <c r="E546" s="1" t="n">
        <v>46224</v>
      </c>
      <c r="F546" t="inlineStr">
        <is>
          <t>SÖDERMANLANDS LÄN</t>
        </is>
      </c>
      <c r="G546" t="inlineStr">
        <is>
          <t>NYKÖPING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46224</v>
      </c>
      <c r="F547" t="inlineStr">
        <is>
          <t>SÖDERMANLANDS LÄN</t>
        </is>
      </c>
      <c r="G547" t="inlineStr">
        <is>
          <t>NYKÖPING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46114</v>
      </c>
      <c r="E548" s="1" t="n">
        <v>46224</v>
      </c>
      <c r="F548" t="inlineStr">
        <is>
          <t>SÖDERMANLANDS LÄN</t>
        </is>
      </c>
      <c r="G548" t="inlineStr">
        <is>
          <t>NYKÖPING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53374-2021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44468</v>
      </c>
      <c r="E549" s="1" t="n">
        <v>46224</v>
      </c>
      <c r="F549" t="inlineStr">
        <is>
          <t>SÖDERMANLANDS LÄN</t>
        </is>
      </c>
      <c r="G549" t="inlineStr">
        <is>
          <t>NYKÖPING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46224</v>
      </c>
      <c r="F550" t="inlineStr">
        <is>
          <t>SÖDERMANLANDS LÄN</t>
        </is>
      </c>
      <c r="G550" t="inlineStr">
        <is>
          <t>NYKÖPING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46737-2025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45926</v>
      </c>
      <c r="E551" s="1" t="n">
        <v>46224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44698</v>
      </c>
      <c r="E552" s="1" t="n">
        <v>46224</v>
      </c>
      <c r="F552" t="inlineStr">
        <is>
          <t>SÖDERMANLANDS LÄN</t>
        </is>
      </c>
      <c r="G552" t="inlineStr">
        <is>
          <t>NYKÖPING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51216-2024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46224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44727</v>
      </c>
      <c r="E554" s="1" t="n">
        <v>46224</v>
      </c>
      <c r="F554" t="inlineStr">
        <is>
          <t>SÖDERMANLANDS LÄN</t>
        </is>
      </c>
      <c r="G554" t="inlineStr">
        <is>
          <t>NYKÖPING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72985-2021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44549</v>
      </c>
      <c r="E555" s="1" t="n">
        <v>46224</v>
      </c>
      <c r="F555" t="inlineStr">
        <is>
          <t>SÖDERMANLANDS LÄN</t>
        </is>
      </c>
      <c r="G555" t="inlineStr">
        <is>
          <t>NYKÖPING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16460-2023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45029</v>
      </c>
      <c r="E556" s="1" t="n">
        <v>46224</v>
      </c>
      <c r="F556" t="inlineStr">
        <is>
          <t>SÖDERMANLANDS LÄN</t>
        </is>
      </c>
      <c r="G556" t="inlineStr">
        <is>
          <t>NYKÖPING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45061</v>
      </c>
      <c r="E557" s="1" t="n">
        <v>46224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21062-2023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45061</v>
      </c>
      <c r="E558" s="1" t="n">
        <v>46224</v>
      </c>
      <c r="F558" t="inlineStr">
        <is>
          <t>SÖDERMANLANDS LÄN</t>
        </is>
      </c>
      <c r="G558" t="inlineStr">
        <is>
          <t>NYKÖPING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2517-2022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44579</v>
      </c>
      <c r="E559" s="1" t="n">
        <v>46224</v>
      </c>
      <c r="F559" t="inlineStr">
        <is>
          <t>SÖDERMANLANDS LÄN</t>
        </is>
      </c>
      <c r="G559" t="inlineStr">
        <is>
          <t>NYKÖPING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46125</v>
      </c>
      <c r="E560" s="1" t="n">
        <v>46224</v>
      </c>
      <c r="F560" t="inlineStr">
        <is>
          <t>SÖDERMANLANDS LÄN</t>
        </is>
      </c>
      <c r="G560" t="inlineStr">
        <is>
          <t>NYKÖPING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45461</v>
      </c>
      <c r="E561" s="1" t="n">
        <v>46224</v>
      </c>
      <c r="F561" t="inlineStr">
        <is>
          <t>SÖDERMANLANDS LÄN</t>
        </is>
      </c>
      <c r="G561" t="inlineStr">
        <is>
          <t>NYKÖPING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65923-2021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44517</v>
      </c>
      <c r="E562" s="1" t="n">
        <v>46224</v>
      </c>
      <c r="F562" t="inlineStr">
        <is>
          <t>SÖDERMANLANDS LÄN</t>
        </is>
      </c>
      <c r="G562" t="inlineStr">
        <is>
          <t>NYKÖPING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45343</v>
      </c>
      <c r="E563" s="1" t="n">
        <v>46224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Kommuner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46224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46224</v>
      </c>
      <c r="F565" t="inlineStr">
        <is>
          <t>SÖDERMANLANDS LÄN</t>
        </is>
      </c>
      <c r="G565" t="inlineStr">
        <is>
          <t>NYKÖPING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17832-2024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45418</v>
      </c>
      <c r="E566" s="1" t="n">
        <v>46224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Kommuner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51243-2024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45603</v>
      </c>
      <c r="E567" s="1" t="n">
        <v>46224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55506-2021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44475</v>
      </c>
      <c r="E568" s="1" t="n">
        <v>46224</v>
      </c>
      <c r="F568" t="inlineStr">
        <is>
          <t>SÖDERMANLANDS LÄN</t>
        </is>
      </c>
      <c r="G568" t="inlineStr">
        <is>
          <t>NYKÖPING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44579</v>
      </c>
      <c r="E569" s="1" t="n">
        <v>46224</v>
      </c>
      <c r="F569" t="inlineStr">
        <is>
          <t>SÖDERMANLANDS LÄN</t>
        </is>
      </c>
      <c r="G569" t="inlineStr">
        <is>
          <t>NYKÖPING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14930-2024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45398</v>
      </c>
      <c r="E570" s="1" t="n">
        <v>46224</v>
      </c>
      <c r="F570" t="inlineStr">
        <is>
          <t>SÖDERMANLANDS LÄN</t>
        </is>
      </c>
      <c r="G570" t="inlineStr">
        <is>
          <t>NYKÖPING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35019-2023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45143</v>
      </c>
      <c r="E571" s="1" t="n">
        <v>46224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44916</v>
      </c>
      <c r="E572" s="1" t="n">
        <v>46224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46224</v>
      </c>
      <c r="F573" t="inlineStr">
        <is>
          <t>SÖDERMANLANDS LÄN</t>
        </is>
      </c>
      <c r="G573" t="inlineStr">
        <is>
          <t>NYKÖPING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46224</v>
      </c>
      <c r="F574" t="inlineStr">
        <is>
          <t>SÖDERMANLANDS LÄN</t>
        </is>
      </c>
      <c r="G574" t="inlineStr">
        <is>
          <t>NYKÖPING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46224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54065-2025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45964</v>
      </c>
      <c r="E576" s="1" t="n">
        <v>46224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45348</v>
      </c>
      <c r="E577" s="1" t="n">
        <v>46224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45327</v>
      </c>
      <c r="E578" s="1" t="n">
        <v>46224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18551-2024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45425</v>
      </c>
      <c r="E579" s="1" t="n">
        <v>46224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38155-2022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44812</v>
      </c>
      <c r="E580" s="1" t="n">
        <v>46224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46224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43359-2021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44432</v>
      </c>
      <c r="E582" s="1" t="n">
        <v>46224</v>
      </c>
      <c r="F582" t="inlineStr">
        <is>
          <t>SÖDERMANLANDS LÄN</t>
        </is>
      </c>
      <c r="G582" t="inlineStr">
        <is>
          <t>NYKÖPING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44960</v>
      </c>
      <c r="E583" s="1" t="n">
        <v>46224</v>
      </c>
      <c r="F583" t="inlineStr">
        <is>
          <t>SÖDERMANLANDS LÄN</t>
        </is>
      </c>
      <c r="G583" t="inlineStr">
        <is>
          <t>NYKÖPING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21917-2022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44711</v>
      </c>
      <c r="E584" s="1" t="n">
        <v>46224</v>
      </c>
      <c r="F584" t="inlineStr">
        <is>
          <t>SÖDERMANLANDS LÄN</t>
        </is>
      </c>
      <c r="G584" t="inlineStr">
        <is>
          <t>NYKÖPING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46224</v>
      </c>
      <c r="F585" t="inlineStr">
        <is>
          <t>SÖDERMANLANDS LÄN</t>
        </is>
      </c>
      <c r="G585" t="inlineStr">
        <is>
          <t>NYKÖPING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46224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46224</v>
      </c>
      <c r="F587" t="inlineStr">
        <is>
          <t>SÖDERMANLANDS LÄN</t>
        </is>
      </c>
      <c r="G587" t="inlineStr">
        <is>
          <t>NYKÖPING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41748-2021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44425</v>
      </c>
      <c r="E588" s="1" t="n">
        <v>46224</v>
      </c>
      <c r="F588" t="inlineStr">
        <is>
          <t>SÖDERMANLANDS LÄN</t>
        </is>
      </c>
      <c r="G588" t="inlineStr">
        <is>
          <t>NYKÖPING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46224</v>
      </c>
      <c r="F589" t="inlineStr">
        <is>
          <t>SÖDERMANLANDS LÄN</t>
        </is>
      </c>
      <c r="G589" t="inlineStr">
        <is>
          <t>NYKÖPING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44783</v>
      </c>
      <c r="E590" s="1" t="n">
        <v>46224</v>
      </c>
      <c r="F590" t="inlineStr">
        <is>
          <t>SÖDERMANLANDS LÄN</t>
        </is>
      </c>
      <c r="G590" t="inlineStr">
        <is>
          <t>NYKÖPING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48484-2022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44858</v>
      </c>
      <c r="E591" s="1" t="n">
        <v>46224</v>
      </c>
      <c r="F591" t="inlineStr">
        <is>
          <t>SÖDERMANLANDS LÄN</t>
        </is>
      </c>
      <c r="G591" t="inlineStr">
        <is>
          <t>NYKÖPING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46224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Sveaskog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46224</v>
      </c>
      <c r="F593" t="inlineStr">
        <is>
          <t>SÖDERMANLANDS LÄN</t>
        </is>
      </c>
      <c r="G593" t="inlineStr">
        <is>
          <t>NYKÖPING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29846-2025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46224</v>
      </c>
      <c r="F594" t="inlineStr">
        <is>
          <t>SÖDERMANLANDS LÄN</t>
        </is>
      </c>
      <c r="G594" t="inlineStr">
        <is>
          <t>NYKÖPING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20327-2023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45056</v>
      </c>
      <c r="E595" s="1" t="n">
        <v>46224</v>
      </c>
      <c r="F595" t="inlineStr">
        <is>
          <t>SÖDERMANLANDS LÄN</t>
        </is>
      </c>
      <c r="G595" t="inlineStr">
        <is>
          <t>NYKÖPING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42858-2021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44430</v>
      </c>
      <c r="E596" s="1" t="n">
        <v>46224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46224</v>
      </c>
      <c r="F597" t="inlineStr">
        <is>
          <t>SÖDERMANLANDS LÄN</t>
        </is>
      </c>
      <c r="G597" t="inlineStr">
        <is>
          <t>NYKÖPING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60634-2022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44911</v>
      </c>
      <c r="E598" s="1" t="n">
        <v>46224</v>
      </c>
      <c r="F598" t="inlineStr">
        <is>
          <t>SÖDERMANLANDS LÄN</t>
        </is>
      </c>
      <c r="G598" t="inlineStr">
        <is>
          <t>NYKÖPING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45005</v>
      </c>
      <c r="E599" s="1" t="n">
        <v>46224</v>
      </c>
      <c r="F599" t="inlineStr">
        <is>
          <t>SÖDERMANLANDS LÄN</t>
        </is>
      </c>
      <c r="G599" t="inlineStr">
        <is>
          <t>NYKÖPING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69244-2021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44530</v>
      </c>
      <c r="E600" s="1" t="n">
        <v>46224</v>
      </c>
      <c r="F600" t="inlineStr">
        <is>
          <t>SÖDERMANLANDS LÄN</t>
        </is>
      </c>
      <c r="G600" t="inlineStr">
        <is>
          <t>NYKÖPING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44959</v>
      </c>
      <c r="E601" s="1" t="n">
        <v>46224</v>
      </c>
      <c r="F601" t="inlineStr">
        <is>
          <t>SÖDERMANLANDS LÄN</t>
        </is>
      </c>
      <c r="G601" t="inlineStr">
        <is>
          <t>NYKÖPING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46224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46224</v>
      </c>
      <c r="F603" t="inlineStr">
        <is>
          <t>SÖDERMANLANDS LÄN</t>
        </is>
      </c>
      <c r="G603" t="inlineStr">
        <is>
          <t>NYKÖPING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46224</v>
      </c>
      <c r="F604" t="inlineStr">
        <is>
          <t>SÖDERMANLANDS LÄN</t>
        </is>
      </c>
      <c r="G604" t="inlineStr">
        <is>
          <t>NYKÖPING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8688-2025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45712</v>
      </c>
      <c r="E605" s="1" t="n">
        <v>46224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24891-2023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45085</v>
      </c>
      <c r="E606" s="1" t="n">
        <v>46224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44790</v>
      </c>
      <c r="E607" s="1" t="n">
        <v>46224</v>
      </c>
      <c r="F607" t="inlineStr">
        <is>
          <t>SÖDERMANLANDS LÄN</t>
        </is>
      </c>
      <c r="G607" t="inlineStr">
        <is>
          <t>NYKÖPING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45819</v>
      </c>
      <c r="E608" s="1" t="n">
        <v>46224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45069</v>
      </c>
      <c r="E609" s="1" t="n">
        <v>46224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45706</v>
      </c>
      <c r="E610" s="1" t="n">
        <v>46224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Kyrkan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27563-2024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45474</v>
      </c>
      <c r="E611" s="1" t="n">
        <v>46224</v>
      </c>
      <c r="F611" t="inlineStr">
        <is>
          <t>SÖDERMANLANDS LÄN</t>
        </is>
      </c>
      <c r="G611" t="inlineStr">
        <is>
          <t>NYKÖPING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56228-2024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45624</v>
      </c>
      <c r="E612" s="1" t="n">
        <v>46224</v>
      </c>
      <c r="F612" t="inlineStr">
        <is>
          <t>SÖDERMANLANDS LÄN</t>
        </is>
      </c>
      <c r="G612" t="inlineStr">
        <is>
          <t>NYKÖPING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47390-2025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45930</v>
      </c>
      <c r="E613" s="1" t="n">
        <v>46224</v>
      </c>
      <c r="F613" t="inlineStr">
        <is>
          <t>SÖDERMANLANDS LÄN</t>
        </is>
      </c>
      <c r="G613" t="inlineStr">
        <is>
          <t>NYKÖPING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44992</v>
      </c>
      <c r="E614" s="1" t="n">
        <v>46224</v>
      </c>
      <c r="F614" t="inlineStr">
        <is>
          <t>SÖDERMANLANDS LÄN</t>
        </is>
      </c>
      <c r="G614" t="inlineStr">
        <is>
          <t>NYKÖPING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40291-2021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44419</v>
      </c>
      <c r="E615" s="1" t="n">
        <v>46224</v>
      </c>
      <c r="F615" t="inlineStr">
        <is>
          <t>SÖDERMANLANDS LÄN</t>
        </is>
      </c>
      <c r="G615" t="inlineStr">
        <is>
          <t>NYKÖPING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46224</v>
      </c>
      <c r="F616" t="inlineStr">
        <is>
          <t>SÖDERMANLANDS LÄN</t>
        </is>
      </c>
      <c r="G616" t="inlineStr">
        <is>
          <t>NYKÖPING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35252-2022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44798</v>
      </c>
      <c r="E617" s="1" t="n">
        <v>46224</v>
      </c>
      <c r="F617" t="inlineStr">
        <is>
          <t>SÖDERMANLANDS LÄN</t>
        </is>
      </c>
      <c r="G617" t="inlineStr">
        <is>
          <t>NYKÖPING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24798-2022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44728</v>
      </c>
      <c r="E618" s="1" t="n">
        <v>46224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2598-2025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45674</v>
      </c>
      <c r="E619" s="1" t="n">
        <v>46224</v>
      </c>
      <c r="F619" t="inlineStr">
        <is>
          <t>SÖDERMANLANDS LÄN</t>
        </is>
      </c>
      <c r="G619" t="inlineStr">
        <is>
          <t>NYKÖPING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35532-2022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44799</v>
      </c>
      <c r="E620" s="1" t="n">
        <v>46224</v>
      </c>
      <c r="F620" t="inlineStr">
        <is>
          <t>SÖDERMANLANDS LÄN</t>
        </is>
      </c>
      <c r="G620" t="inlineStr">
        <is>
          <t>NYKÖPING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44881</v>
      </c>
      <c r="E621" s="1" t="n">
        <v>46224</v>
      </c>
      <c r="F621" t="inlineStr">
        <is>
          <t>SÖDERMANLANDS LÄN</t>
        </is>
      </c>
      <c r="G621" t="inlineStr">
        <is>
          <t>NYKÖPING</t>
        </is>
      </c>
      <c r="I621" t="n">
        <v>16.2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36015-2023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45148</v>
      </c>
      <c r="E622" s="1" t="n">
        <v>46224</v>
      </c>
      <c r="F622" t="inlineStr">
        <is>
          <t>SÖDERMANLANDS LÄN</t>
        </is>
      </c>
      <c r="G622" t="inlineStr">
        <is>
          <t>NYKÖPING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68024-2021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44525</v>
      </c>
      <c r="E623" s="1" t="n">
        <v>46224</v>
      </c>
      <c r="F623" t="inlineStr">
        <is>
          <t>SÖDERMANLANDS LÄN</t>
        </is>
      </c>
      <c r="G623" t="inlineStr">
        <is>
          <t>NYKÖPING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68030-2021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44525</v>
      </c>
      <c r="E624" s="1" t="n">
        <v>46224</v>
      </c>
      <c r="F624" t="inlineStr">
        <is>
          <t>SÖDERMANLANDS LÄN</t>
        </is>
      </c>
      <c r="G624" t="inlineStr">
        <is>
          <t>NYKÖPING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45926-2022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46224</v>
      </c>
      <c r="F625" t="inlineStr">
        <is>
          <t>SÖDERMANLANDS LÄN</t>
        </is>
      </c>
      <c r="G625" t="inlineStr">
        <is>
          <t>NYKÖPING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45222</v>
      </c>
      <c r="E626" s="1" t="n">
        <v>46224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46224</v>
      </c>
      <c r="F627" t="inlineStr">
        <is>
          <t>SÖDERMANLANDS LÄN</t>
        </is>
      </c>
      <c r="G627" t="inlineStr">
        <is>
          <t>NYKÖPING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46224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44575</v>
      </c>
      <c r="E629" s="1" t="n">
        <v>46224</v>
      </c>
      <c r="F629" t="inlineStr">
        <is>
          <t>SÖDERMANLANDS LÄN</t>
        </is>
      </c>
      <c r="G629" t="inlineStr">
        <is>
          <t>NYKÖPING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45440</v>
      </c>
      <c r="E630" s="1" t="n">
        <v>46224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38394-2024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45546</v>
      </c>
      <c r="E631" s="1" t="n">
        <v>46224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45019</v>
      </c>
      <c r="E632" s="1" t="n">
        <v>46224</v>
      </c>
      <c r="F632" t="inlineStr">
        <is>
          <t>SÖDERMANLANDS LÄN</t>
        </is>
      </c>
      <c r="G632" t="inlineStr">
        <is>
          <t>NYKÖPING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19763-2023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45051</v>
      </c>
      <c r="E633" s="1" t="n">
        <v>46224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7131-2026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46224</v>
      </c>
      <c r="F634" t="inlineStr">
        <is>
          <t>SÖDERMANLANDS LÄN</t>
        </is>
      </c>
      <c r="G634" t="inlineStr">
        <is>
          <t>NYKÖPING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45146</v>
      </c>
      <c r="E635" s="1" t="n">
        <v>46224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46224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45307</v>
      </c>
      <c r="E637" s="1" t="n">
        <v>46224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Kommuner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1745-2023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44938</v>
      </c>
      <c r="E638" s="1" t="n">
        <v>46224</v>
      </c>
      <c r="F638" t="inlineStr">
        <is>
          <t>SÖDERMANLANDS LÄN</t>
        </is>
      </c>
      <c r="G638" t="inlineStr">
        <is>
          <t>NYKÖPING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46182</v>
      </c>
      <c r="E639" s="1" t="n">
        <v>46224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20497-2026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46140</v>
      </c>
      <c r="E640" s="1" t="n">
        <v>46224</v>
      </c>
      <c r="F640" t="inlineStr">
        <is>
          <t>SÖDERMANLANDS LÄN</t>
        </is>
      </c>
      <c r="G640" t="inlineStr">
        <is>
          <t>NYKÖPING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46224</v>
      </c>
      <c r="F641" t="inlineStr">
        <is>
          <t>SÖDERMANLANDS LÄN</t>
        </is>
      </c>
      <c r="G641" t="inlineStr">
        <is>
          <t>NYKÖPING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44938</v>
      </c>
      <c r="E642" s="1" t="n">
        <v>46224</v>
      </c>
      <c r="F642" t="inlineStr">
        <is>
          <t>SÖDERMANLANDS LÄN</t>
        </is>
      </c>
      <c r="G642" t="inlineStr">
        <is>
          <t>NYKÖPING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46184</v>
      </c>
      <c r="E643" s="1" t="n">
        <v>46224</v>
      </c>
      <c r="F643" t="inlineStr">
        <is>
          <t>SÖDERMANLANDS LÄN</t>
        </is>
      </c>
      <c r="G643" t="inlineStr">
        <is>
          <t>NYKÖPING</t>
        </is>
      </c>
      <c r="I643" t="n">
        <v>7.9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26687-2026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46184</v>
      </c>
      <c r="E644" s="1" t="n">
        <v>46224</v>
      </c>
      <c r="F644" t="inlineStr">
        <is>
          <t>SÖDERMANLANDS LÄN</t>
        </is>
      </c>
      <c r="G644" t="inlineStr">
        <is>
          <t>NYKÖPING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46224</v>
      </c>
      <c r="F645" t="inlineStr">
        <is>
          <t>SÖDERMANLANDS LÄN</t>
        </is>
      </c>
      <c r="G645" t="inlineStr">
        <is>
          <t>NYKÖPING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46224</v>
      </c>
      <c r="F646" t="inlineStr">
        <is>
          <t>SÖDERMANLANDS LÄN</t>
        </is>
      </c>
      <c r="G646" t="inlineStr">
        <is>
          <t>NYKÖPING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46224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45330</v>
      </c>
      <c r="E648" s="1" t="n">
        <v>46224</v>
      </c>
      <c r="F648" t="inlineStr">
        <is>
          <t>SÖDERMANLANDS LÄN</t>
        </is>
      </c>
      <c r="G648" t="inlineStr">
        <is>
          <t>NYKÖPING</t>
        </is>
      </c>
      <c r="I648" t="n">
        <v>10.9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45075</v>
      </c>
      <c r="E649" s="1" t="n">
        <v>46224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46224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21022-2026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46145</v>
      </c>
      <c r="E651" s="1" t="n">
        <v>46224</v>
      </c>
      <c r="F651" t="inlineStr">
        <is>
          <t>SÖDERMANLANDS LÄN</t>
        </is>
      </c>
      <c r="G651" t="inlineStr">
        <is>
          <t>NYKÖPING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24280-2022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44725</v>
      </c>
      <c r="E652" s="1" t="n">
        <v>46224</v>
      </c>
      <c r="F652" t="inlineStr">
        <is>
          <t>SÖDERMANLANDS LÄN</t>
        </is>
      </c>
      <c r="G652" t="inlineStr">
        <is>
          <t>NYKÖPING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7253-2022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44606</v>
      </c>
      <c r="E653" s="1" t="n">
        <v>46224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Allmännings- och besparingsskogar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67857-2021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44525</v>
      </c>
      <c r="E654" s="1" t="n">
        <v>46224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45110</v>
      </c>
      <c r="E655" s="1" t="n">
        <v>46224</v>
      </c>
      <c r="F655" t="inlineStr">
        <is>
          <t>SÖDERMANLANDS LÄN</t>
        </is>
      </c>
      <c r="G655" t="inlineStr">
        <is>
          <t>NYKÖPING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12812-2025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46224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44575</v>
      </c>
      <c r="E657" s="1" t="n">
        <v>46224</v>
      </c>
      <c r="F657" t="inlineStr">
        <is>
          <t>SÖDERMANLANDS LÄN</t>
        </is>
      </c>
      <c r="G657" t="inlineStr">
        <is>
          <t>NYKÖPING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53569-2022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44879</v>
      </c>
      <c r="E658" s="1" t="n">
        <v>46224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Övriga Aktiebolag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27206-2023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45096</v>
      </c>
      <c r="E659" s="1" t="n">
        <v>46224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Övriga Aktiebolag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44958</v>
      </c>
      <c r="E660" s="1" t="n">
        <v>46224</v>
      </c>
      <c r="F660" t="inlineStr">
        <is>
          <t>SÖDERMANLANDS LÄN</t>
        </is>
      </c>
      <c r="G660" t="inlineStr">
        <is>
          <t>NYKÖPING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46145</v>
      </c>
      <c r="E661" s="1" t="n">
        <v>46224</v>
      </c>
      <c r="F661" t="inlineStr">
        <is>
          <t>SÖDERMANLANDS LÄN</t>
        </is>
      </c>
      <c r="G661" t="inlineStr">
        <is>
          <t>NYKÖPING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44946</v>
      </c>
      <c r="E662" s="1" t="n">
        <v>46224</v>
      </c>
      <c r="F662" t="inlineStr">
        <is>
          <t>SÖDERMANLANDS LÄN</t>
        </is>
      </c>
      <c r="G662" t="inlineStr">
        <is>
          <t>NYKÖPING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39149-2023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45166</v>
      </c>
      <c r="E663" s="1" t="n">
        <v>46224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59733-2021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44494</v>
      </c>
      <c r="E664" s="1" t="n">
        <v>46224</v>
      </c>
      <c r="F664" t="inlineStr">
        <is>
          <t>SÖDERMANLANDS LÄN</t>
        </is>
      </c>
      <c r="G664" t="inlineStr">
        <is>
          <t>NYKÖPING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44473-2021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44435</v>
      </c>
      <c r="E665" s="1" t="n">
        <v>46224</v>
      </c>
      <c r="F665" t="inlineStr">
        <is>
          <t>SÖDERMANLANDS LÄN</t>
        </is>
      </c>
      <c r="G665" t="inlineStr">
        <is>
          <t>NYKÖPING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30855-2023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45110</v>
      </c>
      <c r="E666" s="1" t="n">
        <v>46224</v>
      </c>
      <c r="F666" t="inlineStr">
        <is>
          <t>SÖDERMANLANDS LÄN</t>
        </is>
      </c>
      <c r="G666" t="inlineStr">
        <is>
          <t>NYKÖPING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42971-2021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44430</v>
      </c>
      <c r="E667" s="1" t="n">
        <v>46224</v>
      </c>
      <c r="F667" t="inlineStr">
        <is>
          <t>SÖDERMANLANDS LÄN</t>
        </is>
      </c>
      <c r="G667" t="inlineStr">
        <is>
          <t>NYKÖPING</t>
        </is>
      </c>
      <c r="I667" t="n">
        <v>9.4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21672-2026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46149</v>
      </c>
      <c r="E668" s="1" t="n">
        <v>46224</v>
      </c>
      <c r="F668" t="inlineStr">
        <is>
          <t>SÖDERMANLANDS LÄN</t>
        </is>
      </c>
      <c r="G668" t="inlineStr">
        <is>
          <t>NYKÖPING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21676-2026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46149</v>
      </c>
      <c r="E669" s="1" t="n">
        <v>46224</v>
      </c>
      <c r="F669" t="inlineStr">
        <is>
          <t>SÖDERMANLANDS LÄN</t>
        </is>
      </c>
      <c r="G669" t="inlineStr">
        <is>
          <t>NYKÖPING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33126-2023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45114</v>
      </c>
      <c r="E670" s="1" t="n">
        <v>46224</v>
      </c>
      <c r="F670" t="inlineStr">
        <is>
          <t>SÖDERMANLANDS LÄN</t>
        </is>
      </c>
      <c r="G670" t="inlineStr">
        <is>
          <t>NYKÖPING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50156-2021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44456</v>
      </c>
      <c r="E671" s="1" t="n">
        <v>46224</v>
      </c>
      <c r="F671" t="inlineStr">
        <is>
          <t>SÖDERMANLANDS LÄN</t>
        </is>
      </c>
      <c r="G671" t="inlineStr">
        <is>
          <t>NYKÖPING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41222-2023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45170</v>
      </c>
      <c r="E672" s="1" t="n">
        <v>46224</v>
      </c>
      <c r="F672" t="inlineStr">
        <is>
          <t>SÖDERMANLANDS LÄN</t>
        </is>
      </c>
      <c r="G672" t="inlineStr">
        <is>
          <t>NYKÖPING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58281-2022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44901</v>
      </c>
      <c r="E673" s="1" t="n">
        <v>46224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18478-2025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45762</v>
      </c>
      <c r="E674" s="1" t="n">
        <v>46224</v>
      </c>
      <c r="F674" t="inlineStr">
        <is>
          <t>SÖDERMANLANDS LÄN</t>
        </is>
      </c>
      <c r="G674" t="inlineStr">
        <is>
          <t>NYKÖPING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9074-2026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46224</v>
      </c>
      <c r="F675" t="inlineStr">
        <is>
          <t>SÖDERMANLANDS LÄN</t>
        </is>
      </c>
      <c r="G675" t="inlineStr">
        <is>
          <t>NYKÖPING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13858-2022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44649</v>
      </c>
      <c r="E676" s="1" t="n">
        <v>46224</v>
      </c>
      <c r="F676" t="inlineStr">
        <is>
          <t>SÖDERMANLANDS LÄN</t>
        </is>
      </c>
      <c r="G676" t="inlineStr">
        <is>
          <t>NYKÖPING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51725-2021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44462</v>
      </c>
      <c r="E677" s="1" t="n">
        <v>46224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44944</v>
      </c>
      <c r="E678" s="1" t="n">
        <v>46224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Sveaskog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33653-2024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45520</v>
      </c>
      <c r="E679" s="1" t="n">
        <v>46224</v>
      </c>
      <c r="F679" t="inlineStr">
        <is>
          <t>SÖDERMANLANDS LÄN</t>
        </is>
      </c>
      <c r="G679" t="inlineStr">
        <is>
          <t>NYKÖPING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28137-2026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46224</v>
      </c>
      <c r="F680" t="inlineStr">
        <is>
          <t>SÖDERMANLANDS LÄN</t>
        </is>
      </c>
      <c r="G680" t="inlineStr">
        <is>
          <t>NYKÖPING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61007-2021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44497</v>
      </c>
      <c r="E681" s="1" t="n">
        <v>46224</v>
      </c>
      <c r="F681" t="inlineStr">
        <is>
          <t>SÖDERMANLANDS LÄN</t>
        </is>
      </c>
      <c r="G681" t="inlineStr">
        <is>
          <t>NYKÖPING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60512-2021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44496</v>
      </c>
      <c r="E682" s="1" t="n">
        <v>46224</v>
      </c>
      <c r="F682" t="inlineStr">
        <is>
          <t>SÖDERMANLANDS LÄN</t>
        </is>
      </c>
      <c r="G682" t="inlineStr">
        <is>
          <t>NYKÖPING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31424-2022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44774</v>
      </c>
      <c r="E683" s="1" t="n">
        <v>46224</v>
      </c>
      <c r="F683" t="inlineStr">
        <is>
          <t>SÖDERMANLANDS LÄN</t>
        </is>
      </c>
      <c r="G683" t="inlineStr">
        <is>
          <t>NYKÖPING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42368-2024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45564</v>
      </c>
      <c r="E684" s="1" t="n">
        <v>46224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23207-2024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45452</v>
      </c>
      <c r="E685" s="1" t="n">
        <v>46224</v>
      </c>
      <c r="F685" t="inlineStr">
        <is>
          <t>SÖDERMANLANDS LÄN</t>
        </is>
      </c>
      <c r="G685" t="inlineStr">
        <is>
          <t>NYKÖPING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46224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4124-2025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46224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21480-2024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45441</v>
      </c>
      <c r="E688" s="1" t="n">
        <v>46224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45537</v>
      </c>
      <c r="E689" s="1" t="n">
        <v>46224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Kommuner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22475-2026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46155</v>
      </c>
      <c r="E690" s="1" t="n">
        <v>46224</v>
      </c>
      <c r="F690" t="inlineStr">
        <is>
          <t>SÖDERMANLANDS LÄN</t>
        </is>
      </c>
      <c r="G690" t="inlineStr">
        <is>
          <t>NYKÖPING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45667</v>
      </c>
      <c r="E691" s="1" t="n">
        <v>46224</v>
      </c>
      <c r="F691" t="inlineStr">
        <is>
          <t>SÖDERMANLANDS LÄN</t>
        </is>
      </c>
      <c r="G691" t="inlineStr">
        <is>
          <t>NYKÖPING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32837-2022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44784</v>
      </c>
      <c r="E692" s="1" t="n">
        <v>46224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27894-2023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45098</v>
      </c>
      <c r="E693" s="1" t="n">
        <v>46224</v>
      </c>
      <c r="F693" t="inlineStr">
        <is>
          <t>SÖDERMANLANDS LÄN</t>
        </is>
      </c>
      <c r="G693" t="inlineStr">
        <is>
          <t>NYKÖPING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8378-2024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45351</v>
      </c>
      <c r="E694" s="1" t="n">
        <v>46224</v>
      </c>
      <c r="F694" t="inlineStr">
        <is>
          <t>SÖDERMANLANDS LÄN</t>
        </is>
      </c>
      <c r="G694" t="inlineStr">
        <is>
          <t>NYKÖPING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17247-2025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46224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18918-2023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45044</v>
      </c>
      <c r="E696" s="1" t="n">
        <v>46224</v>
      </c>
      <c r="F696" t="inlineStr">
        <is>
          <t>SÖDERMANLANDS LÄN</t>
        </is>
      </c>
      <c r="G696" t="inlineStr">
        <is>
          <t>NYKÖPING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18926-2023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45044</v>
      </c>
      <c r="E697" s="1" t="n">
        <v>46224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13027-2024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45385</v>
      </c>
      <c r="E698" s="1" t="n">
        <v>46224</v>
      </c>
      <c r="F698" t="inlineStr">
        <is>
          <t>SÖDERMANLANDS LÄN</t>
        </is>
      </c>
      <c r="G698" t="inlineStr">
        <is>
          <t>NYKÖPING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21142-2023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45062</v>
      </c>
      <c r="E699" s="1" t="n">
        <v>46224</v>
      </c>
      <c r="F699" t="inlineStr">
        <is>
          <t>SÖDERMANLANDS LÄN</t>
        </is>
      </c>
      <c r="G699" t="inlineStr">
        <is>
          <t>NYKÖPING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65231-2023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45289</v>
      </c>
      <c r="E700" s="1" t="n">
        <v>46224</v>
      </c>
      <c r="F700" t="inlineStr">
        <is>
          <t>SÖDERMANLANDS LÄN</t>
        </is>
      </c>
      <c r="G700" t="inlineStr">
        <is>
          <t>NYKÖPING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70749-2021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44536</v>
      </c>
      <c r="E701" s="1" t="n">
        <v>46224</v>
      </c>
      <c r="F701" t="inlineStr">
        <is>
          <t>SÖDERMANLANDS LÄN</t>
        </is>
      </c>
      <c r="G701" t="inlineStr">
        <is>
          <t>NYKÖPING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31868-2023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45107</v>
      </c>
      <c r="E702" s="1" t="n">
        <v>46224</v>
      </c>
      <c r="F702" t="inlineStr">
        <is>
          <t>SÖDERMANLANDS LÄN</t>
        </is>
      </c>
      <c r="G702" t="inlineStr">
        <is>
          <t>NYKÖPING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45940</v>
      </c>
      <c r="E703" s="1" t="n">
        <v>46224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Sveaskog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51530-2022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44869</v>
      </c>
      <c r="E704" s="1" t="n">
        <v>46224</v>
      </c>
      <c r="F704" t="inlineStr">
        <is>
          <t>SÖDERMANLANDS LÄN</t>
        </is>
      </c>
      <c r="G704" t="inlineStr">
        <is>
          <t>NYKÖPING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72679-2021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44546</v>
      </c>
      <c r="E705" s="1" t="n">
        <v>46224</v>
      </c>
      <c r="F705" t="inlineStr">
        <is>
          <t>SÖDERMANLANDS LÄN</t>
        </is>
      </c>
      <c r="G705" t="inlineStr">
        <is>
          <t>NYKÖPING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56491-2022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44893</v>
      </c>
      <c r="E706" s="1" t="n">
        <v>46224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Övriga Aktiebolag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8299-2024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45350</v>
      </c>
      <c r="E707" s="1" t="n">
        <v>46224</v>
      </c>
      <c r="F707" t="inlineStr">
        <is>
          <t>SÖDERMANLANDS LÄN</t>
        </is>
      </c>
      <c r="G707" t="inlineStr">
        <is>
          <t>NYKÖPING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8340-2023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44976</v>
      </c>
      <c r="E708" s="1" t="n">
        <v>46224</v>
      </c>
      <c r="F708" t="inlineStr">
        <is>
          <t>SÖDERMANLANDS LÄN</t>
        </is>
      </c>
      <c r="G708" t="inlineStr">
        <is>
          <t>NYKÖPING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50698-2024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45602</v>
      </c>
      <c r="E709" s="1" t="n">
        <v>46224</v>
      </c>
      <c r="F709" t="inlineStr">
        <is>
          <t>SÖDERMANLANDS LÄN</t>
        </is>
      </c>
      <c r="G709" t="inlineStr">
        <is>
          <t>NYKÖPING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48459-2021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44452</v>
      </c>
      <c r="E710" s="1" t="n">
        <v>46224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44585</v>
      </c>
      <c r="E711" s="1" t="n">
        <v>46224</v>
      </c>
      <c r="F711" t="inlineStr">
        <is>
          <t>SÖDERMANLANDS LÄN</t>
        </is>
      </c>
      <c r="G711" t="inlineStr">
        <is>
          <t>NYKÖPING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46224</v>
      </c>
      <c r="F712" t="inlineStr">
        <is>
          <t>SÖDERMANLANDS LÄN</t>
        </is>
      </c>
      <c r="G712" t="inlineStr">
        <is>
          <t>NYKÖPING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46224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46224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46161</v>
      </c>
      <c r="E715" s="1" t="n">
        <v>46224</v>
      </c>
      <c r="F715" t="inlineStr">
        <is>
          <t>SÖDERMANLANDS LÄN</t>
        </is>
      </c>
      <c r="G715" t="inlineStr">
        <is>
          <t>NYKÖPING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44960</v>
      </c>
      <c r="E716" s="1" t="n">
        <v>46224</v>
      </c>
      <c r="F716" t="inlineStr">
        <is>
          <t>SÖDERMANLANDS LÄN</t>
        </is>
      </c>
      <c r="G716" t="inlineStr">
        <is>
          <t>NYKÖPING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10981-2024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45370</v>
      </c>
      <c r="E717" s="1" t="n">
        <v>46224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Kommuner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11755-2026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46224</v>
      </c>
      <c r="F718" t="inlineStr">
        <is>
          <t>SÖDERMANLANDS LÄN</t>
        </is>
      </c>
      <c r="G718" t="inlineStr">
        <is>
          <t>NYKÖPING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30198-2022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44757</v>
      </c>
      <c r="E719" s="1" t="n">
        <v>46224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42525-2023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45181</v>
      </c>
      <c r="E720" s="1" t="n">
        <v>46224</v>
      </c>
      <c r="F720" t="inlineStr">
        <is>
          <t>SÖDERMANLANDS LÄN</t>
        </is>
      </c>
      <c r="G720" t="inlineStr">
        <is>
          <t>NYKÖPING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46072</v>
      </c>
      <c r="E721" s="1" t="n">
        <v>46224</v>
      </c>
      <c r="F721" t="inlineStr">
        <is>
          <t>SÖDERMANLANDS LÄN</t>
        </is>
      </c>
      <c r="G721" t="inlineStr">
        <is>
          <t>NYKÖPING</t>
        </is>
      </c>
      <c r="I721" t="n">
        <v>10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46224</v>
      </c>
      <c r="F722" t="inlineStr">
        <is>
          <t>SÖDERMANLANDS LÄN</t>
        </is>
      </c>
      <c r="G722" t="inlineStr">
        <is>
          <t>NYKÖPING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4877-2024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46224</v>
      </c>
      <c r="F723" t="inlineStr">
        <is>
          <t>SÖDERMANLANDS LÄN</t>
        </is>
      </c>
      <c r="G723" t="inlineStr">
        <is>
          <t>NYKÖPING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56851-2025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45978</v>
      </c>
      <c r="E724" s="1" t="n">
        <v>46224</v>
      </c>
      <c r="F724" t="inlineStr">
        <is>
          <t>SÖDERMANLANDS LÄN</t>
        </is>
      </c>
      <c r="G724" t="inlineStr">
        <is>
          <t>NYKÖPING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56770-2025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45978</v>
      </c>
      <c r="E725" s="1" t="n">
        <v>46224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52551-2023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46224</v>
      </c>
      <c r="F726" t="inlineStr">
        <is>
          <t>SÖDERMANLANDS LÄN</t>
        </is>
      </c>
      <c r="G726" t="inlineStr">
        <is>
          <t>NYKÖPING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23637-2026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46163</v>
      </c>
      <c r="E727" s="1" t="n">
        <v>46224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Kyrkan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56845-2025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45978</v>
      </c>
      <c r="E728" s="1" t="n">
        <v>46224</v>
      </c>
      <c r="F728" t="inlineStr">
        <is>
          <t>SÖDERMANLANDS LÄN</t>
        </is>
      </c>
      <c r="G728" t="inlineStr">
        <is>
          <t>NYKÖPING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51259-2024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45603</v>
      </c>
      <c r="E729" s="1" t="n">
        <v>46224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Sveaskog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48819-2021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44452</v>
      </c>
      <c r="E730" s="1" t="n">
        <v>46224</v>
      </c>
      <c r="F730" t="inlineStr">
        <is>
          <t>SÖDERMANLANDS LÄN</t>
        </is>
      </c>
      <c r="G730" t="inlineStr">
        <is>
          <t>NYKÖPING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46224</v>
      </c>
      <c r="F731" t="inlineStr">
        <is>
          <t>SÖDERMANLANDS LÄN</t>
        </is>
      </c>
      <c r="G731" t="inlineStr">
        <is>
          <t>NYKÖPING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44949</v>
      </c>
      <c r="E732" s="1" t="n">
        <v>46224</v>
      </c>
      <c r="F732" t="inlineStr">
        <is>
          <t>SÖDERMANLANDS LÄN</t>
        </is>
      </c>
      <c r="G732" t="inlineStr">
        <is>
          <t>NYKÖPING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58685-2025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45986</v>
      </c>
      <c r="E733" s="1" t="n">
        <v>46224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56322-2023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45243</v>
      </c>
      <c r="E734" s="1" t="n">
        <v>46224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Kommuner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32875-2022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44784</v>
      </c>
      <c r="E735" s="1" t="n">
        <v>46224</v>
      </c>
      <c r="F735" t="inlineStr">
        <is>
          <t>SÖDERMANLANDS LÄN</t>
        </is>
      </c>
      <c r="G735" t="inlineStr">
        <is>
          <t>NYKÖPING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51689-2021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44462</v>
      </c>
      <c r="E736" s="1" t="n">
        <v>46224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Sveaskog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72666-2021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44546</v>
      </c>
      <c r="E737" s="1" t="n">
        <v>46224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46224</v>
      </c>
      <c r="F738" t="inlineStr">
        <is>
          <t>SÖDERMANLANDS LÄN</t>
        </is>
      </c>
      <c r="G738" t="inlineStr">
        <is>
          <t>NYKÖPING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38410-2022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44812</v>
      </c>
      <c r="E739" s="1" t="n">
        <v>46224</v>
      </c>
      <c r="F739" t="inlineStr">
        <is>
          <t>SÖDERMANLANDS LÄN</t>
        </is>
      </c>
      <c r="G739" t="inlineStr">
        <is>
          <t>NYKÖPING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55983-2021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44477</v>
      </c>
      <c r="E740" s="1" t="n">
        <v>46224</v>
      </c>
      <c r="F740" t="inlineStr">
        <is>
          <t>SÖDERMANLANDS LÄN</t>
        </is>
      </c>
      <c r="G740" t="inlineStr">
        <is>
          <t>NYKÖPING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44575</v>
      </c>
      <c r="E741" s="1" t="n">
        <v>46224</v>
      </c>
      <c r="F741" t="inlineStr">
        <is>
          <t>SÖDERMANLANDS LÄN</t>
        </is>
      </c>
      <c r="G741" t="inlineStr">
        <is>
          <t>NYKÖPING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45721</v>
      </c>
      <c r="E742" s="1" t="n">
        <v>46224</v>
      </c>
      <c r="F742" t="inlineStr">
        <is>
          <t>SÖDERMANLANDS LÄN</t>
        </is>
      </c>
      <c r="G742" t="inlineStr">
        <is>
          <t>NYKÖPING</t>
        </is>
      </c>
      <c r="I742" t="n">
        <v>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45132</v>
      </c>
      <c r="E743" s="1" t="n">
        <v>46224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33670-2023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45132</v>
      </c>
      <c r="E744" s="1" t="n">
        <v>46224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46224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Kyrkan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46086</v>
      </c>
      <c r="E746" s="1" t="n">
        <v>46224</v>
      </c>
      <c r="F746" t="inlineStr">
        <is>
          <t>SÖDERMANLANDS LÄN</t>
        </is>
      </c>
      <c r="G746" t="inlineStr">
        <is>
          <t>NYKÖPING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2513-2022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44579</v>
      </c>
      <c r="E747" s="1" t="n">
        <v>46224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52258-2023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45224</v>
      </c>
      <c r="E748" s="1" t="n">
        <v>46224</v>
      </c>
      <c r="F748" t="inlineStr">
        <is>
          <t>SÖDERMANLANDS LÄN</t>
        </is>
      </c>
      <c r="G748" t="inlineStr">
        <is>
          <t>NYKÖPING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46120</v>
      </c>
      <c r="E749" s="1" t="n">
        <v>46224</v>
      </c>
      <c r="F749" t="inlineStr">
        <is>
          <t>SÖDERMANLANDS LÄN</t>
        </is>
      </c>
      <c r="G749" t="inlineStr">
        <is>
          <t>NYKÖPING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21257-2023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45062</v>
      </c>
      <c r="E750" s="1" t="n">
        <v>46224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46169</v>
      </c>
      <c r="E751" s="1" t="n">
        <v>46224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Kyrkan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30720-2026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46211</v>
      </c>
      <c r="E752" s="1" t="n">
        <v>46224</v>
      </c>
      <c r="F752" t="inlineStr">
        <is>
          <t>SÖDERMANLANDS LÄN</t>
        </is>
      </c>
      <c r="G752" t="inlineStr">
        <is>
          <t>NYKÖPING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1558-2024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45306</v>
      </c>
      <c r="E753" s="1" t="n">
        <v>46224</v>
      </c>
      <c r="F753" t="inlineStr">
        <is>
          <t>SÖDERMANLANDS LÄN</t>
        </is>
      </c>
      <c r="G753" t="inlineStr">
        <is>
          <t>NYKÖPING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30695-2026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46211</v>
      </c>
      <c r="E754" s="1" t="n">
        <v>46224</v>
      </c>
      <c r="F754" t="inlineStr">
        <is>
          <t>SÖDERMANLANDS LÄN</t>
        </is>
      </c>
      <c r="G754" t="inlineStr">
        <is>
          <t>NYKÖPING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60210-2022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44910</v>
      </c>
      <c r="E755" s="1" t="n">
        <v>46224</v>
      </c>
      <c r="F755" t="inlineStr">
        <is>
          <t>SÖDERMANLANDS LÄN</t>
        </is>
      </c>
      <c r="G755" t="inlineStr">
        <is>
          <t>NYKÖPING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51410-2022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44869</v>
      </c>
      <c r="E756" s="1" t="n">
        <v>46224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61008-2023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45261</v>
      </c>
      <c r="E757" s="1" t="n">
        <v>46224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41735-2021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44425</v>
      </c>
      <c r="E758" s="1" t="n">
        <v>46224</v>
      </c>
      <c r="F758" t="inlineStr">
        <is>
          <t>SÖDERMANLANDS LÄN</t>
        </is>
      </c>
      <c r="G758" t="inlineStr">
        <is>
          <t>NYKÖPING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44938</v>
      </c>
      <c r="E759" s="1" t="n">
        <v>46224</v>
      </c>
      <c r="F759" t="inlineStr">
        <is>
          <t>SÖDERMANLANDS LÄN</t>
        </is>
      </c>
      <c r="G759" t="inlineStr">
        <is>
          <t>NYKÖPING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14848-2024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45398</v>
      </c>
      <c r="E760" s="1" t="n">
        <v>46224</v>
      </c>
      <c r="F760" t="inlineStr">
        <is>
          <t>SÖDERMANLANDS LÄN</t>
        </is>
      </c>
      <c r="G760" t="inlineStr">
        <is>
          <t>NYKÖPING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2041-2022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44575</v>
      </c>
      <c r="E761" s="1" t="n">
        <v>46224</v>
      </c>
      <c r="F761" t="inlineStr">
        <is>
          <t>SÖDERMANLANDS LÄN</t>
        </is>
      </c>
      <c r="G761" t="inlineStr">
        <is>
          <t>NYKÖPING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57028-2024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45628</v>
      </c>
      <c r="E762" s="1" t="n">
        <v>46224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21249-2023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45062</v>
      </c>
      <c r="E763" s="1" t="n">
        <v>46224</v>
      </c>
      <c r="F763" t="inlineStr">
        <is>
          <t>SÖDERMANLANDS LÄN</t>
        </is>
      </c>
      <c r="G763" t="inlineStr">
        <is>
          <t>NYKÖPING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2255-2024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45310</v>
      </c>
      <c r="E764" s="1" t="n">
        <v>46224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14370-2022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44652</v>
      </c>
      <c r="E765" s="1" t="n">
        <v>46224</v>
      </c>
      <c r="F765" t="inlineStr">
        <is>
          <t>SÖDERMANLANDS LÄN</t>
        </is>
      </c>
      <c r="G765" t="inlineStr">
        <is>
          <t>NYKÖPING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3571-2023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44950</v>
      </c>
      <c r="E766" s="1" t="n">
        <v>46224</v>
      </c>
      <c r="F766" t="inlineStr">
        <is>
          <t>SÖDERMANLANDS LÄN</t>
        </is>
      </c>
      <c r="G766" t="inlineStr">
        <is>
          <t>NYKÖPING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8407-2023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44977</v>
      </c>
      <c r="E767" s="1" t="n">
        <v>46224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Övriga Aktiebolag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44932</v>
      </c>
      <c r="E768" s="1" t="n">
        <v>46224</v>
      </c>
      <c r="F768" t="inlineStr">
        <is>
          <t>SÖDERMANLANDS LÄN</t>
        </is>
      </c>
      <c r="G768" t="inlineStr">
        <is>
          <t>NYKÖPING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44932</v>
      </c>
      <c r="E769" s="1" t="n">
        <v>46224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41241-2023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45173</v>
      </c>
      <c r="E770" s="1" t="n">
        <v>46224</v>
      </c>
      <c r="F770" t="inlineStr">
        <is>
          <t>SÖDERMANLANDS LÄN</t>
        </is>
      </c>
      <c r="G770" t="inlineStr">
        <is>
          <t>NYKÖPING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24497-2025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45798</v>
      </c>
      <c r="E771" s="1" t="n">
        <v>46224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53800-2022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44880</v>
      </c>
      <c r="E772" s="1" t="n">
        <v>46224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18123-2023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45040</v>
      </c>
      <c r="E773" s="1" t="n">
        <v>46224</v>
      </c>
      <c r="F773" t="inlineStr">
        <is>
          <t>SÖDERMANLANDS LÄN</t>
        </is>
      </c>
      <c r="G773" t="inlineStr">
        <is>
          <t>NYKÖPING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13967-2026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46224</v>
      </c>
      <c r="F774" t="inlineStr">
        <is>
          <t>SÖDERMANLANDS LÄN</t>
        </is>
      </c>
      <c r="G774" t="inlineStr">
        <is>
          <t>NYKÖPING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45855</v>
      </c>
      <c r="E775" s="1" t="n">
        <v>46224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58496-2025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45985</v>
      </c>
      <c r="E776" s="1" t="n">
        <v>46224</v>
      </c>
      <c r="F776" t="inlineStr">
        <is>
          <t>SÖDERMANLANDS LÄN</t>
        </is>
      </c>
      <c r="G776" t="inlineStr">
        <is>
          <t>NYKÖPING</t>
        </is>
      </c>
      <c r="I776" t="n">
        <v>9.699999999999999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24197-2022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44725</v>
      </c>
      <c r="E777" s="1" t="n">
        <v>46224</v>
      </c>
      <c r="F777" t="inlineStr">
        <is>
          <t>SÖDERMANLANDS LÄN</t>
        </is>
      </c>
      <c r="G777" t="inlineStr">
        <is>
          <t>NYKÖPING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25403-2026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46224</v>
      </c>
      <c r="F778" t="inlineStr">
        <is>
          <t>SÖDERMANLANDS LÄN</t>
        </is>
      </c>
      <c r="G778" t="inlineStr">
        <is>
          <t>NYKÖPING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32928-2022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44784</v>
      </c>
      <c r="E779" s="1" t="n">
        <v>46224</v>
      </c>
      <c r="F779" t="inlineStr">
        <is>
          <t>SÖDERMANLANDS LÄN</t>
        </is>
      </c>
      <c r="G779" t="inlineStr">
        <is>
          <t>NYKÖPING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16457-2023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45029</v>
      </c>
      <c r="E780" s="1" t="n">
        <v>46224</v>
      </c>
      <c r="F780" t="inlineStr">
        <is>
          <t>SÖDERMANLANDS LÄN</t>
        </is>
      </c>
      <c r="G780" t="inlineStr">
        <is>
          <t>NYKÖPING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65174-2023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45288</v>
      </c>
      <c r="E781" s="1" t="n">
        <v>46224</v>
      </c>
      <c r="F781" t="inlineStr">
        <is>
          <t>SÖDERMANLANDS LÄN</t>
        </is>
      </c>
      <c r="G781" t="inlineStr">
        <is>
          <t>NYKÖPING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49223-2022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44858</v>
      </c>
      <c r="E782" s="1" t="n">
        <v>46224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Övriga statliga verk och myndigheter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25334-2026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46176</v>
      </c>
      <c r="E783" s="1" t="n">
        <v>46224</v>
      </c>
      <c r="F783" t="inlineStr">
        <is>
          <t>SÖDERMANLANDS LÄN</t>
        </is>
      </c>
      <c r="G783" t="inlineStr">
        <is>
          <t>NYKÖPING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25336-2026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46224</v>
      </c>
      <c r="F784" t="inlineStr">
        <is>
          <t>SÖDERMANLANDS LÄN</t>
        </is>
      </c>
      <c r="G784" t="inlineStr">
        <is>
          <t>NYKÖPING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7036-2023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44968</v>
      </c>
      <c r="E785" s="1" t="n">
        <v>46224</v>
      </c>
      <c r="F785" t="inlineStr">
        <is>
          <t>SÖDERMANLANDS LÄN</t>
        </is>
      </c>
      <c r="G785" t="inlineStr">
        <is>
          <t>NYKÖPING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45160</v>
      </c>
      <c r="E786" s="1" t="n">
        <v>46224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38063-2023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45160</v>
      </c>
      <c r="E787" s="1" t="n">
        <v>46224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Kommuner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45686</v>
      </c>
      <c r="E788" s="1" t="n">
        <v>46224</v>
      </c>
      <c r="F788" t="inlineStr">
        <is>
          <t>SÖDERMANLANDS LÄN</t>
        </is>
      </c>
      <c r="G788" t="inlineStr">
        <is>
          <t>NYKÖPING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3193-2022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44582</v>
      </c>
      <c r="E789" s="1" t="n">
        <v>46224</v>
      </c>
      <c r="F789" t="inlineStr">
        <is>
          <t>SÖDERMANLANDS LÄN</t>
        </is>
      </c>
      <c r="G789" t="inlineStr">
        <is>
          <t>NYKÖPING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11554-2025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46224</v>
      </c>
      <c r="F790" t="inlineStr">
        <is>
          <t>SÖDERMANLANDS LÄN</t>
        </is>
      </c>
      <c r="G790" t="inlineStr">
        <is>
          <t>NYKÖPING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10287-2024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45365</v>
      </c>
      <c r="E791" s="1" t="n">
        <v>46224</v>
      </c>
      <c r="F791" t="inlineStr">
        <is>
          <t>SÖDERMANLANDS LÄN</t>
        </is>
      </c>
      <c r="G791" t="inlineStr">
        <is>
          <t>NYKÖPING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31469-2026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46222</v>
      </c>
      <c r="E792" s="1" t="n">
        <v>46224</v>
      </c>
      <c r="F792" t="inlineStr">
        <is>
          <t>SÖDERMANLANDS LÄN</t>
        </is>
      </c>
      <c r="G792" t="inlineStr">
        <is>
          <t>NYKÖPING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46131</v>
      </c>
      <c r="E793" s="1" t="n">
        <v>46224</v>
      </c>
      <c r="F793" t="inlineStr">
        <is>
          <t>SÖDERMANLANDS LÄN</t>
        </is>
      </c>
      <c r="G793" t="inlineStr">
        <is>
          <t>NYKÖPING</t>
        </is>
      </c>
      <c r="I793" t="n">
        <v>12.4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1638-2024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45306</v>
      </c>
      <c r="E794" s="1" t="n">
        <v>46224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Kommuner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65172-2023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45288</v>
      </c>
      <c r="E795" s="1" t="n">
        <v>46224</v>
      </c>
      <c r="F795" t="inlineStr">
        <is>
          <t>SÖDERMANLANDS LÄN</t>
        </is>
      </c>
      <c r="G795" t="inlineStr">
        <is>
          <t>NYKÖPING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38922-2024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45547</v>
      </c>
      <c r="E796" s="1" t="n">
        <v>46224</v>
      </c>
      <c r="F796" t="inlineStr">
        <is>
          <t>SÖDERMANLANDS LÄN</t>
        </is>
      </c>
      <c r="G796" t="inlineStr">
        <is>
          <t>NYKÖPING</t>
        </is>
      </c>
      <c r="I796" t="n">
        <v>10.3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11908-2023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44995</v>
      </c>
      <c r="E797" s="1" t="n">
        <v>46224</v>
      </c>
      <c r="F797" t="inlineStr">
        <is>
          <t>SÖDERMANLANDS LÄN</t>
        </is>
      </c>
      <c r="G797" t="inlineStr">
        <is>
          <t>NYKÖPING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44581</v>
      </c>
      <c r="E798" s="1" t="n">
        <v>46224</v>
      </c>
      <c r="F798" t="inlineStr">
        <is>
          <t>SÖDERMANLANDS LÄN</t>
        </is>
      </c>
      <c r="G798" t="inlineStr">
        <is>
          <t>NYKÖPING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45148</v>
      </c>
      <c r="E799" s="1" t="n">
        <v>46224</v>
      </c>
      <c r="F799" t="inlineStr">
        <is>
          <t>SÖDERMANLANDS LÄN</t>
        </is>
      </c>
      <c r="G799" t="inlineStr">
        <is>
          <t>NYKÖPING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8787-2025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45712</v>
      </c>
      <c r="E800" s="1" t="n">
        <v>46224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24285-2022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44725</v>
      </c>
      <c r="E801" s="1" t="n">
        <v>46224</v>
      </c>
      <c r="F801" t="inlineStr">
        <is>
          <t>SÖDERMANLANDS LÄN</t>
        </is>
      </c>
      <c r="G801" t="inlineStr">
        <is>
          <t>NYKÖPING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6491-2023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44966</v>
      </c>
      <c r="E802" s="1" t="n">
        <v>46224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Övriga Aktiebolag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71555-2021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44540</v>
      </c>
      <c r="E803" s="1" t="n">
        <v>46224</v>
      </c>
      <c r="F803" t="inlineStr">
        <is>
          <t>SÖDERMANLANDS LÄN</t>
        </is>
      </c>
      <c r="G803" t="inlineStr">
        <is>
          <t>NYKÖPING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45856-2021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44433</v>
      </c>
      <c r="E804" s="1" t="n">
        <v>46224</v>
      </c>
      <c r="F804" t="inlineStr">
        <is>
          <t>SÖDERMANLANDS LÄN</t>
        </is>
      </c>
      <c r="G804" t="inlineStr">
        <is>
          <t>NYKÖPING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17372-2023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46224</v>
      </c>
      <c r="F805" t="inlineStr">
        <is>
          <t>SÖDERMANLANDS LÄN</t>
        </is>
      </c>
      <c r="G805" t="inlineStr">
        <is>
          <t>NYKÖPING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42251-2022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44830</v>
      </c>
      <c r="E806" s="1" t="n">
        <v>46224</v>
      </c>
      <c r="F806" t="inlineStr">
        <is>
          <t>SÖDERMANLANDS LÄN</t>
        </is>
      </c>
      <c r="G806" t="inlineStr">
        <is>
          <t>NYKÖPING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36714-2023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45153</v>
      </c>
      <c r="E807" s="1" t="n">
        <v>46224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Kommuner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58857-2021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44489</v>
      </c>
      <c r="E808" s="1" t="n">
        <v>46224</v>
      </c>
      <c r="F808" t="inlineStr">
        <is>
          <t>SÖDERMANLANDS LÄN</t>
        </is>
      </c>
      <c r="G808" t="inlineStr">
        <is>
          <t>NYKÖPING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20482-2025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46224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Kommuner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44824-2023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45190</v>
      </c>
      <c r="E810" s="1" t="n">
        <v>46224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7045-2023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44968</v>
      </c>
      <c r="E811" s="1" t="n">
        <v>46224</v>
      </c>
      <c r="F811" t="inlineStr">
        <is>
          <t>SÖDERMANLANDS LÄN</t>
        </is>
      </c>
      <c r="G811" t="inlineStr">
        <is>
          <t>NYKÖPING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58553-2024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45635</v>
      </c>
      <c r="E812" s="1" t="n">
        <v>46224</v>
      </c>
      <c r="F812" t="inlineStr">
        <is>
          <t>SÖDERMANLANDS LÄN</t>
        </is>
      </c>
      <c r="G812" t="inlineStr">
        <is>
          <t>NYKÖPING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34203-2024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45524</v>
      </c>
      <c r="E813" s="1" t="n">
        <v>46224</v>
      </c>
      <c r="F813" t="inlineStr">
        <is>
          <t>SÖDERMANLANDS LÄN</t>
        </is>
      </c>
      <c r="G813" t="inlineStr">
        <is>
          <t>NYKÖPING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46224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46224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46224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46224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46224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46224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46224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46224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46224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46224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46224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46224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2026-07-21T01:34:23Z</dcterms:created>
  <dcterms:modified xmlns:dcterms="http://purl.org/dc/terms/" xmlns:xsi="http://www.w3.org/2001/XMLSchema-instance" xsi:type="dcterms:W3CDTF">2026-07-21T01:34:24Z</dcterms:modified>
</cp:coreProperties>
</file>