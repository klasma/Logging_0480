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46315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46315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46315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46315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46315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46315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46315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46315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46315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46315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46315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46315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46315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46315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46315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46315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46315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46315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46315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46315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46315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33265-2024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46315</v>
      </c>
      <c r="F26" t="inlineStr">
        <is>
          <t>SÖDERMANLANDS LÄN</t>
        </is>
      </c>
      <c r="G26" t="inlineStr">
        <is>
          <t>NYKÖPING</t>
        </is>
      </c>
      <c r="I26" t="n">
        <v>7.8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7</v>
      </c>
      <c r="U26" t="n">
        <v>7</v>
      </c>
      <c r="V26" s="2" t="inlineStr">
        <is>
          <t>Knärot
Fjällig taggsvamp s.str.
Granbarkgnagare
Blåsippa</t>
        </is>
      </c>
      <c r="W26">
        <f>HYPERLINK("https://klasma.github.io/Logging_0480/artfynd/A 33265-2024 artfynd.xlsx", "A 33265-2024")</f>
        <v/>
      </c>
      <c r="X26">
        <f>HYPERLINK("https://klasma.github.io/Logging_0480/kartor/A 33265-2024 karta.png", "A 33265-2024")</f>
        <v/>
      </c>
      <c r="Y26">
        <f>HYPERLINK("https://klasma.github.io/Logging_0480/kartor_geotiff/A 33265-2024 georefererad karta.tif", "A 33265-2024")</f>
        <v/>
      </c>
      <c r="Z26">
        <f>HYPERLINK("https://klasma.github.io/Logging_0480/knärot/A 33265-2024 karta knärot.png", "A 33265-2024")</f>
        <v/>
      </c>
      <c r="AA26">
        <f>HYPERLINK("https://klasma.github.io/Logging_0480/klagomål/A 33265-2024 FSC-klagomål.docx", "A 33265-2024")</f>
        <v/>
      </c>
      <c r="AB26">
        <f>HYPERLINK("https://klasma.github.io/Logging_0480/klagomålsmail/A 33265-2024 FSC-klagomål mail.docx", "A 33265-2024")</f>
        <v/>
      </c>
      <c r="AC26">
        <f>HYPERLINK("https://klasma.github.io/Logging_0480/tillsyn/A 33265-2024 tillsynsbegäran.docx", "A 33265-2024")</f>
        <v/>
      </c>
      <c r="AD26">
        <f>HYPERLINK("https://klasma.github.io/Logging_0480/tillsynsmail/A 33265-2024 tillsynsbegäran mail.docx", "A 33265-2024")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46315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46315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46315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46315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46315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11640-2022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44631</v>
      </c>
      <c r="E32" s="1" t="n">
        <v>46315</v>
      </c>
      <c r="F32" t="inlineStr">
        <is>
          <t>SÖDERMANLANDS LÄN</t>
        </is>
      </c>
      <c r="G32" t="inlineStr">
        <is>
          <t>NYKÖPING</t>
        </is>
      </c>
      <c r="H32" t="inlineStr">
        <is>
          <t>Kyrkan</t>
        </is>
      </c>
      <c r="I32" t="n">
        <v>7.6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Fjällig taggsvamp s.str.
Granbarkgnagare
Grovticka</t>
        </is>
      </c>
      <c r="W32">
        <f>HYPERLINK("https://klasma.github.io/Logging_0480/artfynd/A 11640-2022 artfynd.xlsx", "A 11640-2022")</f>
        <v/>
      </c>
      <c r="X32">
        <f>HYPERLINK("https://klasma.github.io/Logging_0480/kartor/A 11640-2022 karta.png", "A 11640-2022")</f>
        <v/>
      </c>
      <c r="Y32">
        <f>HYPERLINK("https://klasma.github.io/Logging_0480/kartor_geotiff/A 11640-2022 georefererad karta.tif", "A 11640-2022")</f>
        <v/>
      </c>
      <c r="AA32">
        <f>HYPERLINK("https://klasma.github.io/Logging_0480/klagomål/A 11640-2022 FSC-klagomål.docx", "A 11640-2022")</f>
        <v/>
      </c>
      <c r="AB32">
        <f>HYPERLINK("https://klasma.github.io/Logging_0480/klagomålsmail/A 11640-2022 FSC-klagomål mail.docx", "A 11640-2022")</f>
        <v/>
      </c>
      <c r="AC32">
        <f>HYPERLINK("https://klasma.github.io/Logging_0480/tillsyn/A 11640-2022 tillsynsbegäran.docx", "A 11640-2022")</f>
        <v/>
      </c>
      <c r="AD32">
        <f>HYPERLINK("https://klasma.github.io/Logging_0480/tillsynsmail/A 11640-2022 tillsynsbegäran mail.docx", "A 11640-2022")</f>
        <v/>
      </c>
    </row>
    <row r="33" ht="15" customHeight="1">
      <c r="A33" t="inlineStr">
        <is>
          <t>A 38203-2022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46315</v>
      </c>
      <c r="F33" t="inlineStr">
        <is>
          <t>SÖDERMANLANDS LÄN</t>
        </is>
      </c>
      <c r="G33" t="inlineStr">
        <is>
          <t>NYKÖPING</t>
        </is>
      </c>
      <c r="I33" t="n">
        <v>1.9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Gulsparv
Kösa
Linmåra/småsnärjmåra</t>
        </is>
      </c>
      <c r="W33">
        <f>HYPERLINK("https://klasma.github.io/Logging_0480/artfynd/A 38203-2022 artfynd.xlsx", "A 38203-2022")</f>
        <v/>
      </c>
      <c r="X33">
        <f>HYPERLINK("https://klasma.github.io/Logging_0480/kartor/A 38203-2022 karta.png", "A 38203-2022")</f>
        <v/>
      </c>
      <c r="Y33">
        <f>HYPERLINK("https://klasma.github.io/Logging_0480/kartor_geotiff/A 38203-2022 georefererad karta.tif", "A 38203-2022")</f>
        <v/>
      </c>
      <c r="AA33">
        <f>HYPERLINK("https://klasma.github.io/Logging_0480/klagomål/A 38203-2022 FSC-klagomål.docx", "A 38203-2022")</f>
        <v/>
      </c>
      <c r="AB33">
        <f>HYPERLINK("https://klasma.github.io/Logging_0480/klagomålsmail/A 38203-2022 FSC-klagomål mail.docx", "A 38203-2022")</f>
        <v/>
      </c>
      <c r="AC33">
        <f>HYPERLINK("https://klasma.github.io/Logging_0480/tillsyn/A 38203-2022 tillsynsbegäran.docx", "A 38203-2022")</f>
        <v/>
      </c>
      <c r="AD33">
        <f>HYPERLINK("https://klasma.github.io/Logging_0480/tillsynsmail/A 38203-2022 tillsynsbegäran mail.docx", "A 38203-2022")</f>
        <v/>
      </c>
      <c r="AE33">
        <f>HYPERLINK("https://klasma.github.io/Logging_0480/fåglar/A 38203-2022 prioriterade fågelarter.docx", "A 38203-2022")</f>
        <v/>
      </c>
    </row>
    <row r="34" ht="15" customHeight="1">
      <c r="A34" t="inlineStr">
        <is>
          <t>A 53573-2022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44879</v>
      </c>
      <c r="E34" s="1" t="n">
        <v>46315</v>
      </c>
      <c r="F34" t="inlineStr">
        <is>
          <t>SÖDERMANLANDS LÄN</t>
        </is>
      </c>
      <c r="G34" t="inlineStr">
        <is>
          <t>NYKÖPING</t>
        </is>
      </c>
      <c r="H34" t="inlineStr">
        <is>
          <t>Övriga Aktiebolag</t>
        </is>
      </c>
      <c r="I34" t="n">
        <v>9.199999999999999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Dofttaggsvamp
Fjällig taggsvamp s.str.
Sotvaxskivling</t>
        </is>
      </c>
      <c r="W34">
        <f>HYPERLINK("https://klasma.github.io/Logging_0480/artfynd/A 53573-2022 artfynd.xlsx", "A 53573-2022")</f>
        <v/>
      </c>
      <c r="X34">
        <f>HYPERLINK("https://klasma.github.io/Logging_0480/kartor/A 53573-2022 karta.png", "A 53573-2022")</f>
        <v/>
      </c>
      <c r="Y34">
        <f>HYPERLINK("https://klasma.github.io/Logging_0480/kartor_geotiff/A 53573-2022 georefererad karta.tif", "A 53573-2022")</f>
        <v/>
      </c>
      <c r="AA34">
        <f>HYPERLINK("https://klasma.github.io/Logging_0480/klagomål/A 53573-2022 FSC-klagomål.docx", "A 53573-2022")</f>
        <v/>
      </c>
      <c r="AB34">
        <f>HYPERLINK("https://klasma.github.io/Logging_0480/klagomålsmail/A 53573-2022 FSC-klagomål mail.docx", "A 53573-2022")</f>
        <v/>
      </c>
      <c r="AC34">
        <f>HYPERLINK("https://klasma.github.io/Logging_0480/tillsyn/A 53573-2022 tillsynsbegäran.docx", "A 53573-2022")</f>
        <v/>
      </c>
      <c r="AD34">
        <f>HYPERLINK("https://klasma.github.io/Logging_0480/tillsynsmail/A 53573-2022 tillsynsbegäran mail.docx", "A 53573-2022")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46315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57727-2025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45981</v>
      </c>
      <c r="E36" s="1" t="n">
        <v>46315</v>
      </c>
      <c r="F36" t="inlineStr">
        <is>
          <t>SÖDERMANLANDS LÄN</t>
        </is>
      </c>
      <c r="G36" t="inlineStr">
        <is>
          <t>NYKÖPING</t>
        </is>
      </c>
      <c r="I36" t="n">
        <v>9.6</v>
      </c>
      <c r="J36" t="n">
        <v>3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Grönsångare
Spillkråka
Trana</t>
        </is>
      </c>
      <c r="W36">
        <f>HYPERLINK("https://klasma.github.io/Logging_0480/artfynd/A 57727-2025 artfynd.xlsx", "A 57727-2025")</f>
        <v/>
      </c>
      <c r="X36">
        <f>HYPERLINK("https://klasma.github.io/Logging_0480/kartor/A 57727-2025 karta.png", "A 57727-2025")</f>
        <v/>
      </c>
      <c r="Y36">
        <f>HYPERLINK("https://klasma.github.io/Logging_0480/kartor_geotiff/A 57727-2025 georefererad karta.tif", "A 57727-2025")</f>
        <v/>
      </c>
      <c r="AA36">
        <f>HYPERLINK("https://klasma.github.io/Logging_0480/klagomål/A 57727-2025 FSC-klagomål.docx", "A 57727-2025")</f>
        <v/>
      </c>
      <c r="AB36">
        <f>HYPERLINK("https://klasma.github.io/Logging_0480/klagomålsmail/A 57727-2025 FSC-klagomål mail.docx", "A 57727-2025")</f>
        <v/>
      </c>
      <c r="AC36">
        <f>HYPERLINK("https://klasma.github.io/Logging_0480/tillsyn/A 57727-2025 tillsynsbegäran.docx", "A 57727-2025")</f>
        <v/>
      </c>
      <c r="AD36">
        <f>HYPERLINK("https://klasma.github.io/Logging_0480/tillsynsmail/A 57727-2025 tillsynsbegäran mail.docx", "A 57727-2025")</f>
        <v/>
      </c>
      <c r="AE36">
        <f>HYPERLINK("https://klasma.github.io/Logging_0480/fåglar/A 57727-2025 prioriterade fågelarter.docx", "A 57727-2025")</f>
        <v/>
      </c>
    </row>
    <row r="37" ht="15" customHeight="1">
      <c r="A37" t="inlineStr">
        <is>
          <t>A 24092-2026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46166</v>
      </c>
      <c r="E37" s="1" t="n">
        <v>46315</v>
      </c>
      <c r="F37" t="inlineStr">
        <is>
          <t>SÖDERMANLANDS LÄN</t>
        </is>
      </c>
      <c r="G37" t="inlineStr">
        <is>
          <t>NYKÖPING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Blåbär
Vildkaprifol
Ängskovall</t>
        </is>
      </c>
      <c r="W37">
        <f>HYPERLINK("https://klasma.github.io/Logging_0480/artfynd/A 24092-2026 artfynd.xlsx", "A 24092-2026")</f>
        <v/>
      </c>
      <c r="X37">
        <f>HYPERLINK("https://klasma.github.io/Logging_0480/kartor/A 24092-2026 karta.png", "A 24092-2026")</f>
        <v/>
      </c>
      <c r="Y37">
        <f>HYPERLINK("https://klasma.github.io/Logging_0480/kartor_geotiff/A 24092-2026 georefererad karta.tif", "A 24092-2026")</f>
        <v/>
      </c>
      <c r="AA37">
        <f>HYPERLINK("https://klasma.github.io/Logging_0480/klagomål/A 24092-2026 FSC-klagomål.docx", "A 24092-2026")</f>
        <v/>
      </c>
      <c r="AB37">
        <f>HYPERLINK("https://klasma.github.io/Logging_0480/klagomålsmail/A 24092-2026 FSC-klagomål mail.docx", "A 24092-2026")</f>
        <v/>
      </c>
      <c r="AC37">
        <f>HYPERLINK("https://klasma.github.io/Logging_0480/tillsyn/A 24092-2026 tillsynsbegäran.docx", "A 24092-2026")</f>
        <v/>
      </c>
      <c r="AD37">
        <f>HYPERLINK("https://klasma.github.io/Logging_0480/tillsynsmail/A 24092-2026 tillsynsbegäran mail.docx", "A 24092-2026")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46315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39740-2022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46315</v>
      </c>
      <c r="F39" t="inlineStr">
        <is>
          <t>SÖDERMANLANDS LÄN</t>
        </is>
      </c>
      <c r="G39" t="inlineStr">
        <is>
          <t>NYKÖPING</t>
        </is>
      </c>
      <c r="H39" t="inlineStr">
        <is>
          <t>Kommuner</t>
        </is>
      </c>
      <c r="I39" t="n">
        <v>3.4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Tallticka
Vågbandad barkbock
Blåsippa</t>
        </is>
      </c>
      <c r="W39">
        <f>HYPERLINK("https://klasma.github.io/Logging_0480/artfynd/A 39740-2022 artfynd.xlsx", "A 39740-2022")</f>
        <v/>
      </c>
      <c r="X39">
        <f>HYPERLINK("https://klasma.github.io/Logging_0480/kartor/A 39740-2022 karta.png", "A 39740-2022")</f>
        <v/>
      </c>
      <c r="Y39">
        <f>HYPERLINK("https://klasma.github.io/Logging_0480/kartor_geotiff/A 39740-2022 georefererad karta.tif", "A 39740-2022")</f>
        <v/>
      </c>
      <c r="AA39">
        <f>HYPERLINK("https://klasma.github.io/Logging_0480/klagomål/A 39740-2022 FSC-klagomål.docx", "A 39740-2022")</f>
        <v/>
      </c>
      <c r="AB39">
        <f>HYPERLINK("https://klasma.github.io/Logging_0480/klagomålsmail/A 39740-2022 FSC-klagomål mail.docx", "A 39740-2022")</f>
        <v/>
      </c>
      <c r="AC39">
        <f>HYPERLINK("https://klasma.github.io/Logging_0480/tillsyn/A 39740-2022 tillsynsbegäran.docx", "A 39740-2022")</f>
        <v/>
      </c>
      <c r="AD39">
        <f>HYPERLINK("https://klasma.github.io/Logging_0480/tillsynsmail/A 39740-2022 tillsynsbegäran mail.docx", "A 39740-2022")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46315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54498-2023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46315</v>
      </c>
      <c r="F41" t="inlineStr">
        <is>
          <t>SÖDERMANLANDS LÄN</t>
        </is>
      </c>
      <c r="G41" t="inlineStr">
        <is>
          <t>NYKÖPING</t>
        </is>
      </c>
      <c r="I41" t="n">
        <v>4.7</v>
      </c>
      <c r="J41" t="n">
        <v>3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3</v>
      </c>
      <c r="U41" t="n">
        <v>1</v>
      </c>
      <c r="V41" s="2" t="inlineStr">
        <is>
          <t>Brun glada
Trana
Utter</t>
        </is>
      </c>
      <c r="W41">
        <f>HYPERLINK("https://klasma.github.io/Logging_0480/artfynd/A 54498-2023 artfynd.xlsx", "A 54498-2023")</f>
        <v/>
      </c>
      <c r="X41">
        <f>HYPERLINK("https://klasma.github.io/Logging_0480/kartor/A 54498-2023 karta.png", "A 54498-2023")</f>
        <v/>
      </c>
      <c r="Y41">
        <f>HYPERLINK("https://klasma.github.io/Logging_0480/kartor_geotiff/A 54498-2023 georefererad karta.tif", "A 54498-2023")</f>
        <v/>
      </c>
      <c r="AA41">
        <f>HYPERLINK("https://klasma.github.io/Logging_0480/klagomål/A 54498-2023 FSC-klagomål.docx", "A 54498-2023")</f>
        <v/>
      </c>
      <c r="AB41">
        <f>HYPERLINK("https://klasma.github.io/Logging_0480/klagomålsmail/A 54498-2023 FSC-klagomål mail.docx", "A 54498-2023")</f>
        <v/>
      </c>
      <c r="AC41">
        <f>HYPERLINK("https://klasma.github.io/Logging_0480/tillsyn/A 54498-2023 tillsynsbegäran.docx", "A 54498-2023")</f>
        <v/>
      </c>
      <c r="AD41">
        <f>HYPERLINK("https://klasma.github.io/Logging_0480/tillsynsmail/A 54498-2023 tillsynsbegäran mail.docx", "A 54498-2023")</f>
        <v/>
      </c>
      <c r="AE41">
        <f>HYPERLINK("https://klasma.github.io/Logging_0480/fåglar/A 54498-2023 prioriterade fågelarter.docx", "A 54498-2023")</f>
        <v/>
      </c>
    </row>
    <row r="42" ht="15" customHeight="1">
      <c r="A42" t="inlineStr">
        <is>
          <t>A 5857-2024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46315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Törnskata
Revlummer</t>
        </is>
      </c>
      <c r="W42">
        <f>HYPERLINK("https://klasma.github.io/Logging_0480/artfynd/A 5857-2024 artfynd.xlsx", "A 5857-2024")</f>
        <v/>
      </c>
      <c r="X42">
        <f>HYPERLINK("https://klasma.github.io/Logging_0480/kartor/A 5857-2024 karta.png", "A 5857-2024")</f>
        <v/>
      </c>
      <c r="Y42">
        <f>HYPERLINK("https://klasma.github.io/Logging_0480/kartor_geotiff/A 5857-2024 georefererad karta.tif", "A 5857-2024")</f>
        <v/>
      </c>
      <c r="AA42">
        <f>HYPERLINK("https://klasma.github.io/Logging_0480/klagomål/A 5857-2024 FSC-klagomål.docx", "A 5857-2024")</f>
        <v/>
      </c>
      <c r="AB42">
        <f>HYPERLINK("https://klasma.github.io/Logging_0480/klagomålsmail/A 5857-2024 FSC-klagomål mail.docx", "A 5857-2024")</f>
        <v/>
      </c>
      <c r="AC42">
        <f>HYPERLINK("https://klasma.github.io/Logging_0480/tillsyn/A 5857-2024 tillsynsbegäran.docx", "A 5857-2024")</f>
        <v/>
      </c>
      <c r="AD42">
        <f>HYPERLINK("https://klasma.github.io/Logging_0480/tillsynsmail/A 5857-2024 tillsynsbegäran mail.docx", "A 5857-2024")</f>
        <v/>
      </c>
      <c r="AE42">
        <f>HYPERLINK("https://klasma.github.io/Logging_0480/fåglar/A 5857-2024 prioriterade fågelarter.docx", "A 5857-2024")</f>
        <v/>
      </c>
    </row>
    <row r="43" ht="15" customHeight="1">
      <c r="A43" t="inlineStr">
        <is>
          <t>A 10977-2024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45370</v>
      </c>
      <c r="E43" s="1" t="n">
        <v>46315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Stor aspticka
Vätteros</t>
        </is>
      </c>
      <c r="W43">
        <f>HYPERLINK("https://klasma.github.io/Logging_0480/artfynd/A 10977-2024 artfynd.xlsx", "A 10977-2024")</f>
        <v/>
      </c>
      <c r="X43">
        <f>HYPERLINK("https://klasma.github.io/Logging_0480/kartor/A 10977-2024 karta.png", "A 10977-2024")</f>
        <v/>
      </c>
      <c r="Y43">
        <f>HYPERLINK("https://klasma.github.io/Logging_0480/kartor_geotiff/A 10977-2024 georefererad karta.tif", "A 10977-2024")</f>
        <v/>
      </c>
      <c r="AA43">
        <f>HYPERLINK("https://klasma.github.io/Logging_0480/klagomål/A 10977-2024 FSC-klagomål.docx", "A 10977-2024")</f>
        <v/>
      </c>
      <c r="AB43">
        <f>HYPERLINK("https://klasma.github.io/Logging_0480/klagomålsmail/A 10977-2024 FSC-klagomål mail.docx", "A 10977-2024")</f>
        <v/>
      </c>
      <c r="AC43">
        <f>HYPERLINK("https://klasma.github.io/Logging_0480/tillsyn/A 10977-2024 tillsynsbegäran.docx", "A 10977-2024")</f>
        <v/>
      </c>
      <c r="AD43">
        <f>HYPERLINK("https://klasma.github.io/Logging_0480/tillsynsmail/A 10977-2024 tillsynsbegäran mail.docx", "A 10977-2024")</f>
        <v/>
      </c>
    </row>
    <row r="44" ht="15" customHeight="1">
      <c r="A44" t="inlineStr">
        <is>
          <t>A 60518-2022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44904</v>
      </c>
      <c r="E44" s="1" t="n">
        <v>46315</v>
      </c>
      <c r="F44" t="inlineStr">
        <is>
          <t>SÖDERMANLANDS LÄN</t>
        </is>
      </c>
      <c r="G44" t="inlineStr">
        <is>
          <t>NYKÖPING</t>
        </is>
      </c>
      <c r="I44" t="n">
        <v>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Gullklöver
Gullviva</t>
        </is>
      </c>
      <c r="W44">
        <f>HYPERLINK("https://klasma.github.io/Logging_0480/artfynd/A 60518-2022 artfynd.xlsx", "A 60518-2022")</f>
        <v/>
      </c>
      <c r="X44">
        <f>HYPERLINK("https://klasma.github.io/Logging_0480/kartor/A 60518-2022 karta.png", "A 60518-2022")</f>
        <v/>
      </c>
      <c r="Y44">
        <f>HYPERLINK("https://klasma.github.io/Logging_0480/kartor_geotiff/A 60518-2022 georefererad karta.tif", "A 60518-2022")</f>
        <v/>
      </c>
      <c r="AA44">
        <f>HYPERLINK("https://klasma.github.io/Logging_0480/klagomål/A 60518-2022 FSC-klagomål.docx", "A 60518-2022")</f>
        <v/>
      </c>
      <c r="AB44">
        <f>HYPERLINK("https://klasma.github.io/Logging_0480/klagomålsmail/A 60518-2022 FSC-klagomål mail.docx", "A 60518-2022")</f>
        <v/>
      </c>
      <c r="AC44">
        <f>HYPERLINK("https://klasma.github.io/Logging_0480/tillsyn/A 60518-2022 tillsynsbegäran.docx", "A 60518-2022")</f>
        <v/>
      </c>
      <c r="AD44">
        <f>HYPERLINK("https://klasma.github.io/Logging_0480/tillsynsmail/A 60518-2022 tillsynsbegäran mail.docx", "A 60518-2022")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46315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29766-2022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46315</v>
      </c>
      <c r="F46" t="inlineStr">
        <is>
          <t>SÖDERMANLANDS LÄN</t>
        </is>
      </c>
      <c r="G46" t="inlineStr">
        <is>
          <t>NYKÖPING</t>
        </is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Broskvaxing
Kungsfågel</t>
        </is>
      </c>
      <c r="W46">
        <f>HYPERLINK("https://klasma.github.io/Logging_0480/artfynd/A 29766-2022 artfynd.xlsx", "A 29766-2022")</f>
        <v/>
      </c>
      <c r="X46">
        <f>HYPERLINK("https://klasma.github.io/Logging_0480/kartor/A 29766-2022 karta.png", "A 29766-2022")</f>
        <v/>
      </c>
      <c r="Y46">
        <f>HYPERLINK("https://klasma.github.io/Logging_0480/kartor_geotiff/A 29766-2022 georefererad karta.tif", "A 29766-2022")</f>
        <v/>
      </c>
      <c r="AA46">
        <f>HYPERLINK("https://klasma.github.io/Logging_0480/klagomål/A 29766-2022 FSC-klagomål.docx", "A 29766-2022")</f>
        <v/>
      </c>
      <c r="AB46">
        <f>HYPERLINK("https://klasma.github.io/Logging_0480/klagomålsmail/A 29766-2022 FSC-klagomål mail.docx", "A 29766-2022")</f>
        <v/>
      </c>
      <c r="AC46">
        <f>HYPERLINK("https://klasma.github.io/Logging_0480/tillsyn/A 29766-2022 tillsynsbegäran.docx", "A 29766-2022")</f>
        <v/>
      </c>
      <c r="AD46">
        <f>HYPERLINK("https://klasma.github.io/Logging_0480/tillsynsmail/A 29766-2022 tillsynsbegäran mail.docx", "A 29766-2022")</f>
        <v/>
      </c>
    </row>
    <row r="47" ht="15" customHeight="1">
      <c r="A47" t="inlineStr">
        <is>
          <t>A 48153-2023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46315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Nötkråka
Havsörn</t>
        </is>
      </c>
      <c r="W47">
        <f>HYPERLINK("https://klasma.github.io/Logging_0480/artfynd/A 48153-2023 artfynd.xlsx", "A 48153-2023")</f>
        <v/>
      </c>
      <c r="X47">
        <f>HYPERLINK("https://klasma.github.io/Logging_0480/kartor/A 48153-2023 karta.png", "A 48153-2023")</f>
        <v/>
      </c>
      <c r="Y47">
        <f>HYPERLINK("https://klasma.github.io/Logging_0480/kartor_geotiff/A 48153-2023 georefererad karta.tif", "A 48153-2023")</f>
        <v/>
      </c>
      <c r="AA47">
        <f>HYPERLINK("https://klasma.github.io/Logging_0480/klagomål/A 48153-2023 FSC-klagomål.docx", "A 48153-2023")</f>
        <v/>
      </c>
      <c r="AB47">
        <f>HYPERLINK("https://klasma.github.io/Logging_0480/klagomålsmail/A 48153-2023 FSC-klagomål mail.docx", "A 48153-2023")</f>
        <v/>
      </c>
      <c r="AC47">
        <f>HYPERLINK("https://klasma.github.io/Logging_0480/tillsyn/A 48153-2023 tillsynsbegäran.docx", "A 48153-2023")</f>
        <v/>
      </c>
      <c r="AD47">
        <f>HYPERLINK("https://klasma.github.io/Logging_0480/tillsynsmail/A 48153-2023 tillsynsbegäran mail.docx", "A 48153-2023")</f>
        <v/>
      </c>
      <c r="AE47">
        <f>HYPERLINK("https://klasma.github.io/Logging_0480/fåglar/A 48153-2023 prioriterade fågelarter.docx", "A 48153-2023")</f>
        <v/>
      </c>
    </row>
    <row r="48" ht="15" customHeight="1">
      <c r="A48" t="inlineStr">
        <is>
          <t>A 58167-2025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45982</v>
      </c>
      <c r="E48" s="1" t="n">
        <v>46315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Grönpyrola
Mattlummer</t>
        </is>
      </c>
      <c r="W48">
        <f>HYPERLINK("https://klasma.github.io/Logging_0480/artfynd/A 58167-2025 artfynd.xlsx", "A 58167-2025")</f>
        <v/>
      </c>
      <c r="X48">
        <f>HYPERLINK("https://klasma.github.io/Logging_0480/kartor/A 58167-2025 karta.png", "A 58167-2025")</f>
        <v/>
      </c>
      <c r="Y48">
        <f>HYPERLINK("https://klasma.github.io/Logging_0480/kartor_geotiff/A 58167-2025 georefererad karta.tif", "A 58167-2025")</f>
        <v/>
      </c>
      <c r="AA48">
        <f>HYPERLINK("https://klasma.github.io/Logging_0480/klagomål/A 58167-2025 FSC-klagomål.docx", "A 58167-2025")</f>
        <v/>
      </c>
      <c r="AB48">
        <f>HYPERLINK("https://klasma.github.io/Logging_0480/klagomålsmail/A 58167-2025 FSC-klagomål mail.docx", "A 58167-2025")</f>
        <v/>
      </c>
      <c r="AC48">
        <f>HYPERLINK("https://klasma.github.io/Logging_0480/tillsyn/A 58167-2025 tillsynsbegäran.docx", "A 58167-2025")</f>
        <v/>
      </c>
      <c r="AD48">
        <f>HYPERLINK("https://klasma.github.io/Logging_0480/tillsynsmail/A 58167-2025 tillsynsbegäran mail.docx", "A 58167-2025")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46315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6276-2026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46055</v>
      </c>
      <c r="E50" s="1" t="n">
        <v>46315</v>
      </c>
      <c r="F50" t="inlineStr">
        <is>
          <t>SÖDERMANLANDS LÄN</t>
        </is>
      </c>
      <c r="G50" t="inlineStr">
        <is>
          <t>NYKÖPING</t>
        </is>
      </c>
      <c r="I50" t="n">
        <v>9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Duvhök
Granbarkgnagare</t>
        </is>
      </c>
      <c r="W50">
        <f>HYPERLINK("https://klasma.github.io/Logging_0480/artfynd/A 6276-2026 artfynd.xlsx", "A 6276-2026")</f>
        <v/>
      </c>
      <c r="X50">
        <f>HYPERLINK("https://klasma.github.io/Logging_0480/kartor/A 6276-2026 karta.png", "A 6276-2026")</f>
        <v/>
      </c>
      <c r="Y50">
        <f>HYPERLINK("https://klasma.github.io/Logging_0480/kartor_geotiff/A 6276-2026 georefererad karta.tif", "A 6276-2026")</f>
        <v/>
      </c>
      <c r="AA50">
        <f>HYPERLINK("https://klasma.github.io/Logging_0480/klagomål/A 6276-2026 FSC-klagomål.docx", "A 6276-2026")</f>
        <v/>
      </c>
      <c r="AB50">
        <f>HYPERLINK("https://klasma.github.io/Logging_0480/klagomålsmail/A 6276-2026 FSC-klagomål mail.docx", "A 6276-2026")</f>
        <v/>
      </c>
      <c r="AC50">
        <f>HYPERLINK("https://klasma.github.io/Logging_0480/tillsyn/A 6276-2026 tillsynsbegäran.docx", "A 6276-2026")</f>
        <v/>
      </c>
      <c r="AD50">
        <f>HYPERLINK("https://klasma.github.io/Logging_0480/tillsynsmail/A 6276-2026 tillsynsbegäran mail.docx", "A 6276-2026")</f>
        <v/>
      </c>
      <c r="AE50">
        <f>HYPERLINK("https://klasma.github.io/Logging_0480/fåglar/A 6276-2026 prioriterade fågelarter.docx", "A 6276-2026")</f>
        <v/>
      </c>
    </row>
    <row r="51" ht="15" customHeight="1">
      <c r="A51" t="inlineStr">
        <is>
          <t>A 34310-2022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46315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7</v>
      </c>
      <c r="U51" t="n">
        <v>0</v>
      </c>
      <c r="V51" s="2" t="inlineStr">
        <is>
          <t>Bombmurkla
Grönpyrola</t>
        </is>
      </c>
      <c r="W51">
        <f>HYPERLINK("https://klasma.github.io/Logging_0480/artfynd/A 34310-2022 artfynd.xlsx", "A 34310-2022")</f>
        <v/>
      </c>
      <c r="X51">
        <f>HYPERLINK("https://klasma.github.io/Logging_0480/kartor/A 34310-2022 karta.png", "A 34310-2022")</f>
        <v/>
      </c>
      <c r="Y51">
        <f>HYPERLINK("https://klasma.github.io/Logging_0480/kartor_geotiff/A 34310-2022 georefererad karta.tif", "A 34310-2022")</f>
        <v/>
      </c>
      <c r="AA51">
        <f>HYPERLINK("https://klasma.github.io/Logging_0480/klagomål/A 34310-2022 FSC-klagomål.docx", "A 34310-2022")</f>
        <v/>
      </c>
      <c r="AB51">
        <f>HYPERLINK("https://klasma.github.io/Logging_0480/klagomålsmail/A 34310-2022 FSC-klagomål mail.docx", "A 34310-2022")</f>
        <v/>
      </c>
      <c r="AC51">
        <f>HYPERLINK("https://klasma.github.io/Logging_0480/tillsyn/A 34310-2022 tillsynsbegäran.docx", "A 34310-2022")</f>
        <v/>
      </c>
      <c r="AD51">
        <f>HYPERLINK("https://klasma.github.io/Logging_0480/tillsynsmail/A 34310-2022 tillsynsbegäran mail.docx", "A 34310-2022")</f>
        <v/>
      </c>
    </row>
    <row r="52" ht="15" customHeight="1">
      <c r="A52" t="inlineStr">
        <is>
          <t>A 14862-2026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46104</v>
      </c>
      <c r="E52" s="1" t="n">
        <v>46315</v>
      </c>
      <c r="F52" t="inlineStr">
        <is>
          <t>SÖDERMANLANDS LÄN</t>
        </is>
      </c>
      <c r="G52" t="inlineStr">
        <is>
          <t>NYKÖPING</t>
        </is>
      </c>
      <c r="I52" t="n">
        <v>10.8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Dropptaggsvamp
Blåbär</t>
        </is>
      </c>
      <c r="W52">
        <f>HYPERLINK("https://klasma.github.io/Logging_0480/artfynd/A 14862-2026 artfynd.xlsx", "A 14862-2026")</f>
        <v/>
      </c>
      <c r="X52">
        <f>HYPERLINK("https://klasma.github.io/Logging_0480/kartor/A 14862-2026 karta.png", "A 14862-2026")</f>
        <v/>
      </c>
      <c r="Y52">
        <f>HYPERLINK("https://klasma.github.io/Logging_0480/kartor_geotiff/A 14862-2026 georefererad karta.tif", "A 14862-2026")</f>
        <v/>
      </c>
      <c r="AA52">
        <f>HYPERLINK("https://klasma.github.io/Logging_0480/klagomål/A 14862-2026 FSC-klagomål.docx", "A 14862-2026")</f>
        <v/>
      </c>
      <c r="AB52">
        <f>HYPERLINK("https://klasma.github.io/Logging_0480/klagomålsmail/A 14862-2026 FSC-klagomål mail.docx", "A 14862-2026")</f>
        <v/>
      </c>
      <c r="AC52">
        <f>HYPERLINK("https://klasma.github.io/Logging_0480/tillsyn/A 14862-2026 tillsynsbegäran.docx", "A 14862-2026")</f>
        <v/>
      </c>
      <c r="AD52">
        <f>HYPERLINK("https://klasma.github.io/Logging_0480/tillsynsmail/A 14862-2026 tillsynsbegäran mail.docx", "A 14862-2026")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46315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46315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5385-2026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46315</v>
      </c>
      <c r="F55" t="inlineStr">
        <is>
          <t>SÖDERMANLANDS LÄN</t>
        </is>
      </c>
      <c r="G55" t="inlineStr">
        <is>
          <t>NYKÖPING</t>
        </is>
      </c>
      <c r="I55" t="n">
        <v>3.5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Spillkråka
Tallört (aggregat)</t>
        </is>
      </c>
      <c r="W55">
        <f>HYPERLINK("https://klasma.github.io/Logging_0480/artfynd/A 5385-2026 artfynd.xlsx", "A 5385-2026")</f>
        <v/>
      </c>
      <c r="X55">
        <f>HYPERLINK("https://klasma.github.io/Logging_0480/kartor/A 5385-2026 karta.png", "A 5385-2026")</f>
        <v/>
      </c>
      <c r="Y55">
        <f>HYPERLINK("https://klasma.github.io/Logging_0480/kartor_geotiff/A 5385-2026 georefererad karta.tif", "A 5385-2026")</f>
        <v/>
      </c>
      <c r="AA55">
        <f>HYPERLINK("https://klasma.github.io/Logging_0480/klagomål/A 5385-2026 FSC-klagomål.docx", "A 5385-2026")</f>
        <v/>
      </c>
      <c r="AB55">
        <f>HYPERLINK("https://klasma.github.io/Logging_0480/klagomålsmail/A 5385-2026 FSC-klagomål mail.docx", "A 5385-2026")</f>
        <v/>
      </c>
      <c r="AC55">
        <f>HYPERLINK("https://klasma.github.io/Logging_0480/tillsyn/A 5385-2026 tillsynsbegäran.docx", "A 5385-2026")</f>
        <v/>
      </c>
      <c r="AD55">
        <f>HYPERLINK("https://klasma.github.io/Logging_0480/tillsynsmail/A 5385-2026 tillsynsbegäran mail.docx", "A 5385-2026")</f>
        <v/>
      </c>
      <c r="AE55">
        <f>HYPERLINK("https://klasma.github.io/Logging_0480/fåglar/A 5385-2026 prioriterade fågelarter.docx", "A 5385-2026")</f>
        <v/>
      </c>
    </row>
    <row r="56" ht="15" customHeight="1">
      <c r="A56" t="inlineStr">
        <is>
          <t>A 56560-2022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46315</v>
      </c>
      <c r="F56" t="inlineStr">
        <is>
          <t>SÖDERMANLANDS LÄN</t>
        </is>
      </c>
      <c r="G56" t="inlineStr">
        <is>
          <t>NYKÖPING</t>
        </is>
      </c>
      <c r="H56" t="inlineStr">
        <is>
          <t>Övriga Aktiebolag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Fjällvråk
Kråka</t>
        </is>
      </c>
      <c r="W56">
        <f>HYPERLINK("https://klasma.github.io/Logging_0480/artfynd/A 56560-2022 artfynd.xlsx", "A 56560-2022")</f>
        <v/>
      </c>
      <c r="X56">
        <f>HYPERLINK("https://klasma.github.io/Logging_0480/kartor/A 56560-2022 karta.png", "A 56560-2022")</f>
        <v/>
      </c>
      <c r="Y56">
        <f>HYPERLINK("https://klasma.github.io/Logging_0480/kartor_geotiff/A 56560-2022 georefererad karta.tif", "A 56560-2022")</f>
        <v/>
      </c>
      <c r="AA56">
        <f>HYPERLINK("https://klasma.github.io/Logging_0480/klagomål/A 56560-2022 FSC-klagomål.docx", "A 56560-2022")</f>
        <v/>
      </c>
      <c r="AB56">
        <f>HYPERLINK("https://klasma.github.io/Logging_0480/klagomålsmail/A 56560-2022 FSC-klagomål mail.docx", "A 56560-2022")</f>
        <v/>
      </c>
      <c r="AC56">
        <f>HYPERLINK("https://klasma.github.io/Logging_0480/tillsyn/A 56560-2022 tillsynsbegäran.docx", "A 56560-2022")</f>
        <v/>
      </c>
      <c r="AD56">
        <f>HYPERLINK("https://klasma.github.io/Logging_0480/tillsynsmail/A 56560-2022 tillsynsbegäran mail.docx", "A 56560-2022")</f>
        <v/>
      </c>
      <c r="AE56">
        <f>HYPERLINK("https://klasma.github.io/Logging_0480/fåglar/A 56560-2022 prioriterade fågelarter.docx", "A 56560-2022")</f>
        <v/>
      </c>
    </row>
    <row r="57" ht="15" customHeight="1">
      <c r="A57" t="inlineStr">
        <is>
          <t>A 38757-2026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46315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Motaggsvamp</t>
        </is>
      </c>
      <c r="W57">
        <f>HYPERLINK("https://klasma.github.io/Logging_0480/artfynd/A 38757-2026 artfynd.xlsx", "A 38757-2026")</f>
        <v/>
      </c>
      <c r="X57">
        <f>HYPERLINK("https://klasma.github.io/Logging_0480/kartor/A 38757-2026 karta.png", "A 38757-2026")</f>
        <v/>
      </c>
      <c r="Y57">
        <f>HYPERLINK("https://klasma.github.io/Logging_0480/kartor_geotiff/A 38757-2026 georefererad karta.tif", "A 38757-2026")</f>
        <v/>
      </c>
      <c r="AA57">
        <f>HYPERLINK("https://klasma.github.io/Logging_0480/klagomål/A 38757-2026 FSC-klagomål.docx", "A 38757-2026")</f>
        <v/>
      </c>
      <c r="AB57">
        <f>HYPERLINK("https://klasma.github.io/Logging_0480/klagomålsmail/A 38757-2026 FSC-klagomål mail.docx", "A 38757-2026")</f>
        <v/>
      </c>
      <c r="AC57">
        <f>HYPERLINK("https://klasma.github.io/Logging_0480/tillsyn/A 38757-2026 tillsynsbegäran.docx", "A 38757-2026")</f>
        <v/>
      </c>
      <c r="AD57">
        <f>HYPERLINK("https://klasma.github.io/Logging_0480/tillsynsmail/A 38757-2026 tillsynsbegäran mail.docx", "A 38757-2026")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46315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38923-2024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46315</v>
      </c>
      <c r="F59" t="inlineStr">
        <is>
          <t>SÖDERMANLANDS LÄN</t>
        </is>
      </c>
      <c r="G59" t="inlineStr">
        <is>
          <t>NYKÖPING</t>
        </is>
      </c>
      <c r="I59" t="n">
        <v>18.9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4</v>
      </c>
      <c r="U59" t="n">
        <v>1</v>
      </c>
      <c r="V59" s="2" t="inlineStr">
        <is>
          <t>Tallticka
Blodticka</t>
        </is>
      </c>
      <c r="W59">
        <f>HYPERLINK("https://klasma.github.io/Logging_0480/artfynd/A 38923-2024 artfynd.xlsx", "A 38923-2024")</f>
        <v/>
      </c>
      <c r="X59">
        <f>HYPERLINK("https://klasma.github.io/Logging_0480/kartor/A 38923-2024 karta.png", "A 38923-2024")</f>
        <v/>
      </c>
      <c r="Y59">
        <f>HYPERLINK("https://klasma.github.io/Logging_0480/kartor_geotiff/A 38923-2024 georefererad karta.tif", "A 38923-2024")</f>
        <v/>
      </c>
      <c r="AA59">
        <f>HYPERLINK("https://klasma.github.io/Logging_0480/klagomål/A 38923-2024 FSC-klagomål.docx", "A 38923-2024")</f>
        <v/>
      </c>
      <c r="AB59">
        <f>HYPERLINK("https://klasma.github.io/Logging_0480/klagomålsmail/A 38923-2024 FSC-klagomål mail.docx", "A 38923-2024")</f>
        <v/>
      </c>
      <c r="AC59">
        <f>HYPERLINK("https://klasma.github.io/Logging_0480/tillsyn/A 38923-2024 tillsynsbegäran.docx", "A 38923-2024")</f>
        <v/>
      </c>
      <c r="AD59">
        <f>HYPERLINK("https://klasma.github.io/Logging_0480/tillsynsmail/A 38923-2024 tillsynsbegäran mail.docx", "A 38923-2024")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46315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56728-2025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46315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2.5</v>
      </c>
      <c r="J61" t="n">
        <v>2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10</v>
      </c>
      <c r="U61" t="n">
        <v>0</v>
      </c>
      <c r="V61" s="2" t="inlineStr">
        <is>
          <t>Sandödla
Vanlig snok</t>
        </is>
      </c>
      <c r="W61">
        <f>HYPERLINK("https://klasma.github.io/Logging_0480/artfynd/A 56728-2025 artfynd.xlsx", "A 56728-2025")</f>
        <v/>
      </c>
      <c r="X61">
        <f>HYPERLINK("https://klasma.github.io/Logging_0480/kartor/A 56728-2025 karta.png", "A 56728-2025")</f>
        <v/>
      </c>
      <c r="Y61">
        <f>HYPERLINK("https://klasma.github.io/Logging_0480/kartor_geotiff/A 56728-2025 georefererad karta.tif", "A 56728-2025")</f>
        <v/>
      </c>
      <c r="AA61">
        <f>HYPERLINK("https://klasma.github.io/Logging_0480/klagomål/A 56728-2025 FSC-klagomål.docx", "A 56728-2025")</f>
        <v/>
      </c>
      <c r="AB61">
        <f>HYPERLINK("https://klasma.github.io/Logging_0480/klagomålsmail/A 56728-2025 FSC-klagomål mail.docx", "A 56728-2025")</f>
        <v/>
      </c>
      <c r="AC61">
        <f>HYPERLINK("https://klasma.github.io/Logging_0480/tillsyn/A 56728-2025 tillsynsbegäran.docx", "A 56728-2025")</f>
        <v/>
      </c>
      <c r="AD61">
        <f>HYPERLINK("https://klasma.github.io/Logging_0480/tillsynsmail/A 56728-2025 tillsynsbegäran mail.docx", "A 56728-2025")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46315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46315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46315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22990-2022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46315</v>
      </c>
      <c r="F65" t="inlineStr">
        <is>
          <t>SÖDERMANLANDS LÄN</t>
        </is>
      </c>
      <c r="G65" t="inlineStr">
        <is>
          <t>NYKÖPING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HYPERLINK("https://klasma.github.io/Logging_0480/artfynd/A 22990-2022 artfynd.xlsx", "A 22990-2022")</f>
        <v/>
      </c>
      <c r="X65">
        <f>HYPERLINK("https://klasma.github.io/Logging_0480/kartor/A 22990-2022 karta.png", "A 22990-2022")</f>
        <v/>
      </c>
      <c r="Y65">
        <f>HYPERLINK("https://klasma.github.io/Logging_0480/kartor_geotiff/A 22990-2022 georefererad karta.tif", "A 22990-2022")</f>
        <v/>
      </c>
      <c r="AA65">
        <f>HYPERLINK("https://klasma.github.io/Logging_0480/klagomål/A 22990-2022 FSC-klagomål.docx", "A 22990-2022")</f>
        <v/>
      </c>
      <c r="AB65">
        <f>HYPERLINK("https://klasma.github.io/Logging_0480/klagomålsmail/A 22990-2022 FSC-klagomål mail.docx", "A 22990-2022")</f>
        <v/>
      </c>
      <c r="AC65">
        <f>HYPERLINK("https://klasma.github.io/Logging_0480/tillsyn/A 22990-2022 tillsynsbegäran.docx", "A 22990-2022")</f>
        <v/>
      </c>
      <c r="AD65">
        <f>HYPERLINK("https://klasma.github.io/Logging_0480/tillsynsmail/A 22990-2022 tillsynsbegäran mail.docx", "A 22990-2022")</f>
        <v/>
      </c>
    </row>
    <row r="66" ht="15" customHeight="1">
      <c r="A66" t="inlineStr">
        <is>
          <t>A 18500-2024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45424</v>
      </c>
      <c r="E66" s="1" t="n">
        <v>46315</v>
      </c>
      <c r="F66" t="inlineStr">
        <is>
          <t>SÖDERMANLANDS LÄN</t>
        </is>
      </c>
      <c r="G66" t="inlineStr">
        <is>
          <t>NYKÖPING</t>
        </is>
      </c>
      <c r="I66" t="n">
        <v>2.4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Tornseglare</t>
        </is>
      </c>
      <c r="W66">
        <f>HYPERLINK("https://klasma.github.io/Logging_0480/artfynd/A 18500-2024 artfynd.xlsx", "A 18500-2024")</f>
        <v/>
      </c>
      <c r="X66">
        <f>HYPERLINK("https://klasma.github.io/Logging_0480/kartor/A 18500-2024 karta.png", "A 18500-2024")</f>
        <v/>
      </c>
      <c r="Y66">
        <f>HYPERLINK("https://klasma.github.io/Logging_0480/kartor_geotiff/A 18500-2024 georefererad karta.tif", "A 18500-2024")</f>
        <v/>
      </c>
      <c r="AA66">
        <f>HYPERLINK("https://klasma.github.io/Logging_0480/klagomål/A 18500-2024 FSC-klagomål.docx", "A 18500-2024")</f>
        <v/>
      </c>
      <c r="AB66">
        <f>HYPERLINK("https://klasma.github.io/Logging_0480/klagomålsmail/A 18500-2024 FSC-klagomål mail.docx", "A 18500-2024")</f>
        <v/>
      </c>
      <c r="AC66">
        <f>HYPERLINK("https://klasma.github.io/Logging_0480/tillsyn/A 18500-2024 tillsynsbegäran.docx", "A 18500-2024")</f>
        <v/>
      </c>
      <c r="AD66">
        <f>HYPERLINK("https://klasma.github.io/Logging_0480/tillsynsmail/A 18500-2024 tillsynsbegäran mail.docx", "A 18500-2024")</f>
        <v/>
      </c>
      <c r="AE66">
        <f>HYPERLINK("https://klasma.github.io/Logging_0480/fåglar/A 18500-2024 prioriterade fågelarter.docx", "A 18500-2024")</f>
        <v/>
      </c>
    </row>
    <row r="67" ht="15" customHeight="1">
      <c r="A67" t="inlineStr">
        <is>
          <t>A 13038-2024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45385</v>
      </c>
      <c r="E67" s="1" t="n">
        <v>46315</v>
      </c>
      <c r="F67" t="inlineStr">
        <is>
          <t>SÖDERMANLANDS LÄN</t>
        </is>
      </c>
      <c r="G67" t="inlineStr">
        <is>
          <t>NYKÖPING</t>
        </is>
      </c>
      <c r="I67" t="n">
        <v>3.8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0</v>
      </c>
      <c r="V67" s="2" t="inlineStr">
        <is>
          <t>Knärot</t>
        </is>
      </c>
      <c r="W67">
        <f>HYPERLINK("https://klasma.github.io/Logging_0480/artfynd/A 13038-2024 artfynd.xlsx", "A 13038-2024")</f>
        <v/>
      </c>
      <c r="X67">
        <f>HYPERLINK("https://klasma.github.io/Logging_0480/kartor/A 13038-2024 karta.png", "A 13038-2024")</f>
        <v/>
      </c>
      <c r="Y67">
        <f>HYPERLINK("https://klasma.github.io/Logging_0480/kartor_geotiff/A 13038-2024 georefererad karta.tif", "A 13038-2024")</f>
        <v/>
      </c>
      <c r="Z67">
        <f>HYPERLINK("https://klasma.github.io/Logging_0480/knärot/A 13038-2024 karta knärot.png", "A 13038-2024")</f>
        <v/>
      </c>
      <c r="AA67">
        <f>HYPERLINK("https://klasma.github.io/Logging_0480/klagomål/A 13038-2024 FSC-klagomål.docx", "A 13038-2024")</f>
        <v/>
      </c>
      <c r="AB67">
        <f>HYPERLINK("https://klasma.github.io/Logging_0480/klagomålsmail/A 13038-2024 FSC-klagomål mail.docx", "A 13038-2024")</f>
        <v/>
      </c>
      <c r="AC67">
        <f>HYPERLINK("https://klasma.github.io/Logging_0480/tillsyn/A 13038-2024 tillsynsbegäran.docx", "A 13038-2024")</f>
        <v/>
      </c>
      <c r="AD67">
        <f>HYPERLINK("https://klasma.github.io/Logging_0480/tillsynsmail/A 13038-2024 tillsynsbegäran mail.docx", "A 13038-2024")</f>
        <v/>
      </c>
    </row>
    <row r="68" ht="15" customHeight="1">
      <c r="A68" t="inlineStr">
        <is>
          <t>A 8387-2024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45352</v>
      </c>
      <c r="E68" s="1" t="n">
        <v>46315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HYPERLINK("https://klasma.github.io/Logging_0480/artfynd/A 8387-2024 artfynd.xlsx", "A 8387-2024")</f>
        <v/>
      </c>
      <c r="X68">
        <f>HYPERLINK("https://klasma.github.io/Logging_0480/kartor/A 8387-2024 karta.png", "A 8387-2024")</f>
        <v/>
      </c>
      <c r="Y68">
        <f>HYPERLINK("https://klasma.github.io/Logging_0480/kartor_geotiff/A 8387-2024 georefererad karta.tif", "A 8387-2024")</f>
        <v/>
      </c>
      <c r="AA68">
        <f>HYPERLINK("https://klasma.github.io/Logging_0480/klagomål/A 8387-2024 FSC-klagomål.docx", "A 8387-2024")</f>
        <v/>
      </c>
      <c r="AB68">
        <f>HYPERLINK("https://klasma.github.io/Logging_0480/klagomålsmail/A 8387-2024 FSC-klagomål mail.docx", "A 8387-2024")</f>
        <v/>
      </c>
      <c r="AC68">
        <f>HYPERLINK("https://klasma.github.io/Logging_0480/tillsyn/A 8387-2024 tillsynsbegäran.docx", "A 8387-2024")</f>
        <v/>
      </c>
      <c r="AD68">
        <f>HYPERLINK("https://klasma.github.io/Logging_0480/tillsynsmail/A 8387-2024 tillsynsbegäran mail.docx", "A 8387-2024")</f>
        <v/>
      </c>
      <c r="AE68">
        <f>HYPERLINK("https://klasma.github.io/Logging_0480/fåglar/A 8387-2024 prioriterade fågelarter.docx", "A 8387-2024")</f>
        <v/>
      </c>
    </row>
    <row r="69" ht="15" customHeight="1">
      <c r="A69" t="inlineStr">
        <is>
          <t>A 35122-2023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46315</v>
      </c>
      <c r="F69" t="inlineStr">
        <is>
          <t>SÖDERMANLANDS LÄN</t>
        </is>
      </c>
      <c r="G69" t="inlineStr">
        <is>
          <t>NYKÖPING</t>
        </is>
      </c>
      <c r="I69" t="n">
        <v>3.2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HYPERLINK("https://klasma.github.io/Logging_0480/artfynd/A 35122-2023 artfynd.xlsx", "A 35122-2023")</f>
        <v/>
      </c>
      <c r="X69">
        <f>HYPERLINK("https://klasma.github.io/Logging_0480/kartor/A 35122-2023 karta.png", "A 35122-2023")</f>
        <v/>
      </c>
      <c r="Y69">
        <f>HYPERLINK("https://klasma.github.io/Logging_0480/kartor_geotiff/A 35122-2023 georefererad karta.tif", "A 35122-2023")</f>
        <v/>
      </c>
      <c r="AA69">
        <f>HYPERLINK("https://klasma.github.io/Logging_0480/klagomål/A 35122-2023 FSC-klagomål.docx", "A 35122-2023")</f>
        <v/>
      </c>
      <c r="AB69">
        <f>HYPERLINK("https://klasma.github.io/Logging_0480/klagomålsmail/A 35122-2023 FSC-klagomål mail.docx", "A 35122-2023")</f>
        <v/>
      </c>
      <c r="AC69">
        <f>HYPERLINK("https://klasma.github.io/Logging_0480/tillsyn/A 35122-2023 tillsynsbegäran.docx", "A 35122-2023")</f>
        <v/>
      </c>
      <c r="AD69">
        <f>HYPERLINK("https://klasma.github.io/Logging_0480/tillsynsmail/A 35122-2023 tillsynsbegäran mail.docx", "A 35122-2023")</f>
        <v/>
      </c>
    </row>
    <row r="70" ht="15" customHeight="1">
      <c r="A70" t="inlineStr">
        <is>
          <t>A 35318-2024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45530</v>
      </c>
      <c r="E70" s="1" t="n">
        <v>46315</v>
      </c>
      <c r="F70" t="inlineStr">
        <is>
          <t>SÖDERMANLANDS LÄN</t>
        </is>
      </c>
      <c r="G70" t="inlineStr">
        <is>
          <t>NYKÖPING</t>
        </is>
      </c>
      <c r="I70" t="n">
        <v>7.6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HYPERLINK("https://klasma.github.io/Logging_0480/artfynd/A 35318-2024 artfynd.xlsx", "A 35318-2024")</f>
        <v/>
      </c>
      <c r="X70">
        <f>HYPERLINK("https://klasma.github.io/Logging_0480/kartor/A 35318-2024 karta.png", "A 35318-2024")</f>
        <v/>
      </c>
      <c r="Y70">
        <f>HYPERLINK("https://klasma.github.io/Logging_0480/kartor_geotiff/A 35318-2024 georefererad karta.tif", "A 35318-2024")</f>
        <v/>
      </c>
      <c r="AA70">
        <f>HYPERLINK("https://klasma.github.io/Logging_0480/klagomål/A 35318-2024 FSC-klagomål.docx", "A 35318-2024")</f>
        <v/>
      </c>
      <c r="AB70">
        <f>HYPERLINK("https://klasma.github.io/Logging_0480/klagomålsmail/A 35318-2024 FSC-klagomål mail.docx", "A 35318-2024")</f>
        <v/>
      </c>
      <c r="AC70">
        <f>HYPERLINK("https://klasma.github.io/Logging_0480/tillsyn/A 35318-2024 tillsynsbegäran.docx", "A 35318-2024")</f>
        <v/>
      </c>
      <c r="AD70">
        <f>HYPERLINK("https://klasma.github.io/Logging_0480/tillsynsmail/A 35318-2024 tillsynsbegäran mail.docx", "A 35318-2024")</f>
        <v/>
      </c>
    </row>
    <row r="71" ht="15" customHeight="1">
      <c r="A71" t="inlineStr">
        <is>
          <t>A 45122-2025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46315</v>
      </c>
      <c r="F71" t="inlineStr">
        <is>
          <t>SÖDERMANLANDS LÄN</t>
        </is>
      </c>
      <c r="G71" t="inlineStr">
        <is>
          <t>NYKÖPING</t>
        </is>
      </c>
      <c r="I71" t="n">
        <v>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HYPERLINK("https://klasma.github.io/Logging_0480/artfynd/A 45122-2025 artfynd.xlsx", "A 45122-2025")</f>
        <v/>
      </c>
      <c r="X71">
        <f>HYPERLINK("https://klasma.github.io/Logging_0480/kartor/A 45122-2025 karta.png", "A 45122-2025")</f>
        <v/>
      </c>
      <c r="Y71">
        <f>HYPERLINK("https://klasma.github.io/Logging_0480/kartor_geotiff/A 45122-2025 georefererad karta.tif", "A 45122-2025")</f>
        <v/>
      </c>
      <c r="AA71">
        <f>HYPERLINK("https://klasma.github.io/Logging_0480/klagomål/A 45122-2025 FSC-klagomål.docx", "A 45122-2025")</f>
        <v/>
      </c>
      <c r="AB71">
        <f>HYPERLINK("https://klasma.github.io/Logging_0480/klagomålsmail/A 45122-2025 FSC-klagomål mail.docx", "A 45122-2025")</f>
        <v/>
      </c>
      <c r="AC71">
        <f>HYPERLINK("https://klasma.github.io/Logging_0480/tillsyn/A 45122-2025 tillsynsbegäran.docx", "A 45122-2025")</f>
        <v/>
      </c>
      <c r="AD71">
        <f>HYPERLINK("https://klasma.github.io/Logging_0480/tillsynsmail/A 45122-2025 tillsynsbegäran mail.docx", "A 45122-2025")</f>
        <v/>
      </c>
      <c r="AE71">
        <f>HYPERLINK("https://klasma.github.io/Logging_0480/fåglar/A 45122-2025 prioriterade fågelarter.docx", "A 45122-2025")</f>
        <v/>
      </c>
    </row>
    <row r="72" ht="15" customHeight="1">
      <c r="A72" t="inlineStr">
        <is>
          <t>A 21129-2024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45440</v>
      </c>
      <c r="E72" s="1" t="n">
        <v>46315</v>
      </c>
      <c r="F72" t="inlineStr">
        <is>
          <t>SÖDERMANLANDS LÄN</t>
        </is>
      </c>
      <c r="G72" t="inlineStr">
        <is>
          <t>NYKÖPING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Liljekonvalj</t>
        </is>
      </c>
      <c r="W72">
        <f>HYPERLINK("https://klasma.github.io/Logging_0480/artfynd/A 21129-2024 artfynd.xlsx", "A 21129-2024")</f>
        <v/>
      </c>
      <c r="X72">
        <f>HYPERLINK("https://klasma.github.io/Logging_0480/kartor/A 21129-2024 karta.png", "A 21129-2024")</f>
        <v/>
      </c>
      <c r="Y72">
        <f>HYPERLINK("https://klasma.github.io/Logging_0480/kartor_geotiff/A 21129-2024 georefererad karta.tif", "A 21129-2024")</f>
        <v/>
      </c>
      <c r="AA72">
        <f>HYPERLINK("https://klasma.github.io/Logging_0480/klagomål/A 21129-2024 FSC-klagomål.docx", "A 21129-2024")</f>
        <v/>
      </c>
      <c r="AB72">
        <f>HYPERLINK("https://klasma.github.io/Logging_0480/klagomålsmail/A 21129-2024 FSC-klagomål mail.docx", "A 21129-2024")</f>
        <v/>
      </c>
      <c r="AC72">
        <f>HYPERLINK("https://klasma.github.io/Logging_0480/tillsyn/A 21129-2024 tillsynsbegäran.docx", "A 21129-2024")</f>
        <v/>
      </c>
      <c r="AD72">
        <f>HYPERLINK("https://klasma.github.io/Logging_0480/tillsynsmail/A 21129-2024 tillsynsbegäran mail.docx", "A 21129-2024")</f>
        <v/>
      </c>
    </row>
    <row r="73" ht="15" customHeight="1">
      <c r="A73" t="inlineStr">
        <is>
          <t>A 21021-2026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46145</v>
      </c>
      <c r="E73" s="1" t="n">
        <v>46315</v>
      </c>
      <c r="F73" t="inlineStr">
        <is>
          <t>SÖDERMANLANDS LÄN</t>
        </is>
      </c>
      <c r="G73" t="inlineStr">
        <is>
          <t>NYKÖPING</t>
        </is>
      </c>
      <c r="I73" t="n">
        <v>3.4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Fläcknycklar</t>
        </is>
      </c>
      <c r="W73">
        <f>HYPERLINK("https://klasma.github.io/Logging_0480/artfynd/A 21021-2026 artfynd.xlsx", "A 21021-2026")</f>
        <v/>
      </c>
      <c r="X73">
        <f>HYPERLINK("https://klasma.github.io/Logging_0480/kartor/A 21021-2026 karta.png", "A 21021-2026")</f>
        <v/>
      </c>
      <c r="Y73">
        <f>HYPERLINK("https://klasma.github.io/Logging_0480/kartor_geotiff/A 21021-2026 georefererad karta.tif", "A 21021-2026")</f>
        <v/>
      </c>
      <c r="AA73">
        <f>HYPERLINK("https://klasma.github.io/Logging_0480/klagomål/A 21021-2026 FSC-klagomål.docx", "A 21021-2026")</f>
        <v/>
      </c>
      <c r="AB73">
        <f>HYPERLINK("https://klasma.github.io/Logging_0480/klagomålsmail/A 21021-2026 FSC-klagomål mail.docx", "A 21021-2026")</f>
        <v/>
      </c>
      <c r="AC73">
        <f>HYPERLINK("https://klasma.github.io/Logging_0480/tillsyn/A 21021-2026 tillsynsbegäran.docx", "A 21021-2026")</f>
        <v/>
      </c>
      <c r="AD73">
        <f>HYPERLINK("https://klasma.github.io/Logging_0480/tillsynsmail/A 21021-2026 tillsynsbegäran mail.docx", "A 21021-2026")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46315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46315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5509-2023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44960</v>
      </c>
      <c r="E76" s="1" t="n">
        <v>46315</v>
      </c>
      <c r="F76" t="inlineStr">
        <is>
          <t>SÖDERMANLANDS LÄN</t>
        </is>
      </c>
      <c r="G76" t="inlineStr">
        <is>
          <t>NYKÖPING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Kungsfågel</t>
        </is>
      </c>
      <c r="W76">
        <f>HYPERLINK("https://klasma.github.io/Logging_0480/artfynd/A 5509-2023 artfynd.xlsx", "A 5509-2023")</f>
        <v/>
      </c>
      <c r="X76">
        <f>HYPERLINK("https://klasma.github.io/Logging_0480/kartor/A 5509-2023 karta.png", "A 5509-2023")</f>
        <v/>
      </c>
      <c r="Y76">
        <f>HYPERLINK("https://klasma.github.io/Logging_0480/kartor_geotiff/A 5509-2023 georefererad karta.tif", "A 5509-2023")</f>
        <v/>
      </c>
      <c r="AA76">
        <f>HYPERLINK("https://klasma.github.io/Logging_0480/klagomål/A 5509-2023 FSC-klagomål.docx", "A 5509-2023")</f>
        <v/>
      </c>
      <c r="AB76">
        <f>HYPERLINK("https://klasma.github.io/Logging_0480/klagomålsmail/A 5509-2023 FSC-klagomål mail.docx", "A 5509-2023")</f>
        <v/>
      </c>
      <c r="AC76">
        <f>HYPERLINK("https://klasma.github.io/Logging_0480/tillsyn/A 5509-2023 tillsynsbegäran.docx", "A 5509-2023")</f>
        <v/>
      </c>
      <c r="AD76">
        <f>HYPERLINK("https://klasma.github.io/Logging_0480/tillsynsmail/A 5509-2023 tillsynsbegäran mail.docx", "A 5509-2023")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46315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28542-2023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46315</v>
      </c>
      <c r="F78" t="inlineStr">
        <is>
          <t>SÖDERMANLANDS LÄN</t>
        </is>
      </c>
      <c r="G78" t="inlineStr">
        <is>
          <t>NYKÖPING</t>
        </is>
      </c>
      <c r="I78" t="n">
        <v>2.8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HYPERLINK("https://klasma.github.io/Logging_0480/artfynd/A 28542-2023 artfynd.xlsx", "A 28542-2023")</f>
        <v/>
      </c>
      <c r="X78">
        <f>HYPERLINK("https://klasma.github.io/Logging_0480/kartor/A 28542-2023 karta.png", "A 28542-2023")</f>
        <v/>
      </c>
      <c r="Y78">
        <f>HYPERLINK("https://klasma.github.io/Logging_0480/kartor_geotiff/A 28542-2023 georefererad karta.tif", "A 28542-2023")</f>
        <v/>
      </c>
      <c r="Z78">
        <f>HYPERLINK("https://klasma.github.io/Logging_0480/knärot/A 28542-2023 karta knärot.png", "A 28542-2023")</f>
        <v/>
      </c>
      <c r="AA78">
        <f>HYPERLINK("https://klasma.github.io/Logging_0480/klagomål/A 28542-2023 FSC-klagomål.docx", "A 28542-2023")</f>
        <v/>
      </c>
      <c r="AB78">
        <f>HYPERLINK("https://klasma.github.io/Logging_0480/klagomålsmail/A 28542-2023 FSC-klagomål mail.docx", "A 28542-2023")</f>
        <v/>
      </c>
      <c r="AC78">
        <f>HYPERLINK("https://klasma.github.io/Logging_0480/tillsyn/A 28542-2023 tillsynsbegäran.docx", "A 28542-2023")</f>
        <v/>
      </c>
      <c r="AD78">
        <f>HYPERLINK("https://klasma.github.io/Logging_0480/tillsynsmail/A 28542-2023 tillsynsbegäran mail.docx", "A 28542-2023")</f>
        <v/>
      </c>
    </row>
    <row r="79" ht="15" customHeight="1">
      <c r="A79" t="inlineStr">
        <is>
          <t>A 22495-2026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46315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Vedticka</t>
        </is>
      </c>
      <c r="W79">
        <f>HYPERLINK("https://klasma.github.io/Logging_0480/artfynd/A 22495-2026 artfynd.xlsx", "A 22495-2026")</f>
        <v/>
      </c>
      <c r="X79">
        <f>HYPERLINK("https://klasma.github.io/Logging_0480/kartor/A 22495-2026 karta.png", "A 22495-2026")</f>
        <v/>
      </c>
      <c r="Y79">
        <f>HYPERLINK("https://klasma.github.io/Logging_0480/kartor_geotiff/A 22495-2026 georefererad karta.tif", "A 22495-2026")</f>
        <v/>
      </c>
      <c r="AA79">
        <f>HYPERLINK("https://klasma.github.io/Logging_0480/klagomål/A 22495-2026 FSC-klagomål.docx", "A 22495-2026")</f>
        <v/>
      </c>
      <c r="AB79">
        <f>HYPERLINK("https://klasma.github.io/Logging_0480/klagomålsmail/A 22495-2026 FSC-klagomål mail.docx", "A 22495-2026")</f>
        <v/>
      </c>
      <c r="AC79">
        <f>HYPERLINK("https://klasma.github.io/Logging_0480/tillsyn/A 22495-2026 tillsynsbegäran.docx", "A 22495-2026")</f>
        <v/>
      </c>
      <c r="AD79">
        <f>HYPERLINK("https://klasma.github.io/Logging_0480/tillsynsmail/A 22495-2026 tillsynsbegäran mail.docx", "A 22495-2026")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46315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63423-2025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46315</v>
      </c>
      <c r="F81" t="inlineStr">
        <is>
          <t>SÖDERMANLANDS LÄN</t>
        </is>
      </c>
      <c r="G81" t="inlineStr">
        <is>
          <t>NYKÖPING</t>
        </is>
      </c>
      <c r="I81" t="n">
        <v>7.4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63423-2025 artfynd.xlsx", "A 63423-2025")</f>
        <v/>
      </c>
      <c r="X81">
        <f>HYPERLINK("https://klasma.github.io/Logging_0480/kartor/A 63423-2025 karta.png", "A 63423-2025")</f>
        <v/>
      </c>
      <c r="Y81">
        <f>HYPERLINK("https://klasma.github.io/Logging_0480/kartor_geotiff/A 63423-2025 georefererad karta.tif", "A 63423-2025")</f>
        <v/>
      </c>
      <c r="AA81">
        <f>HYPERLINK("https://klasma.github.io/Logging_0480/klagomål/A 63423-2025 FSC-klagomål.docx", "A 63423-2025")</f>
        <v/>
      </c>
      <c r="AB81">
        <f>HYPERLINK("https://klasma.github.io/Logging_0480/klagomålsmail/A 63423-2025 FSC-klagomål mail.docx", "A 63423-2025")</f>
        <v/>
      </c>
      <c r="AC81">
        <f>HYPERLINK("https://klasma.github.io/Logging_0480/tillsyn/A 63423-2025 tillsynsbegäran.docx", "A 63423-2025")</f>
        <v/>
      </c>
      <c r="AD81">
        <f>HYPERLINK("https://klasma.github.io/Logging_0480/tillsynsmail/A 63423-2025 tillsynsbegäran mail.docx", "A 63423-2025")</f>
        <v/>
      </c>
    </row>
    <row r="82" ht="15" customHeight="1">
      <c r="A82" t="inlineStr">
        <is>
          <t>A 20415-2024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46315</v>
      </c>
      <c r="F82" t="inlineStr">
        <is>
          <t>SÖDERMANLANDS LÄN</t>
        </is>
      </c>
      <c r="G82" t="inlineStr">
        <is>
          <t>NYKÖPING</t>
        </is>
      </c>
      <c r="H82" t="inlineStr">
        <is>
          <t>Kommuner</t>
        </is>
      </c>
      <c r="I82" t="n">
        <v>6.4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HYPERLINK("https://klasma.github.io/Logging_0480/artfynd/A 20415-2024 artfynd.xlsx", "A 20415-2024")</f>
        <v/>
      </c>
      <c r="X82">
        <f>HYPERLINK("https://klasma.github.io/Logging_0480/kartor/A 20415-2024 karta.png", "A 20415-2024")</f>
        <v/>
      </c>
      <c r="Y82">
        <f>HYPERLINK("https://klasma.github.io/Logging_0480/kartor_geotiff/A 20415-2024 georefererad karta.tif", "A 20415-2024")</f>
        <v/>
      </c>
      <c r="AA82">
        <f>HYPERLINK("https://klasma.github.io/Logging_0480/klagomål/A 20415-2024 FSC-klagomål.docx", "A 20415-2024")</f>
        <v/>
      </c>
      <c r="AB82">
        <f>HYPERLINK("https://klasma.github.io/Logging_0480/klagomålsmail/A 20415-2024 FSC-klagomål mail.docx", "A 20415-2024")</f>
        <v/>
      </c>
      <c r="AC82">
        <f>HYPERLINK("https://klasma.github.io/Logging_0480/tillsyn/A 20415-2024 tillsynsbegäran.docx", "A 20415-2024")</f>
        <v/>
      </c>
      <c r="AD82">
        <f>HYPERLINK("https://klasma.github.io/Logging_0480/tillsynsmail/A 20415-2024 tillsynsbegäran mail.docx", "A 20415-2024")</f>
        <v/>
      </c>
      <c r="AE82">
        <f>HYPERLINK("https://klasma.github.io/Logging_0480/fåglar/A 20415-2024 prioriterade fågelarter.docx", "A 20415-2024")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46315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4305-2026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46315</v>
      </c>
      <c r="F84" t="inlineStr">
        <is>
          <t>SÖDERMANLANDS LÄN</t>
        </is>
      </c>
      <c r="G84" t="inlineStr">
        <is>
          <t>NYKÖPING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Tallticka</t>
        </is>
      </c>
      <c r="W84">
        <f>HYPERLINK("https://klasma.github.io/Logging_0480/artfynd/A 4305-2026 artfynd.xlsx", "A 4305-2026")</f>
        <v/>
      </c>
      <c r="X84">
        <f>HYPERLINK("https://klasma.github.io/Logging_0480/kartor/A 4305-2026 karta.png", "A 4305-2026")</f>
        <v/>
      </c>
      <c r="Y84">
        <f>HYPERLINK("https://klasma.github.io/Logging_0480/kartor_geotiff/A 4305-2026 georefererad karta.tif", "A 4305-2026")</f>
        <v/>
      </c>
      <c r="AA84">
        <f>HYPERLINK("https://klasma.github.io/Logging_0480/klagomål/A 4305-2026 FSC-klagomål.docx", "A 4305-2026")</f>
        <v/>
      </c>
      <c r="AB84">
        <f>HYPERLINK("https://klasma.github.io/Logging_0480/klagomålsmail/A 4305-2026 FSC-klagomål mail.docx", "A 4305-2026")</f>
        <v/>
      </c>
      <c r="AC84">
        <f>HYPERLINK("https://klasma.github.io/Logging_0480/tillsyn/A 4305-2026 tillsynsbegäran.docx", "A 4305-2026")</f>
        <v/>
      </c>
      <c r="AD84">
        <f>HYPERLINK("https://klasma.github.io/Logging_0480/tillsynsmail/A 4305-2026 tillsynsbegäran mail.docx", "A 4305-2026")</f>
        <v/>
      </c>
    </row>
    <row r="85" ht="15" customHeight="1">
      <c r="A85" t="inlineStr">
        <is>
          <t>A 2837-2025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46315</v>
      </c>
      <c r="F85" t="inlineStr">
        <is>
          <t>SÖDERMANLANDS LÄN</t>
        </is>
      </c>
      <c r="G85" t="inlineStr">
        <is>
          <t>NYKÖPING</t>
        </is>
      </c>
      <c r="I85" t="n">
        <v>5.2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0</v>
      </c>
      <c r="V85" s="2" t="inlineStr">
        <is>
          <t>Hasselticka</t>
        </is>
      </c>
      <c r="W85">
        <f>HYPERLINK("https://klasma.github.io/Logging_0480/artfynd/A 2837-2025 artfynd.xlsx", "A 2837-2025")</f>
        <v/>
      </c>
      <c r="X85">
        <f>HYPERLINK("https://klasma.github.io/Logging_0480/kartor/A 2837-2025 karta.png", "A 2837-2025")</f>
        <v/>
      </c>
      <c r="Y85">
        <f>HYPERLINK("https://klasma.github.io/Logging_0480/kartor_geotiff/A 2837-2025 georefererad karta.tif", "A 2837-2025")</f>
        <v/>
      </c>
      <c r="AA85">
        <f>HYPERLINK("https://klasma.github.io/Logging_0480/klagomål/A 2837-2025 FSC-klagomål.docx", "A 2837-2025")</f>
        <v/>
      </c>
      <c r="AB85">
        <f>HYPERLINK("https://klasma.github.io/Logging_0480/klagomålsmail/A 2837-2025 FSC-klagomål mail.docx", "A 2837-2025")</f>
        <v/>
      </c>
      <c r="AC85">
        <f>HYPERLINK("https://klasma.github.io/Logging_0480/tillsyn/A 2837-2025 tillsynsbegäran.docx", "A 2837-2025")</f>
        <v/>
      </c>
      <c r="AD85">
        <f>HYPERLINK("https://klasma.github.io/Logging_0480/tillsynsmail/A 2837-2025 tillsynsbegäran mail.docx", "A 2837-2025")</f>
        <v/>
      </c>
    </row>
    <row r="86" ht="15" customHeight="1">
      <c r="A86" t="inlineStr">
        <is>
          <t>A 9973-2022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46315</v>
      </c>
      <c r="F86" t="inlineStr">
        <is>
          <t>SÖDERMANLANDS LÄN</t>
        </is>
      </c>
      <c r="G86" t="inlineStr">
        <is>
          <t>NYKÖPING</t>
        </is>
      </c>
      <c r="I86" t="n">
        <v>18.3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 sköldmossa</t>
        </is>
      </c>
      <c r="W86">
        <f>HYPERLINK("https://klasma.github.io/Logging_0480/artfynd/A 9973-2022 artfynd.xlsx", "A 9973-2022")</f>
        <v/>
      </c>
      <c r="X86">
        <f>HYPERLINK("https://klasma.github.io/Logging_0480/kartor/A 9973-2022 karta.png", "A 9973-2022")</f>
        <v/>
      </c>
      <c r="Y86">
        <f>HYPERLINK("https://klasma.github.io/Logging_0480/kartor_geotiff/A 9973-2022 georefererad karta.tif", "A 9973-2022")</f>
        <v/>
      </c>
      <c r="AA86">
        <f>HYPERLINK("https://klasma.github.io/Logging_0480/klagomål/A 9973-2022 FSC-klagomål.docx", "A 9973-2022")</f>
        <v/>
      </c>
      <c r="AB86">
        <f>HYPERLINK("https://klasma.github.io/Logging_0480/klagomålsmail/A 9973-2022 FSC-klagomål mail.docx", "A 9973-2022")</f>
        <v/>
      </c>
      <c r="AC86">
        <f>HYPERLINK("https://klasma.github.io/Logging_0480/tillsyn/A 9973-2022 tillsynsbegäran.docx", "A 9973-2022")</f>
        <v/>
      </c>
      <c r="AD86">
        <f>HYPERLINK("https://klasma.github.io/Logging_0480/tillsynsmail/A 9973-2022 tillsynsbegäran mail.docx", "A 9973-2022")</f>
        <v/>
      </c>
    </row>
    <row r="87" ht="15" customHeight="1">
      <c r="A87" t="inlineStr">
        <is>
          <t>A 10886-2026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46315</v>
      </c>
      <c r="F87" t="inlineStr">
        <is>
          <t>SÖDERMANLANDS LÄN</t>
        </is>
      </c>
      <c r="G87" t="inlineStr">
        <is>
          <t>NYKÖPING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HYPERLINK("https://klasma.github.io/Logging_0480/artfynd/A 10886-2026 artfynd.xlsx", "A 10886-2026")</f>
        <v/>
      </c>
      <c r="X87">
        <f>HYPERLINK("https://klasma.github.io/Logging_0480/kartor/A 10886-2026 karta.png", "A 10886-2026")</f>
        <v/>
      </c>
      <c r="Y87">
        <f>HYPERLINK("https://klasma.github.io/Logging_0480/kartor_geotiff/A 10886-2026 georefererad karta.tif", "A 10886-2026")</f>
        <v/>
      </c>
      <c r="AA87">
        <f>HYPERLINK("https://klasma.github.io/Logging_0480/klagomål/A 10886-2026 FSC-klagomål.docx", "A 10886-2026")</f>
        <v/>
      </c>
      <c r="AB87">
        <f>HYPERLINK("https://klasma.github.io/Logging_0480/klagomålsmail/A 10886-2026 FSC-klagomål mail.docx", "A 10886-2026")</f>
        <v/>
      </c>
      <c r="AC87">
        <f>HYPERLINK("https://klasma.github.io/Logging_0480/tillsyn/A 10886-2026 tillsynsbegäran.docx", "A 10886-2026")</f>
        <v/>
      </c>
      <c r="AD87">
        <f>HYPERLINK("https://klasma.github.io/Logging_0480/tillsynsmail/A 10886-2026 tillsynsbegäran mail.docx", "A 10886-2026")</f>
        <v/>
      </c>
    </row>
    <row r="88" ht="15" customHeight="1">
      <c r="A88" t="inlineStr">
        <is>
          <t>A 31182-2026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46217</v>
      </c>
      <c r="E88" s="1" t="n">
        <v>46315</v>
      </c>
      <c r="F88" t="inlineStr">
        <is>
          <t>SÖDERMANLANDS LÄN</t>
        </is>
      </c>
      <c r="G88" t="inlineStr">
        <is>
          <t>NYKÖPING</t>
        </is>
      </c>
      <c r="I88" t="n">
        <v>5.1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HYPERLINK("https://klasma.github.io/Logging_0480/artfynd/A 31182-2026 artfynd.xlsx", "A 31182-2026")</f>
        <v/>
      </c>
      <c r="X88">
        <f>HYPERLINK("https://klasma.github.io/Logging_0480/kartor/A 31182-2026 karta.png", "A 31182-2026")</f>
        <v/>
      </c>
      <c r="Y88">
        <f>HYPERLINK("https://klasma.github.io/Logging_0480/kartor_geotiff/A 31182-2026 georefererad karta.tif", "A 31182-2026")</f>
        <v/>
      </c>
      <c r="AA88">
        <f>HYPERLINK("https://klasma.github.io/Logging_0480/klagomål/A 31182-2026 FSC-klagomål.docx", "A 31182-2026")</f>
        <v/>
      </c>
      <c r="AB88">
        <f>HYPERLINK("https://klasma.github.io/Logging_0480/klagomålsmail/A 31182-2026 FSC-klagomål mail.docx", "A 31182-2026")</f>
        <v/>
      </c>
      <c r="AC88">
        <f>HYPERLINK("https://klasma.github.io/Logging_0480/tillsyn/A 31182-2026 tillsynsbegäran.docx", "A 31182-2026")</f>
        <v/>
      </c>
      <c r="AD88">
        <f>HYPERLINK("https://klasma.github.io/Logging_0480/tillsynsmail/A 31182-2026 tillsynsbegäran mail.docx", "A 31182-2026")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46315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65889-2021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46315</v>
      </c>
      <c r="F90" t="inlineStr">
        <is>
          <t>SÖDERMANLANDS LÄN</t>
        </is>
      </c>
      <c r="G90" t="inlineStr">
        <is>
          <t>NYKÖPING</t>
        </is>
      </c>
      <c r="I90" t="n">
        <v>4.8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Backstarr</t>
        </is>
      </c>
      <c r="W90">
        <f>HYPERLINK("https://klasma.github.io/Logging_0480/artfynd/A 65889-2021 artfynd.xlsx", "A 65889-2021")</f>
        <v/>
      </c>
      <c r="X90">
        <f>HYPERLINK("https://klasma.github.io/Logging_0480/kartor/A 65889-2021 karta.png", "A 65889-2021")</f>
        <v/>
      </c>
      <c r="Y90">
        <f>HYPERLINK("https://klasma.github.io/Logging_0480/kartor_geotiff/A 65889-2021 georefererad karta.tif", "A 65889-2021")</f>
        <v/>
      </c>
      <c r="AA90">
        <f>HYPERLINK("https://klasma.github.io/Logging_0480/klagomål/A 65889-2021 FSC-klagomål.docx", "A 65889-2021")</f>
        <v/>
      </c>
      <c r="AB90">
        <f>HYPERLINK("https://klasma.github.io/Logging_0480/klagomålsmail/A 65889-2021 FSC-klagomål mail.docx", "A 65889-2021")</f>
        <v/>
      </c>
      <c r="AC90">
        <f>HYPERLINK("https://klasma.github.io/Logging_0480/tillsyn/A 65889-2021 tillsynsbegäran.docx", "A 65889-2021")</f>
        <v/>
      </c>
      <c r="AD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46315</v>
      </c>
      <c r="F91" t="inlineStr">
        <is>
          <t>SÖDERMANLANDS LÄN</t>
        </is>
      </c>
      <c r="G91" t="inlineStr">
        <is>
          <t>NYKÖPING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Dropptaggsvamp</t>
        </is>
      </c>
      <c r="W91">
        <f>HYPERLINK("https://klasma.github.io/Logging_0480/artfynd/A 13724-2024 artfynd.xlsx", "A 13724-2024")</f>
        <v/>
      </c>
      <c r="X91">
        <f>HYPERLINK("https://klasma.github.io/Logging_0480/kartor/A 13724-2024 karta.png", "A 13724-2024")</f>
        <v/>
      </c>
      <c r="Y91">
        <f>HYPERLINK("https://klasma.github.io/Logging_0480/kartor_geotiff/A 13724-2024 georefererad karta.tif", "A 13724-2024")</f>
        <v/>
      </c>
      <c r="AA91">
        <f>HYPERLINK("https://klasma.github.io/Logging_0480/klagomål/A 13724-2024 FSC-klagomål.docx", "A 13724-2024")</f>
        <v/>
      </c>
      <c r="AB91">
        <f>HYPERLINK("https://klasma.github.io/Logging_0480/klagomålsmail/A 13724-2024 FSC-klagomål mail.docx", "A 13724-2024")</f>
        <v/>
      </c>
      <c r="AC91">
        <f>HYPERLINK("https://klasma.github.io/Logging_0480/tillsyn/A 13724-2024 tillsynsbegäran.docx", "A 13724-2024")</f>
        <v/>
      </c>
      <c r="AD91">
        <f>HYPERLINK("https://klasma.github.io/Logging_0480/tillsynsmail/A 13724-2024 tillsynsbegäran mail.docx", "A 13724-2024")</f>
        <v/>
      </c>
    </row>
    <row r="92" ht="15" customHeight="1">
      <c r="A92" t="inlineStr">
        <is>
          <t>A 31998-2026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46232</v>
      </c>
      <c r="E92" s="1" t="n">
        <v>46315</v>
      </c>
      <c r="F92" t="inlineStr">
        <is>
          <t>SÖDERMANLANDS LÄN</t>
        </is>
      </c>
      <c r="G92" t="inlineStr">
        <is>
          <t>NYKÖPING</t>
        </is>
      </c>
      <c r="H92" t="inlineStr">
        <is>
          <t>Sveaskog</t>
        </is>
      </c>
      <c r="I92" t="n">
        <v>12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HYPERLINK("https://klasma.github.io/Logging_0480/artfynd/A 31998-2026 artfynd.xlsx", "A 31998-2026")</f>
        <v/>
      </c>
      <c r="X92">
        <f>HYPERLINK("https://klasma.github.io/Logging_0480/kartor/A 31998-2026 karta.png", "A 31998-2026")</f>
        <v/>
      </c>
      <c r="Y92">
        <f>HYPERLINK("https://klasma.github.io/Logging_0480/kartor_geotiff/A 31998-2026 georefererad karta.tif", "A 31998-2026")</f>
        <v/>
      </c>
      <c r="AA92">
        <f>HYPERLINK("https://klasma.github.io/Logging_0480/klagomål/A 31998-2026 FSC-klagomål.docx", "A 31998-2026")</f>
        <v/>
      </c>
      <c r="AB92">
        <f>HYPERLINK("https://klasma.github.io/Logging_0480/klagomålsmail/A 31998-2026 FSC-klagomål mail.docx", "A 31998-2026")</f>
        <v/>
      </c>
      <c r="AC92">
        <f>HYPERLINK("https://klasma.github.io/Logging_0480/tillsyn/A 31998-2026 tillsynsbegäran.docx", "A 31998-2026")</f>
        <v/>
      </c>
      <c r="AD92">
        <f>HYPERLINK("https://klasma.github.io/Logging_0480/tillsynsmail/A 31998-2026 tillsynsbegäran mail.docx", "A 31998-2026")</f>
        <v/>
      </c>
    </row>
    <row r="93" ht="15" customHeight="1">
      <c r="A93" t="inlineStr">
        <is>
          <t>A 2829-2025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46315</v>
      </c>
      <c r="F93" t="inlineStr">
        <is>
          <t>SÖDERMANLANDS LÄN</t>
        </is>
      </c>
      <c r="G93" t="inlineStr">
        <is>
          <t>NYKÖPING</t>
        </is>
      </c>
      <c r="H93" t="inlineStr">
        <is>
          <t>Allmännings- och besparingsskogar</t>
        </is>
      </c>
      <c r="I93" t="n">
        <v>12.1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Nattskärra</t>
        </is>
      </c>
      <c r="W93">
        <f>HYPERLINK("https://klasma.github.io/Logging_0480/artfynd/A 2829-2025 artfynd.xlsx", "A 2829-2025")</f>
        <v/>
      </c>
      <c r="X93">
        <f>HYPERLINK("https://klasma.github.io/Logging_0480/kartor/A 2829-2025 karta.png", "A 2829-2025")</f>
        <v/>
      </c>
      <c r="Y93">
        <f>HYPERLINK("https://klasma.github.io/Logging_0480/kartor_geotiff/A 2829-2025 georefererad karta.tif", "A 2829-2025")</f>
        <v/>
      </c>
      <c r="AA93">
        <f>HYPERLINK("https://klasma.github.io/Logging_0480/klagomål/A 2829-2025 FSC-klagomål.docx", "A 2829-2025")</f>
        <v/>
      </c>
      <c r="AB93">
        <f>HYPERLINK("https://klasma.github.io/Logging_0480/klagomålsmail/A 2829-2025 FSC-klagomål mail.docx", "A 2829-2025")</f>
        <v/>
      </c>
      <c r="AC93">
        <f>HYPERLINK("https://klasma.github.io/Logging_0480/tillsyn/A 2829-2025 tillsynsbegäran.docx", "A 2829-2025")</f>
        <v/>
      </c>
      <c r="AD93">
        <f>HYPERLINK("https://klasma.github.io/Logging_0480/tillsynsmail/A 2829-2025 tillsynsbegäran mail.docx", "A 2829-2025")</f>
        <v/>
      </c>
      <c r="AE93">
        <f>HYPERLINK("https://klasma.github.io/Logging_0480/fåglar/A 2829-2025 prioriterade fågelarter.docx", "A 2829-2025")</f>
        <v/>
      </c>
    </row>
    <row r="94" ht="15" customHeight="1">
      <c r="A94" t="inlineStr">
        <is>
          <t>A 20425-2024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46315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HYPERLINK("https://klasma.github.io/Logging_0480/artfynd/A 20425-2024 artfynd.xlsx", "A 20425-2024")</f>
        <v/>
      </c>
      <c r="X94">
        <f>HYPERLINK("https://klasma.github.io/Logging_0480/kartor/A 20425-2024 karta.png", "A 20425-2024")</f>
        <v/>
      </c>
      <c r="Y94">
        <f>HYPERLINK("https://klasma.github.io/Logging_0480/kartor_geotiff/A 20425-2024 georefererad karta.tif", "A 20425-2024")</f>
        <v/>
      </c>
      <c r="AA94">
        <f>HYPERLINK("https://klasma.github.io/Logging_0480/klagomål/A 20425-2024 FSC-klagomål.docx", "A 20425-2024")</f>
        <v/>
      </c>
      <c r="AB94">
        <f>HYPERLINK("https://klasma.github.io/Logging_0480/klagomålsmail/A 20425-2024 FSC-klagomål mail.docx", "A 20425-2024")</f>
        <v/>
      </c>
      <c r="AC94">
        <f>HYPERLINK("https://klasma.github.io/Logging_0480/tillsyn/A 20425-2024 tillsynsbegäran.docx", "A 20425-2024")</f>
        <v/>
      </c>
      <c r="AD94">
        <f>HYPERLINK("https://klasma.github.io/Logging_0480/tillsynsmail/A 20425-2024 tillsynsbegäran mail.docx", "A 20425-2024")</f>
        <v/>
      </c>
    </row>
    <row r="95" ht="15" customHeight="1">
      <c r="A95" t="inlineStr">
        <is>
          <t>A 20325-2023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46315</v>
      </c>
      <c r="F95" t="inlineStr">
        <is>
          <t>SÖDERMANLANDS LÄN</t>
        </is>
      </c>
      <c r="G95" t="inlineStr">
        <is>
          <t>NYKÖPING</t>
        </is>
      </c>
      <c r="I95" t="n">
        <v>0.2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Kamjordstjärna</t>
        </is>
      </c>
      <c r="W95">
        <f>HYPERLINK("https://klasma.github.io/Logging_0480/artfynd/A 20325-2023 artfynd.xlsx", "A 20325-2023")</f>
        <v/>
      </c>
      <c r="X95">
        <f>HYPERLINK("https://klasma.github.io/Logging_0480/kartor/A 20325-2023 karta.png", "A 20325-2023")</f>
        <v/>
      </c>
      <c r="Y95">
        <f>HYPERLINK("https://klasma.github.io/Logging_0480/kartor_geotiff/A 20325-2023 georefererad karta.tif", "A 20325-2023")</f>
        <v/>
      </c>
      <c r="AA95">
        <f>HYPERLINK("https://klasma.github.io/Logging_0480/klagomål/A 20325-2023 FSC-klagomål.docx", "A 20325-2023")</f>
        <v/>
      </c>
      <c r="AB95">
        <f>HYPERLINK("https://klasma.github.io/Logging_0480/klagomålsmail/A 20325-2023 FSC-klagomål mail.docx", "A 20325-2023")</f>
        <v/>
      </c>
      <c r="AC95">
        <f>HYPERLINK("https://klasma.github.io/Logging_0480/tillsyn/A 20325-2023 tillsynsbegäran.docx", "A 20325-2023")</f>
        <v/>
      </c>
      <c r="AD95">
        <f>HYPERLINK("https://klasma.github.io/Logging_0480/tillsynsmail/A 20325-2023 tillsynsbegäran mail.docx", "A 20325-2023")</f>
        <v/>
      </c>
    </row>
    <row r="96" ht="15" customHeight="1">
      <c r="A96" t="inlineStr">
        <is>
          <t>A 32627-2026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46240</v>
      </c>
      <c r="E96" s="1" t="n">
        <v>46315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2.4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Motaggsvamp</t>
        </is>
      </c>
      <c r="W96">
        <f>HYPERLINK("https://klasma.github.io/Logging_0480/artfynd/A 32627-2026 artfynd.xlsx", "A 32627-2026")</f>
        <v/>
      </c>
      <c r="X96">
        <f>HYPERLINK("https://klasma.github.io/Logging_0480/kartor/A 32627-2026 karta.png", "A 32627-2026")</f>
        <v/>
      </c>
      <c r="Y96">
        <f>HYPERLINK("https://klasma.github.io/Logging_0480/kartor_geotiff/A 32627-2026 georefererad karta.tif", "A 32627-2026")</f>
        <v/>
      </c>
      <c r="AA96">
        <f>HYPERLINK("https://klasma.github.io/Logging_0480/klagomål/A 32627-2026 FSC-klagomål.docx", "A 32627-2026")</f>
        <v/>
      </c>
      <c r="AB96">
        <f>HYPERLINK("https://klasma.github.io/Logging_0480/klagomålsmail/A 32627-2026 FSC-klagomål mail.docx", "A 32627-2026")</f>
        <v/>
      </c>
      <c r="AC96">
        <f>HYPERLINK("https://klasma.github.io/Logging_0480/tillsyn/A 32627-2026 tillsynsbegäran.docx", "A 32627-2026")</f>
        <v/>
      </c>
      <c r="AD96">
        <f>HYPERLINK("https://klasma.github.io/Logging_0480/tillsynsmail/A 32627-2026 tillsynsbegäran mail.docx", "A 32627-2026")</f>
        <v/>
      </c>
    </row>
    <row r="97" ht="15" customHeight="1">
      <c r="A97" t="inlineStr">
        <is>
          <t>A 59329-2023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45252</v>
      </c>
      <c r="E97" s="1" t="n">
        <v>46315</v>
      </c>
      <c r="F97" t="inlineStr">
        <is>
          <t>SÖDERMANLANDS LÄN</t>
        </is>
      </c>
      <c r="G97" t="inlineStr">
        <is>
          <t>NYKÖPING</t>
        </is>
      </c>
      <c r="I97" t="n">
        <v>22.1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59329-2023 artfynd.xlsx", "A 59329-2023")</f>
        <v/>
      </c>
      <c r="X97">
        <f>HYPERLINK("https://klasma.github.io/Logging_0480/kartor/A 59329-2023 karta.png", "A 59329-2023")</f>
        <v/>
      </c>
      <c r="Y97">
        <f>HYPERLINK("https://klasma.github.io/Logging_0480/kartor_geotiff/A 59329-2023 georefererad karta.tif", "A 59329-2023")</f>
        <v/>
      </c>
      <c r="AA97">
        <f>HYPERLINK("https://klasma.github.io/Logging_0480/klagomål/A 59329-2023 FSC-klagomål.docx", "A 59329-2023")</f>
        <v/>
      </c>
      <c r="AB97">
        <f>HYPERLINK("https://klasma.github.io/Logging_0480/klagomålsmail/A 59329-2023 FSC-klagomål mail.docx", "A 59329-2023")</f>
        <v/>
      </c>
      <c r="AC97">
        <f>HYPERLINK("https://klasma.github.io/Logging_0480/tillsyn/A 59329-2023 tillsynsbegäran.docx", "A 59329-2023")</f>
        <v/>
      </c>
      <c r="AD97">
        <f>HYPERLINK("https://klasma.github.io/Logging_0480/tillsynsmail/A 59329-2023 tillsynsbegäran mail.docx", "A 59329-2023")</f>
        <v/>
      </c>
    </row>
    <row r="98" ht="15" customHeight="1">
      <c r="A98" t="inlineStr">
        <is>
          <t>A 1105-2023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46315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Skuggblåslav</t>
        </is>
      </c>
      <c r="W98">
        <f>HYPERLINK("https://klasma.github.io/Logging_0480/artfynd/A 1105-2023 artfynd.xlsx", "A 1105-2023")</f>
        <v/>
      </c>
      <c r="X98">
        <f>HYPERLINK("https://klasma.github.io/Logging_0480/kartor/A 1105-2023 karta.png", "A 1105-2023")</f>
        <v/>
      </c>
      <c r="Y98">
        <f>HYPERLINK("https://klasma.github.io/Logging_0480/kartor_geotiff/A 1105-2023 georefererad karta.tif", "A 1105-2023")</f>
        <v/>
      </c>
      <c r="AA98">
        <f>HYPERLINK("https://klasma.github.io/Logging_0480/klagomål/A 1105-2023 FSC-klagomål.docx", "A 1105-2023")</f>
        <v/>
      </c>
      <c r="AB98">
        <f>HYPERLINK("https://klasma.github.io/Logging_0480/klagomålsmail/A 1105-2023 FSC-klagomål mail.docx", "A 1105-2023")</f>
        <v/>
      </c>
      <c r="AC98">
        <f>HYPERLINK("https://klasma.github.io/Logging_0480/tillsyn/A 1105-2023 tillsynsbegäran.docx", "A 1105-2023")</f>
        <v/>
      </c>
      <c r="AD98">
        <f>HYPERLINK("https://klasma.github.io/Logging_0480/tillsynsmail/A 1105-2023 tillsynsbegäran mail.docx", "A 1105-2023")</f>
        <v/>
      </c>
    </row>
    <row r="99" ht="15" customHeight="1">
      <c r="A99" t="inlineStr">
        <is>
          <t>A 51258-2024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46315</v>
      </c>
      <c r="F99" t="inlineStr">
        <is>
          <t>SÖDERMANLANDS LÄN</t>
        </is>
      </c>
      <c r="G99" t="inlineStr">
        <is>
          <t>NYKÖPING</t>
        </is>
      </c>
      <c r="H99" t="inlineStr">
        <is>
          <t>Sveaskog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HYPERLINK("https://klasma.github.io/Logging_0480/artfynd/A 51258-2024 artfynd.xlsx", "A 51258-2024")</f>
        <v/>
      </c>
      <c r="X99">
        <f>HYPERLINK("https://klasma.github.io/Logging_0480/kartor/A 51258-2024 karta.png", "A 51258-2024")</f>
        <v/>
      </c>
      <c r="Y99">
        <f>HYPERLINK("https://klasma.github.io/Logging_0480/kartor_geotiff/A 51258-2024 georefererad karta.tif", "A 51258-2024")</f>
        <v/>
      </c>
      <c r="AA99">
        <f>HYPERLINK("https://klasma.github.io/Logging_0480/klagomål/A 51258-2024 FSC-klagomål.docx", "A 51258-2024")</f>
        <v/>
      </c>
      <c r="AB99">
        <f>HYPERLINK("https://klasma.github.io/Logging_0480/klagomålsmail/A 51258-2024 FSC-klagomål mail.docx", "A 51258-2024")</f>
        <v/>
      </c>
      <c r="AC99">
        <f>HYPERLINK("https://klasma.github.io/Logging_0480/tillsyn/A 51258-2024 tillsynsbegäran.docx", "A 51258-2024")</f>
        <v/>
      </c>
      <c r="AD99">
        <f>HYPERLINK("https://klasma.github.io/Logging_0480/tillsynsmail/A 51258-2024 tillsynsbegäran mail.docx", "A 51258-2024")</f>
        <v/>
      </c>
    </row>
    <row r="100" ht="15" customHeight="1">
      <c r="A100" t="inlineStr">
        <is>
          <t>A 40494-2026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46295</v>
      </c>
      <c r="E100" s="1" t="n">
        <v>46315</v>
      </c>
      <c r="F100" t="inlineStr">
        <is>
          <t>SÖDERMANLANDS LÄN</t>
        </is>
      </c>
      <c r="G100" t="inlineStr">
        <is>
          <t>NYKÖPING</t>
        </is>
      </c>
      <c r="I100" t="n">
        <v>5.1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skogssnigel</t>
        </is>
      </c>
      <c r="W100">
        <f>HYPERLINK("https://klasma.github.io/Logging_0480/artfynd/A 40494-2026 artfynd.xlsx", "A 40494-2026")</f>
        <v/>
      </c>
      <c r="X100">
        <f>HYPERLINK("https://klasma.github.io/Logging_0480/kartor/A 40494-2026 karta.png", "A 40494-2026")</f>
        <v/>
      </c>
      <c r="Y100">
        <f>HYPERLINK("https://klasma.github.io/Logging_0480/kartor_geotiff/A 40494-2026 georefererad karta.tif", "A 40494-2026")</f>
        <v/>
      </c>
      <c r="AA100">
        <f>HYPERLINK("https://klasma.github.io/Logging_0480/klagomål/A 40494-2026 FSC-klagomål.docx", "A 40494-2026")</f>
        <v/>
      </c>
      <c r="AB100">
        <f>HYPERLINK("https://klasma.github.io/Logging_0480/klagomålsmail/A 40494-2026 FSC-klagomål mail.docx", "A 40494-2026")</f>
        <v/>
      </c>
      <c r="AC100">
        <f>HYPERLINK("https://klasma.github.io/Logging_0480/tillsyn/A 40494-2026 tillsynsbegäran.docx", "A 40494-2026")</f>
        <v/>
      </c>
      <c r="AD100">
        <f>HYPERLINK("https://klasma.github.io/Logging_0480/tillsynsmail/A 40494-2026 tillsynsbegäran mail.docx", "A 40494-2026")</f>
        <v/>
      </c>
    </row>
    <row r="101" ht="15" customHeight="1">
      <c r="A101" t="inlineStr">
        <is>
          <t>A 56080-2024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46315</v>
      </c>
      <c r="F101" t="inlineStr">
        <is>
          <t>SÖDERMANLANDS LÄN</t>
        </is>
      </c>
      <c r="G101" t="inlineStr">
        <is>
          <t>NYKÖPING</t>
        </is>
      </c>
      <c r="I101" t="n">
        <v>5.5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Ärtsångare</t>
        </is>
      </c>
      <c r="W101">
        <f>HYPERLINK("https://klasma.github.io/Logging_0480/artfynd/A 56080-2024 artfynd.xlsx", "A 56080-2024")</f>
        <v/>
      </c>
      <c r="X101">
        <f>HYPERLINK("https://klasma.github.io/Logging_0480/kartor/A 56080-2024 karta.png", "A 56080-2024")</f>
        <v/>
      </c>
      <c r="Y101">
        <f>HYPERLINK("https://klasma.github.io/Logging_0480/kartor_geotiff/A 56080-2024 georefererad karta.tif", "A 56080-2024")</f>
        <v/>
      </c>
      <c r="AA101">
        <f>HYPERLINK("https://klasma.github.io/Logging_0480/klagomål/A 56080-2024 FSC-klagomål.docx", "A 56080-2024")</f>
        <v/>
      </c>
      <c r="AB101">
        <f>HYPERLINK("https://klasma.github.io/Logging_0480/klagomålsmail/A 56080-2024 FSC-klagomål mail.docx", "A 56080-2024")</f>
        <v/>
      </c>
      <c r="AC101">
        <f>HYPERLINK("https://klasma.github.io/Logging_0480/tillsyn/A 56080-2024 tillsynsbegäran.docx", "A 56080-2024")</f>
        <v/>
      </c>
      <c r="AD101">
        <f>HYPERLINK("https://klasma.github.io/Logging_0480/tillsynsmail/A 56080-2024 tillsynsbegäran mail.docx", "A 56080-2024")</f>
        <v/>
      </c>
    </row>
    <row r="102" ht="15" customHeight="1">
      <c r="A102" t="inlineStr">
        <is>
          <t>A 28704-2025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46315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Tallticka</t>
        </is>
      </c>
      <c r="W102">
        <f>HYPERLINK("https://klasma.github.io/Logging_0480/artfynd/A 28704-2025 artfynd.xlsx", "A 28704-2025")</f>
        <v/>
      </c>
      <c r="X102">
        <f>HYPERLINK("https://klasma.github.io/Logging_0480/kartor/A 28704-2025 karta.png", "A 28704-2025")</f>
        <v/>
      </c>
      <c r="Y102">
        <f>HYPERLINK("https://klasma.github.io/Logging_0480/kartor_geotiff/A 28704-2025 georefererad karta.tif", "A 28704-2025")</f>
        <v/>
      </c>
      <c r="AA102">
        <f>HYPERLINK("https://klasma.github.io/Logging_0480/klagomål/A 28704-2025 FSC-klagomål.docx", "A 28704-2025")</f>
        <v/>
      </c>
      <c r="AB102">
        <f>HYPERLINK("https://klasma.github.io/Logging_0480/klagomålsmail/A 28704-2025 FSC-klagomål mail.docx", "A 28704-2025")</f>
        <v/>
      </c>
      <c r="AC102">
        <f>HYPERLINK("https://klasma.github.io/Logging_0480/tillsyn/A 28704-2025 tillsynsbegäran.docx", "A 28704-2025")</f>
        <v/>
      </c>
      <c r="AD102">
        <f>HYPERLINK("https://klasma.github.io/Logging_0480/tillsynsmail/A 28704-2025 tillsynsbegäran mail.docx", "A 28704-2025")</f>
        <v/>
      </c>
    </row>
    <row r="103" ht="15" customHeight="1">
      <c r="A103" t="inlineStr">
        <is>
          <t>A 7270-2025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45702</v>
      </c>
      <c r="E103" s="1" t="n">
        <v>46315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Övriga Aktiebolag</t>
        </is>
      </c>
      <c r="I103" t="n">
        <v>1.2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Järpe</t>
        </is>
      </c>
      <c r="W103">
        <f>HYPERLINK("https://klasma.github.io/Logging_0480/artfynd/A 7270-2025 artfynd.xlsx", "A 7270-2025")</f>
        <v/>
      </c>
      <c r="X103">
        <f>HYPERLINK("https://klasma.github.io/Logging_0480/kartor/A 7270-2025 karta.png", "A 7270-2025")</f>
        <v/>
      </c>
      <c r="Y103">
        <f>HYPERLINK("https://klasma.github.io/Logging_0480/kartor_geotiff/A 7270-2025 georefererad karta.tif", "A 7270-2025")</f>
        <v/>
      </c>
      <c r="AA103">
        <f>HYPERLINK("https://klasma.github.io/Logging_0480/klagomål/A 7270-2025 FSC-klagomål.docx", "A 7270-2025")</f>
        <v/>
      </c>
      <c r="AB103">
        <f>HYPERLINK("https://klasma.github.io/Logging_0480/klagomålsmail/A 7270-2025 FSC-klagomål mail.docx", "A 7270-2025")</f>
        <v/>
      </c>
      <c r="AC103">
        <f>HYPERLINK("https://klasma.github.io/Logging_0480/tillsyn/A 7270-2025 tillsynsbegäran.docx", "A 7270-2025")</f>
        <v/>
      </c>
      <c r="AD103">
        <f>HYPERLINK("https://klasma.github.io/Logging_0480/tillsynsmail/A 7270-2025 tillsynsbegäran mail.docx", "A 7270-2025")</f>
        <v/>
      </c>
      <c r="AE103">
        <f>HYPERLINK("https://klasma.github.io/Logging_0480/fåglar/A 7270-2025 prioriterade fågelarter.docx", "A 7270-2025")</f>
        <v/>
      </c>
    </row>
    <row r="104" ht="15" customHeight="1">
      <c r="A104" t="inlineStr">
        <is>
          <t>S 447-2021</t>
        </is>
      </c>
      <c r="B104" t="inlineStr">
        <is>
          <t>samrådsanmälan</t>
        </is>
      </c>
      <c r="C104" t="inlineStr">
        <is>
          <t>Åtgärd i nyckelbiotop</t>
        </is>
      </c>
      <c r="D104" s="1" t="n">
        <v>44260</v>
      </c>
      <c r="E104" s="1" t="n">
        <v>46315</v>
      </c>
      <c r="F104" t="inlineStr">
        <is>
          <t>SÖDERMANLANDS LÄN</t>
        </is>
      </c>
      <c r="G104" t="inlineStr">
        <is>
          <t>NYKÖPING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HYPERLINK("https://klasma.github.io/Logging_0480/artfynd/S 447-2021 artfynd.xlsx", "S 447-2021")</f>
        <v/>
      </c>
      <c r="X104">
        <f>HYPERLINK("https://klasma.github.io/Logging_0480/kartor/S 447-2021 karta.png", "S 447-2021")</f>
        <v/>
      </c>
      <c r="Y104">
        <f>HYPERLINK("https://klasma.github.io/Logging_0480/kartor_geotiff/S 447-2021 georefererad karta.tif", "S 447-2021")</f>
        <v/>
      </c>
      <c r="AA104">
        <f>HYPERLINK("https://klasma.github.io/Logging_0480/klagomål/S 447-2021 FSC-klagomål.docx", "S 447-2021")</f>
        <v/>
      </c>
      <c r="AB104">
        <f>HYPERLINK("https://klasma.github.io/Logging_0480/klagomålsmail/S 447-2021 FSC-klagomål mail.docx", "S 447-2021")</f>
        <v/>
      </c>
      <c r="AC104">
        <f>HYPERLINK("https://klasma.github.io/Logging_0480/tillsyn/S 447-2021 tillsynsbegäran.docx", "S 447-2021")</f>
        <v/>
      </c>
      <c r="AD104">
        <f>HYPERLINK("https://klasma.github.io/Logging_0480/tillsynsmail/S 447-2021 tillsynsbegäran mail.docx", "S 447-2021")</f>
        <v/>
      </c>
    </row>
    <row r="105" ht="15" customHeight="1">
      <c r="A105" t="inlineStr">
        <is>
          <t>S 2305-2026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46268</v>
      </c>
      <c r="E105" s="1" t="n">
        <v>46315</v>
      </c>
      <c r="F105" t="inlineStr">
        <is>
          <t>SÖDERMANLANDS LÄN</t>
        </is>
      </c>
      <c r="G105" t="inlineStr">
        <is>
          <t>NYKÖPING</t>
        </is>
      </c>
      <c r="I105" t="n">
        <v>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HYPERLINK("https://klasma.github.io/Logging_0480/artfynd/S 2305-2026 artfynd.xlsx", "S 2305-2026")</f>
        <v/>
      </c>
      <c r="X105">
        <f>HYPERLINK("https://klasma.github.io/Logging_0480/kartor/S 2305-2026 karta.png", "S 2305-2026")</f>
        <v/>
      </c>
      <c r="Y105">
        <f>HYPERLINK("https://klasma.github.io/Logging_0480/kartor_geotiff/S 2305-2026 georefererad karta.tif", "S 2305-2026")</f>
        <v/>
      </c>
      <c r="AA105">
        <f>HYPERLINK("https://klasma.github.io/Logging_0480/klagomål/S 2305-2026 FSC-klagomål.docx", "S 2305-2026")</f>
        <v/>
      </c>
      <c r="AB105">
        <f>HYPERLINK("https://klasma.github.io/Logging_0480/klagomålsmail/S 2305-2026 FSC-klagomål mail.docx", "S 2305-2026")</f>
        <v/>
      </c>
      <c r="AC105">
        <f>HYPERLINK("https://klasma.github.io/Logging_0480/tillsyn/S 2305-2026 tillsynsbegäran.docx", "S 2305-2026")</f>
        <v/>
      </c>
      <c r="AD105">
        <f>HYPERLINK("https://klasma.github.io/Logging_0480/tillsynsmail/S 2305-2026 tillsynsbegäran mail.docx", "S 2305-2026")</f>
        <v/>
      </c>
    </row>
    <row r="106" ht="15" customHeight="1">
      <c r="A106" t="inlineStr">
        <is>
          <t>A 74404-2021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46315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44870</v>
      </c>
      <c r="E107" s="1" t="n">
        <v>46315</v>
      </c>
      <c r="F107" t="inlineStr">
        <is>
          <t>SÖDERMANLANDS LÄN</t>
        </is>
      </c>
      <c r="G107" t="inlineStr">
        <is>
          <t>NYKÖPING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46315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46315</v>
      </c>
      <c r="F109" t="inlineStr">
        <is>
          <t>SÖDERMANLANDS LÄN</t>
        </is>
      </c>
      <c r="G109" t="inlineStr">
        <is>
          <t>NYKÖPING</t>
        </is>
      </c>
      <c r="I109" t="n">
        <v>21.9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46315</v>
      </c>
      <c r="F110" t="inlineStr">
        <is>
          <t>SÖDERMANLANDS LÄN</t>
        </is>
      </c>
      <c r="G110" t="inlineStr">
        <is>
          <t>NYKÖPING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66852-2021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46315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46315</v>
      </c>
      <c r="F112" t="inlineStr">
        <is>
          <t>SÖDERMANLANDS LÄN</t>
        </is>
      </c>
      <c r="G112" t="inlineStr">
        <is>
          <t>NYKÖPING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64162-2021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46315</v>
      </c>
      <c r="F113" t="inlineStr">
        <is>
          <t>SÖDERMANLANDS LÄN</t>
        </is>
      </c>
      <c r="G113" t="inlineStr">
        <is>
          <t>NYKÖPING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46315</v>
      </c>
      <c r="F114" t="inlineStr">
        <is>
          <t>SÖDERMANLANDS LÄN</t>
        </is>
      </c>
      <c r="G114" t="inlineStr">
        <is>
          <t>NYKÖPING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46315</v>
      </c>
      <c r="F115" t="inlineStr">
        <is>
          <t>SÖDERMANLANDS LÄN</t>
        </is>
      </c>
      <c r="G115" t="inlineStr">
        <is>
          <t>NYKÖPING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46315</v>
      </c>
      <c r="F116" t="inlineStr">
        <is>
          <t>SÖDERMANLANDS LÄN</t>
        </is>
      </c>
      <c r="G116" t="inlineStr">
        <is>
          <t>NYKÖPING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44733</v>
      </c>
      <c r="E117" s="1" t="n">
        <v>46315</v>
      </c>
      <c r="F117" t="inlineStr">
        <is>
          <t>SÖDERMANLANDS LÄN</t>
        </is>
      </c>
      <c r="G117" t="inlineStr">
        <is>
          <t>NYKÖPING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44767</v>
      </c>
      <c r="E118" s="1" t="n">
        <v>46315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46315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46315</v>
      </c>
      <c r="F120" t="inlineStr">
        <is>
          <t>SÖDERMANLANDS LÄN</t>
        </is>
      </c>
      <c r="G120" t="inlineStr">
        <is>
          <t>NYKÖPING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46315</v>
      </c>
      <c r="F121" t="inlineStr">
        <is>
          <t>SÖDERMANLANDS LÄN</t>
        </is>
      </c>
      <c r="G121" t="inlineStr">
        <is>
          <t>NYKÖPING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46315</v>
      </c>
      <c r="F122" t="inlineStr">
        <is>
          <t>SÖDERMANLANDS LÄN</t>
        </is>
      </c>
      <c r="G122" t="inlineStr">
        <is>
          <t>NYKÖPING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46315</v>
      </c>
      <c r="F123" t="inlineStr">
        <is>
          <t>SÖDERMANLANDS LÄN</t>
        </is>
      </c>
      <c r="G123" t="inlineStr">
        <is>
          <t>NYKÖPING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46315</v>
      </c>
      <c r="F124" t="inlineStr">
        <is>
          <t>SÖDERMANLANDS LÄN</t>
        </is>
      </c>
      <c r="G124" t="inlineStr">
        <is>
          <t>NYKÖPING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46315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Övriga Aktiebolag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46315</v>
      </c>
      <c r="F126" t="inlineStr">
        <is>
          <t>SÖDERMANLANDS LÄN</t>
        </is>
      </c>
      <c r="G126" t="inlineStr">
        <is>
          <t>NYKÖPING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46315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46315</v>
      </c>
      <c r="F128" t="inlineStr">
        <is>
          <t>SÖDERMANLANDS LÄN</t>
        </is>
      </c>
      <c r="G128" t="inlineStr">
        <is>
          <t>NYKÖPING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44623</v>
      </c>
      <c r="E129" s="1" t="n">
        <v>46315</v>
      </c>
      <c r="F129" t="inlineStr">
        <is>
          <t>SÖDERMANLANDS LÄN</t>
        </is>
      </c>
      <c r="G129" t="inlineStr">
        <is>
          <t>NYKÖPING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46315</v>
      </c>
      <c r="F130" t="inlineStr">
        <is>
          <t>SÖDERMANLANDS LÄN</t>
        </is>
      </c>
      <c r="G130" t="inlineStr">
        <is>
          <t>NYKÖPING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46315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44510</v>
      </c>
      <c r="E132" s="1" t="n">
        <v>46315</v>
      </c>
      <c r="F132" t="inlineStr">
        <is>
          <t>SÖDERMANLANDS LÄN</t>
        </is>
      </c>
      <c r="G132" t="inlineStr">
        <is>
          <t>NYKÖPING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46315</v>
      </c>
      <c r="F133" t="inlineStr">
        <is>
          <t>SÖDERMANLANDS LÄN</t>
        </is>
      </c>
      <c r="G133" t="inlineStr">
        <is>
          <t>NYKÖPING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46315</v>
      </c>
      <c r="F134" t="inlineStr">
        <is>
          <t>SÖDERMANLANDS LÄN</t>
        </is>
      </c>
      <c r="G134" t="inlineStr">
        <is>
          <t>NYKÖPING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46315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69255-2021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46315</v>
      </c>
      <c r="F136" t="inlineStr">
        <is>
          <t>SÖDERMANLANDS LÄN</t>
        </is>
      </c>
      <c r="G136" t="inlineStr">
        <is>
          <t>NYKÖPING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59592-2021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44491</v>
      </c>
      <c r="E137" s="1" t="n">
        <v>46315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Kyrkan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46315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46315</v>
      </c>
      <c r="F139" t="inlineStr">
        <is>
          <t>SÖDERMANLANDS LÄN</t>
        </is>
      </c>
      <c r="G139" t="inlineStr">
        <is>
          <t>NYKÖPING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46315</v>
      </c>
      <c r="F140" t="inlineStr">
        <is>
          <t>SÖDERMANLANDS LÄN</t>
        </is>
      </c>
      <c r="G140" t="inlineStr">
        <is>
          <t>NYKÖPING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46315</v>
      </c>
      <c r="F141" t="inlineStr">
        <is>
          <t>SÖDERMANLANDS LÄN</t>
        </is>
      </c>
      <c r="G141" t="inlineStr">
        <is>
          <t>NYKÖPING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61248-2021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44498</v>
      </c>
      <c r="E142" s="1" t="n">
        <v>46315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Holmen skog AB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46315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46315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46315</v>
      </c>
      <c r="F145" t="inlineStr">
        <is>
          <t>SÖDERMANLANDS LÄN</t>
        </is>
      </c>
      <c r="G145" t="inlineStr">
        <is>
          <t>NYKÖPING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44767</v>
      </c>
      <c r="E146" s="1" t="n">
        <v>46315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Holmen skog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15466-2022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44662</v>
      </c>
      <c r="E147" s="1" t="n">
        <v>46315</v>
      </c>
      <c r="F147" t="inlineStr">
        <is>
          <t>SÖDERMANLANDS LÄN</t>
        </is>
      </c>
      <c r="G147" t="inlineStr">
        <is>
          <t>NYKÖPING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46315</v>
      </c>
      <c r="F148" t="inlineStr">
        <is>
          <t>SÖDERMANLANDS LÄN</t>
        </is>
      </c>
      <c r="G148" t="inlineStr">
        <is>
          <t>NYKÖPING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46315</v>
      </c>
      <c r="F149" t="inlineStr">
        <is>
          <t>SÖDERMANLANDS LÄN</t>
        </is>
      </c>
      <c r="G149" t="inlineStr">
        <is>
          <t>NYKÖPING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44784</v>
      </c>
      <c r="E150" s="1" t="n">
        <v>46315</v>
      </c>
      <c r="F150" t="inlineStr">
        <is>
          <t>SÖDERMANLANDS LÄN</t>
        </is>
      </c>
      <c r="G150" t="inlineStr">
        <is>
          <t>NYKÖPING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46315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44747</v>
      </c>
      <c r="E152" s="1" t="n">
        <v>46315</v>
      </c>
      <c r="F152" t="inlineStr">
        <is>
          <t>SÖDERMANLANDS LÄN</t>
        </is>
      </c>
      <c r="G152" t="inlineStr">
        <is>
          <t>NYKÖPING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46315</v>
      </c>
      <c r="F153" t="inlineStr">
        <is>
          <t>SÖDERMANLANDS LÄN</t>
        </is>
      </c>
      <c r="G153" t="inlineStr">
        <is>
          <t>NYKÖPING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46315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46315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46315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46315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46315</v>
      </c>
      <c r="F158" t="inlineStr">
        <is>
          <t>SÖDERMANLANDS LÄN</t>
        </is>
      </c>
      <c r="G158" t="inlineStr">
        <is>
          <t>NYKÖPING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46315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46315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46315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70791-2021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46315</v>
      </c>
      <c r="F162" t="inlineStr">
        <is>
          <t>SÖDERMANLANDS LÄN</t>
        </is>
      </c>
      <c r="G162" t="inlineStr">
        <is>
          <t>NYKÖPING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46315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17541-2022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44679</v>
      </c>
      <c r="E164" s="1" t="n">
        <v>46315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46315</v>
      </c>
      <c r="F165" t="inlineStr">
        <is>
          <t>SÖDERMANLANDS LÄN</t>
        </is>
      </c>
      <c r="G165" t="inlineStr">
        <is>
          <t>NYKÖPING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46315</v>
      </c>
      <c r="F166" t="inlineStr">
        <is>
          <t>SÖDERMANLANDS LÄN</t>
        </is>
      </c>
      <c r="G166" t="inlineStr">
        <is>
          <t>NYKÖPING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46315</v>
      </c>
      <c r="F167" t="inlineStr">
        <is>
          <t>SÖDERMANLANDS LÄN</t>
        </is>
      </c>
      <c r="G167" t="inlineStr">
        <is>
          <t>NYKÖPING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46315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46315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46315</v>
      </c>
      <c r="F170" t="inlineStr">
        <is>
          <t>SÖDERMANLANDS LÄN</t>
        </is>
      </c>
      <c r="G170" t="inlineStr">
        <is>
          <t>NYKÖPING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46315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66860-2021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46315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46315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46315</v>
      </c>
      <c r="F174" t="inlineStr">
        <is>
          <t>SÖDERMANLANDS LÄN</t>
        </is>
      </c>
      <c r="G174" t="inlineStr">
        <is>
          <t>NYKÖPING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46315</v>
      </c>
      <c r="F175" t="inlineStr">
        <is>
          <t>SÖDERMANLANDS LÄN</t>
        </is>
      </c>
      <c r="G175" t="inlineStr">
        <is>
          <t>NYKÖPING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46315</v>
      </c>
      <c r="F176" t="inlineStr">
        <is>
          <t>SÖDERMANLANDS LÄN</t>
        </is>
      </c>
      <c r="G176" t="inlineStr">
        <is>
          <t>NYKÖPING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69598-2021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46315</v>
      </c>
      <c r="F177" t="inlineStr">
        <is>
          <t>SÖDERMANLANDS LÄN</t>
        </is>
      </c>
      <c r="G177" t="inlineStr">
        <is>
          <t>NYKÖPING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46315</v>
      </c>
      <c r="F178" t="inlineStr">
        <is>
          <t>SÖDERMANLANDS LÄN</t>
        </is>
      </c>
      <c r="G178" t="inlineStr">
        <is>
          <t>NYKÖPING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46315</v>
      </c>
      <c r="F179" t="inlineStr">
        <is>
          <t>SÖDERMANLANDS LÄN</t>
        </is>
      </c>
      <c r="G179" t="inlineStr">
        <is>
          <t>NYKÖPING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44719</v>
      </c>
      <c r="E180" s="1" t="n">
        <v>46315</v>
      </c>
      <c r="F180" t="inlineStr">
        <is>
          <t>SÖDERMANLANDS LÄN</t>
        </is>
      </c>
      <c r="G180" t="inlineStr">
        <is>
          <t>NYKÖPING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46315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46315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46315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44709</v>
      </c>
      <c r="E184" s="1" t="n">
        <v>46315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46315</v>
      </c>
      <c r="F185" t="inlineStr">
        <is>
          <t>SÖDERMANLANDS LÄN</t>
        </is>
      </c>
      <c r="G185" t="inlineStr">
        <is>
          <t>NYKÖPING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46315</v>
      </c>
      <c r="F186" t="inlineStr">
        <is>
          <t>SÖDERMANLANDS LÄN</t>
        </is>
      </c>
      <c r="G186" t="inlineStr">
        <is>
          <t>NYKÖPING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44729</v>
      </c>
      <c r="E187" s="1" t="n">
        <v>46315</v>
      </c>
      <c r="F187" t="inlineStr">
        <is>
          <t>SÖDERMANLANDS LÄN</t>
        </is>
      </c>
      <c r="G187" t="inlineStr">
        <is>
          <t>NYKÖPING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46315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46315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Övriga Aktiebolag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63006-2021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44505</v>
      </c>
      <c r="E190" s="1" t="n">
        <v>46315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45008</v>
      </c>
      <c r="E191" s="1" t="n">
        <v>46315</v>
      </c>
      <c r="F191" t="inlineStr">
        <is>
          <t>SÖDERMANLANDS LÄN</t>
        </is>
      </c>
      <c r="G191" t="inlineStr">
        <is>
          <t>NYKÖPING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44784</v>
      </c>
      <c r="E192" s="1" t="n">
        <v>46315</v>
      </c>
      <c r="F192" t="inlineStr">
        <is>
          <t>SÖDERMANLANDS LÄN</t>
        </is>
      </c>
      <c r="G192" t="inlineStr">
        <is>
          <t>NYKÖPING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46315</v>
      </c>
      <c r="F193" t="inlineStr">
        <is>
          <t>SÖDERMANLANDS LÄN</t>
        </is>
      </c>
      <c r="G193" t="inlineStr">
        <is>
          <t>NYKÖPING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46315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46315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Övriga Aktiebolag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46315</v>
      </c>
      <c r="F196" t="inlineStr">
        <is>
          <t>SÖDERMANLANDS LÄN</t>
        </is>
      </c>
      <c r="G196" t="inlineStr">
        <is>
          <t>NYKÖPING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46315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44858</v>
      </c>
      <c r="E198" s="1" t="n">
        <v>46315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Övriga statliga verk och myndigheter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46315</v>
      </c>
      <c r="F199" t="inlineStr">
        <is>
          <t>SÖDERMANLANDS LÄN</t>
        </is>
      </c>
      <c r="G199" t="inlineStr">
        <is>
          <t>NYKÖPING</t>
        </is>
      </c>
      <c r="I199" t="n">
        <v>16.2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46315</v>
      </c>
      <c r="F200" t="inlineStr">
        <is>
          <t>SÖDERMANLANDS LÄN</t>
        </is>
      </c>
      <c r="G200" t="inlineStr">
        <is>
          <t>NYKÖPING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10287-2024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46315</v>
      </c>
      <c r="F201" t="inlineStr">
        <is>
          <t>SÖDERMANLANDS LÄN</t>
        </is>
      </c>
      <c r="G201" t="inlineStr">
        <is>
          <t>NYKÖPING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46315</v>
      </c>
      <c r="F202" t="inlineStr">
        <is>
          <t>SÖDERMANLANDS LÄN</t>
        </is>
      </c>
      <c r="G202" t="inlineStr">
        <is>
          <t>NYKÖPING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46315</v>
      </c>
      <c r="F203" t="inlineStr">
        <is>
          <t>SÖDERMANLANDS LÄN</t>
        </is>
      </c>
      <c r="G203" t="inlineStr">
        <is>
          <t>NYKÖPING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46315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14930-2024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45398</v>
      </c>
      <c r="E205" s="1" t="n">
        <v>46315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46315</v>
      </c>
      <c r="F206" t="inlineStr">
        <is>
          <t>SÖDERMANLANDS LÄN</t>
        </is>
      </c>
      <c r="G206" t="inlineStr">
        <is>
          <t>NYKÖPING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52374-2023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45224</v>
      </c>
      <c r="E207" s="1" t="n">
        <v>46315</v>
      </c>
      <c r="F207" t="inlineStr">
        <is>
          <t>SÖDERMANLANDS LÄN</t>
        </is>
      </c>
      <c r="G207" t="inlineStr">
        <is>
          <t>NYKÖPING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46315</v>
      </c>
      <c r="F208" t="inlineStr">
        <is>
          <t>SÖDERMANLANDS LÄN</t>
        </is>
      </c>
      <c r="G208" t="inlineStr">
        <is>
          <t>NYKÖPING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46315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65172-2023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45288</v>
      </c>
      <c r="E210" s="1" t="n">
        <v>46315</v>
      </c>
      <c r="F210" t="inlineStr">
        <is>
          <t>SÖDERMANLANDS LÄN</t>
        </is>
      </c>
      <c r="G210" t="inlineStr">
        <is>
          <t>NYKÖPING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65923-2021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46315</v>
      </c>
      <c r="F211" t="inlineStr">
        <is>
          <t>SÖDERMANLANDS LÄN</t>
        </is>
      </c>
      <c r="G211" t="inlineStr">
        <is>
          <t>NYKÖPING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46315</v>
      </c>
      <c r="F212" t="inlineStr">
        <is>
          <t>SÖDERMANLANDS LÄN</t>
        </is>
      </c>
      <c r="G212" t="inlineStr">
        <is>
          <t>NYKÖPING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46315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43653-2022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44837</v>
      </c>
      <c r="E214" s="1" t="n">
        <v>46315</v>
      </c>
      <c r="F214" t="inlineStr">
        <is>
          <t>SÖDERMANLANDS LÄN</t>
        </is>
      </c>
      <c r="G214" t="inlineStr">
        <is>
          <t>NYKÖPING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45359</v>
      </c>
      <c r="E215" s="1" t="n">
        <v>46315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46315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38155-2022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46315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44837</v>
      </c>
      <c r="E218" s="1" t="n">
        <v>46315</v>
      </c>
      <c r="F218" t="inlineStr">
        <is>
          <t>SÖDERMANLANDS LÄN</t>
        </is>
      </c>
      <c r="G218" t="inlineStr">
        <is>
          <t>NYKÖPING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44949</v>
      </c>
      <c r="E219" s="1" t="n">
        <v>46315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46315</v>
      </c>
      <c r="F220" t="inlineStr">
        <is>
          <t>SÖDERMANLANDS LÄN</t>
        </is>
      </c>
      <c r="G220" t="inlineStr">
        <is>
          <t>NYKÖPING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45518</v>
      </c>
      <c r="E221" s="1" t="n">
        <v>46315</v>
      </c>
      <c r="F221" t="inlineStr">
        <is>
          <t>SÖDERMANLANDS LÄN</t>
        </is>
      </c>
      <c r="G221" t="inlineStr">
        <is>
          <t>NYKÖPING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59733-2021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44494</v>
      </c>
      <c r="E222" s="1" t="n">
        <v>46315</v>
      </c>
      <c r="F222" t="inlineStr">
        <is>
          <t>SÖDERMANLANDS LÄN</t>
        </is>
      </c>
      <c r="G222" t="inlineStr">
        <is>
          <t>NYKÖPING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44938</v>
      </c>
      <c r="E223" s="1" t="n">
        <v>46315</v>
      </c>
      <c r="F223" t="inlineStr">
        <is>
          <t>SÖDERMANLANDS LÄN</t>
        </is>
      </c>
      <c r="G223" t="inlineStr">
        <is>
          <t>NYKÖPING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46315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Sveaskog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46315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46315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46315</v>
      </c>
      <c r="F227" t="inlineStr">
        <is>
          <t>SÖDERMANLANDS LÄN</t>
        </is>
      </c>
      <c r="G227" t="inlineStr">
        <is>
          <t>NYKÖPING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68401-2021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46315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Aktiebolag</t>
        </is>
      </c>
      <c r="I228" t="n">
        <v>16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70749-2021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46315</v>
      </c>
      <c r="F229" t="inlineStr">
        <is>
          <t>SÖDERMANLANDS LÄN</t>
        </is>
      </c>
      <c r="G229" t="inlineStr">
        <is>
          <t>NYKÖPING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45373</v>
      </c>
      <c r="E230" s="1" t="n">
        <v>46315</v>
      </c>
      <c r="F230" t="inlineStr">
        <is>
          <t>SÖDERMANLANDS LÄN</t>
        </is>
      </c>
      <c r="G230" t="inlineStr">
        <is>
          <t>NYKÖPING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44978</v>
      </c>
      <c r="E231" s="1" t="n">
        <v>46315</v>
      </c>
      <c r="F231" t="inlineStr">
        <is>
          <t>SÖDERMANLANDS LÄN</t>
        </is>
      </c>
      <c r="G231" t="inlineStr">
        <is>
          <t>NYKÖPING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61007-2021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44497</v>
      </c>
      <c r="E232" s="1" t="n">
        <v>46315</v>
      </c>
      <c r="F232" t="inlineStr">
        <is>
          <t>SÖDERMANLANDS LÄN</t>
        </is>
      </c>
      <c r="G232" t="inlineStr">
        <is>
          <t>NYKÖPING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45352</v>
      </c>
      <c r="E233" s="1" t="n">
        <v>46315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45352</v>
      </c>
      <c r="E234" s="1" t="n">
        <v>46315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Kommuner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44890</v>
      </c>
      <c r="E235" s="1" t="n">
        <v>46315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Övriga Aktiebolag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46315</v>
      </c>
      <c r="F236" t="inlineStr">
        <is>
          <t>SÖDERMANLANDS LÄN</t>
        </is>
      </c>
      <c r="G236" t="inlineStr">
        <is>
          <t>NYKÖPING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44992</v>
      </c>
      <c r="E237" s="1" t="n">
        <v>46315</v>
      </c>
      <c r="F237" t="inlineStr">
        <is>
          <t>SÖDERMANLANDS LÄN</t>
        </is>
      </c>
      <c r="G237" t="inlineStr">
        <is>
          <t>NYKÖPING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68041-2021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44525</v>
      </c>
      <c r="E238" s="1" t="n">
        <v>46315</v>
      </c>
      <c r="F238" t="inlineStr">
        <is>
          <t>SÖDERMANLANDS LÄN</t>
        </is>
      </c>
      <c r="G238" t="inlineStr">
        <is>
          <t>NYKÖPING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45537</v>
      </c>
      <c r="E239" s="1" t="n">
        <v>46315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Kommuner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45044</v>
      </c>
      <c r="E240" s="1" t="n">
        <v>46315</v>
      </c>
      <c r="F240" t="inlineStr">
        <is>
          <t>SÖDERMANLANDS LÄN</t>
        </is>
      </c>
      <c r="G240" t="inlineStr">
        <is>
          <t>NYKÖPING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68024-2021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46315</v>
      </c>
      <c r="F241" t="inlineStr">
        <is>
          <t>SÖDERMANLANDS LÄN</t>
        </is>
      </c>
      <c r="G241" t="inlineStr">
        <is>
          <t>NYKÖPING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68030-2021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46315</v>
      </c>
      <c r="F242" t="inlineStr">
        <is>
          <t>SÖDERMANLANDS LÄN</t>
        </is>
      </c>
      <c r="G242" t="inlineStr">
        <is>
          <t>NYKÖPING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45056</v>
      </c>
      <c r="E243" s="1" t="n">
        <v>46315</v>
      </c>
      <c r="F243" t="inlineStr">
        <is>
          <t>SÖDERMANLANDS LÄN</t>
        </is>
      </c>
      <c r="G243" t="inlineStr">
        <is>
          <t>NYKÖPING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14257-2024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45393</v>
      </c>
      <c r="E244" s="1" t="n">
        <v>46315</v>
      </c>
      <c r="F244" t="inlineStr">
        <is>
          <t>SÖDERMANLANDS LÄN</t>
        </is>
      </c>
      <c r="G244" t="inlineStr">
        <is>
          <t>NYKÖPING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46315</v>
      </c>
      <c r="F245" t="inlineStr">
        <is>
          <t>SÖDERMANLANDS LÄN</t>
        </is>
      </c>
      <c r="G245" t="inlineStr">
        <is>
          <t>NYKÖPING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46315</v>
      </c>
      <c r="F246" t="inlineStr">
        <is>
          <t>SÖDERMANLANDS LÄN</t>
        </is>
      </c>
      <c r="G246" t="inlineStr">
        <is>
          <t>NYKÖPING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46315</v>
      </c>
      <c r="F247" t="inlineStr">
        <is>
          <t>SÖDERMANLANDS LÄN</t>
        </is>
      </c>
      <c r="G247" t="inlineStr">
        <is>
          <t>NYKÖPING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46315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46315</v>
      </c>
      <c r="F249" t="inlineStr">
        <is>
          <t>SÖDERMANLANDS LÄN</t>
        </is>
      </c>
      <c r="G249" t="inlineStr">
        <is>
          <t>NYKÖPING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44896</v>
      </c>
      <c r="E250" s="1" t="n">
        <v>46315</v>
      </c>
      <c r="F250" t="inlineStr">
        <is>
          <t>SÖDERMANLANDS LÄN</t>
        </is>
      </c>
      <c r="G250" t="inlineStr">
        <is>
          <t>NYKÖPING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45261</v>
      </c>
      <c r="E251" s="1" t="n">
        <v>46315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71115-2021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44537</v>
      </c>
      <c r="E252" s="1" t="n">
        <v>46315</v>
      </c>
      <c r="F252" t="inlineStr">
        <is>
          <t>SÖDERMANLANDS LÄN</t>
        </is>
      </c>
      <c r="G252" t="inlineStr">
        <is>
          <t>NYKÖPING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44957</v>
      </c>
      <c r="E253" s="1" t="n">
        <v>46315</v>
      </c>
      <c r="F253" t="inlineStr">
        <is>
          <t>SÖDERMANLANDS LÄN</t>
        </is>
      </c>
      <c r="G253" t="inlineStr">
        <is>
          <t>NYKÖPING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60634-2022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46315</v>
      </c>
      <c r="F254" t="inlineStr">
        <is>
          <t>SÖDERMANLANDS LÄN</t>
        </is>
      </c>
      <c r="G254" t="inlineStr">
        <is>
          <t>NYKÖPING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44620</v>
      </c>
      <c r="E255" s="1" t="n">
        <v>46315</v>
      </c>
      <c r="F255" t="inlineStr">
        <is>
          <t>SÖDERMANLANDS LÄN</t>
        </is>
      </c>
      <c r="G255" t="inlineStr">
        <is>
          <t>NYKÖPING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46315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2668-2023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44944</v>
      </c>
      <c r="E257" s="1" t="n">
        <v>46315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46315</v>
      </c>
      <c r="F258" t="inlineStr">
        <is>
          <t>SÖDERMANLANDS LÄN</t>
        </is>
      </c>
      <c r="G258" t="inlineStr">
        <is>
          <t>NYKÖPING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46315</v>
      </c>
      <c r="F259" t="inlineStr">
        <is>
          <t>SÖDERMANLANDS LÄN</t>
        </is>
      </c>
      <c r="G259" t="inlineStr">
        <is>
          <t>NYKÖPING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32837-2022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44784</v>
      </c>
      <c r="E260" s="1" t="n">
        <v>46315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Kommuner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46315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45072</v>
      </c>
      <c r="E262" s="1" t="n">
        <v>46315</v>
      </c>
      <c r="F262" t="inlineStr">
        <is>
          <t>SÖDERMANLANDS LÄN</t>
        </is>
      </c>
      <c r="G262" t="inlineStr">
        <is>
          <t>NYKÖPING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46315</v>
      </c>
      <c r="F263" t="inlineStr">
        <is>
          <t>SÖDERMANLANDS LÄN</t>
        </is>
      </c>
      <c r="G263" t="inlineStr">
        <is>
          <t>NYKÖPING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10955-2024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45370</v>
      </c>
      <c r="E264" s="1" t="n">
        <v>46315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Kommuner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46315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46315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Övriga Aktiebolag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46315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Övriga Aktiebolag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45027</v>
      </c>
      <c r="E268" s="1" t="n">
        <v>46315</v>
      </c>
      <c r="F268" t="inlineStr">
        <is>
          <t>SÖDERMANLANDS LÄN</t>
        </is>
      </c>
      <c r="G268" t="inlineStr">
        <is>
          <t>NYKÖPING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58857-2021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44489</v>
      </c>
      <c r="E269" s="1" t="n">
        <v>46315</v>
      </c>
      <c r="F269" t="inlineStr">
        <is>
          <t>SÖDERMANLANDS LÄN</t>
        </is>
      </c>
      <c r="G269" t="inlineStr">
        <is>
          <t>NYKÖPING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46315</v>
      </c>
      <c r="F270" t="inlineStr">
        <is>
          <t>SÖDERMANLANDS LÄN</t>
        </is>
      </c>
      <c r="G270" t="inlineStr">
        <is>
          <t>NYKÖPING</t>
        </is>
      </c>
      <c r="I270" t="n">
        <v>10.3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46315</v>
      </c>
      <c r="F271" t="inlineStr">
        <is>
          <t>SÖDERMANLANDS LÄN</t>
        </is>
      </c>
      <c r="G271" t="inlineStr">
        <is>
          <t>NYKÖPING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44990</v>
      </c>
      <c r="E272" s="1" t="n">
        <v>46315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Allmännings- och besparingsskogar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46315</v>
      </c>
      <c r="F273" t="inlineStr">
        <is>
          <t>SÖDERMANLANDS LÄN</t>
        </is>
      </c>
      <c r="G273" t="inlineStr">
        <is>
          <t>NYKÖPING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46315</v>
      </c>
      <c r="F274" t="inlineStr">
        <is>
          <t>SÖDERMANLANDS LÄN</t>
        </is>
      </c>
      <c r="G274" t="inlineStr">
        <is>
          <t>NYKÖPING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45258</v>
      </c>
      <c r="E275" s="1" t="n">
        <v>46315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Övriga Aktiebolag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44744</v>
      </c>
      <c r="E276" s="1" t="n">
        <v>46315</v>
      </c>
      <c r="F276" t="inlineStr">
        <is>
          <t>SÖDERMANLANDS LÄN</t>
        </is>
      </c>
      <c r="G276" t="inlineStr">
        <is>
          <t>NYKÖPING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46315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56228-2024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45624</v>
      </c>
      <c r="E278" s="1" t="n">
        <v>46315</v>
      </c>
      <c r="F278" t="inlineStr">
        <is>
          <t>SÖDERMANLANDS LÄN</t>
        </is>
      </c>
      <c r="G278" t="inlineStr">
        <is>
          <t>NYKÖPING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46315</v>
      </c>
      <c r="F279" t="inlineStr">
        <is>
          <t>SÖDERMANLANDS LÄN</t>
        </is>
      </c>
      <c r="G279" t="inlineStr">
        <is>
          <t>NYKÖPING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46315</v>
      </c>
      <c r="F280" t="inlineStr">
        <is>
          <t>SÖDERMANLANDS LÄN</t>
        </is>
      </c>
      <c r="G280" t="inlineStr">
        <is>
          <t>NYKÖPING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10687-2023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44988</v>
      </c>
      <c r="E281" s="1" t="n">
        <v>46315</v>
      </c>
      <c r="F281" t="inlineStr">
        <is>
          <t>SÖDERMANLANDS LÄN</t>
        </is>
      </c>
      <c r="G281" t="inlineStr">
        <is>
          <t>NYKÖPING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6392-2023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44965</v>
      </c>
      <c r="E282" s="1" t="n">
        <v>46315</v>
      </c>
      <c r="F282" t="inlineStr">
        <is>
          <t>SÖDERMANLANDS LÄN</t>
        </is>
      </c>
      <c r="G282" t="inlineStr">
        <is>
          <t>NYKÖPING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44784</v>
      </c>
      <c r="E283" s="1" t="n">
        <v>46315</v>
      </c>
      <c r="F283" t="inlineStr">
        <is>
          <t>SÖDERMANLANDS LÄN</t>
        </is>
      </c>
      <c r="G283" t="inlineStr">
        <is>
          <t>NYKÖPING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46315</v>
      </c>
      <c r="F284" t="inlineStr">
        <is>
          <t>SÖDERMANLANDS LÄN</t>
        </is>
      </c>
      <c r="G284" t="inlineStr">
        <is>
          <t>NYKÖPING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46315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Sveaskog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6519-2023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44965</v>
      </c>
      <c r="E286" s="1" t="n">
        <v>46315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Kyrkan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17315-2024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45414</v>
      </c>
      <c r="E287" s="1" t="n">
        <v>46315</v>
      </c>
      <c r="F287" t="inlineStr">
        <is>
          <t>SÖDERMANLANDS LÄN</t>
        </is>
      </c>
      <c r="G287" t="inlineStr">
        <is>
          <t>NYKÖPING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35019-2023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45143</v>
      </c>
      <c r="E288" s="1" t="n">
        <v>46315</v>
      </c>
      <c r="F288" t="inlineStr">
        <is>
          <t>SÖDERMANLANDS LÄN</t>
        </is>
      </c>
      <c r="G288" t="inlineStr">
        <is>
          <t>NYKÖPING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68401-2021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44529</v>
      </c>
      <c r="E289" s="1" t="n">
        <v>46315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Övriga Aktiebolag</t>
        </is>
      </c>
      <c r="I289" t="n">
        <v>16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44711</v>
      </c>
      <c r="E290" s="1" t="n">
        <v>46315</v>
      </c>
      <c r="F290" t="inlineStr">
        <is>
          <t>SÖDERMANLANDS LÄN</t>
        </is>
      </c>
      <c r="G290" t="inlineStr">
        <is>
          <t>NYKÖPING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45112</v>
      </c>
      <c r="E291" s="1" t="n">
        <v>46315</v>
      </c>
      <c r="F291" t="inlineStr">
        <is>
          <t>SÖDERMANLANDS LÄN</t>
        </is>
      </c>
      <c r="G291" t="inlineStr">
        <is>
          <t>NYKÖPING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46315</v>
      </c>
      <c r="F292" t="inlineStr">
        <is>
          <t>SÖDERMANLANDS LÄN</t>
        </is>
      </c>
      <c r="G292" t="inlineStr">
        <is>
          <t>NYKÖPING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44678</v>
      </c>
      <c r="E293" s="1" t="n">
        <v>46315</v>
      </c>
      <c r="F293" t="inlineStr">
        <is>
          <t>SÖDERMANLANDS LÄN</t>
        </is>
      </c>
      <c r="G293" t="inlineStr">
        <is>
          <t>NYKÖPING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45033</v>
      </c>
      <c r="E294" s="1" t="n">
        <v>46315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16.5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46315</v>
      </c>
      <c r="F295" t="inlineStr">
        <is>
          <t>SÖDERMANLANDS LÄN</t>
        </is>
      </c>
      <c r="G295" t="inlineStr">
        <is>
          <t>NYKÖPING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59613-2021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44491</v>
      </c>
      <c r="E296" s="1" t="n">
        <v>46315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Övriga Aktiebolag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45602</v>
      </c>
      <c r="E297" s="1" t="n">
        <v>46315</v>
      </c>
      <c r="F297" t="inlineStr">
        <is>
          <t>SÖDERMANLANDS LÄN</t>
        </is>
      </c>
      <c r="G297" t="inlineStr">
        <is>
          <t>NYKÖPING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46315</v>
      </c>
      <c r="F298" t="inlineStr">
        <is>
          <t>SÖDERMANLANDS LÄN</t>
        </is>
      </c>
      <c r="G298" t="inlineStr">
        <is>
          <t>NYKÖPING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21987-2024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46315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45702</v>
      </c>
      <c r="E300" s="1" t="n">
        <v>46315</v>
      </c>
      <c r="F300" t="inlineStr">
        <is>
          <t>SÖDERMANLANDS LÄN</t>
        </is>
      </c>
      <c r="G300" t="inlineStr">
        <is>
          <t>NYKÖPING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44733</v>
      </c>
      <c r="E301" s="1" t="n">
        <v>46315</v>
      </c>
      <c r="F301" t="inlineStr">
        <is>
          <t>SÖDERMANLANDS LÄN</t>
        </is>
      </c>
      <c r="G301" t="inlineStr">
        <is>
          <t>NYKÖPING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46315</v>
      </c>
      <c r="F302" t="inlineStr">
        <is>
          <t>SÖDERMANLANDS LÄN</t>
        </is>
      </c>
      <c r="G302" t="inlineStr">
        <is>
          <t>NYKÖPING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44690</v>
      </c>
      <c r="E303" s="1" t="n">
        <v>46315</v>
      </c>
      <c r="F303" t="inlineStr">
        <is>
          <t>SÖDERMANLANDS LÄN</t>
        </is>
      </c>
      <c r="G303" t="inlineStr">
        <is>
          <t>NYKÖPING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44727</v>
      </c>
      <c r="E304" s="1" t="n">
        <v>46315</v>
      </c>
      <c r="F304" t="inlineStr">
        <is>
          <t>SÖDERMANLANDS LÄN</t>
        </is>
      </c>
      <c r="G304" t="inlineStr">
        <is>
          <t>NYKÖPING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45727</v>
      </c>
      <c r="E305" s="1" t="n">
        <v>46315</v>
      </c>
      <c r="F305" t="inlineStr">
        <is>
          <t>SÖDERMANLANDS LÄN</t>
        </is>
      </c>
      <c r="G305" t="inlineStr">
        <is>
          <t>NYKÖPING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26993-2022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44740</v>
      </c>
      <c r="E306" s="1" t="n">
        <v>46315</v>
      </c>
      <c r="F306" t="inlineStr">
        <is>
          <t>SÖDERMANLANDS LÄN</t>
        </is>
      </c>
      <c r="G306" t="inlineStr">
        <is>
          <t>NYKÖPING</t>
        </is>
      </c>
      <c r="I306" t="n">
        <v>13.1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46315</v>
      </c>
      <c r="F307" t="inlineStr">
        <is>
          <t>SÖDERMANLANDS LÄN</t>
        </is>
      </c>
      <c r="G307" t="inlineStr">
        <is>
          <t>NYKÖPING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45854</v>
      </c>
      <c r="E308" s="1" t="n">
        <v>46315</v>
      </c>
      <c r="F308" t="inlineStr">
        <is>
          <t>SÖDERMANLANDS LÄN</t>
        </is>
      </c>
      <c r="G308" t="inlineStr">
        <is>
          <t>NYKÖPING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46315</v>
      </c>
      <c r="F309" t="inlineStr">
        <is>
          <t>SÖDERMANLANDS LÄN</t>
        </is>
      </c>
      <c r="G309" t="inlineStr">
        <is>
          <t>NYKÖPING</t>
        </is>
      </c>
      <c r="I309" t="n">
        <v>15.2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46315</v>
      </c>
      <c r="F310" t="inlineStr">
        <is>
          <t>SÖDERMANLANDS LÄN</t>
        </is>
      </c>
      <c r="G310" t="inlineStr">
        <is>
          <t>NYKÖPING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44676</v>
      </c>
      <c r="E311" s="1" t="n">
        <v>46315</v>
      </c>
      <c r="F311" t="inlineStr">
        <is>
          <t>SÖDERMANLANDS LÄN</t>
        </is>
      </c>
      <c r="G311" t="inlineStr">
        <is>
          <t>NYKÖPING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45085</v>
      </c>
      <c r="E312" s="1" t="n">
        <v>46315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46315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46315</v>
      </c>
      <c r="F314" t="inlineStr">
        <is>
          <t>SÖDERMANLANDS LÄN</t>
        </is>
      </c>
      <c r="G314" t="inlineStr">
        <is>
          <t>NYKÖPING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46315</v>
      </c>
      <c r="F315" t="inlineStr">
        <is>
          <t>SÖDERMANLANDS LÄN</t>
        </is>
      </c>
      <c r="G315" t="inlineStr">
        <is>
          <t>NYKÖPING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38149-2024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45545</v>
      </c>
      <c r="E316" s="1" t="n">
        <v>46315</v>
      </c>
      <c r="F316" t="inlineStr">
        <is>
          <t>SÖDERMANLANDS LÄN</t>
        </is>
      </c>
      <c r="G316" t="inlineStr">
        <is>
          <t>NYKÖPING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48484-2022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44858</v>
      </c>
      <c r="E317" s="1" t="n">
        <v>46315</v>
      </c>
      <c r="F317" t="inlineStr">
        <is>
          <t>SÖDERMANLANDS LÄN</t>
        </is>
      </c>
      <c r="G317" t="inlineStr">
        <is>
          <t>NYKÖPING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30198-2022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44757</v>
      </c>
      <c r="E318" s="1" t="n">
        <v>46315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45224</v>
      </c>
      <c r="E319" s="1" t="n">
        <v>46315</v>
      </c>
      <c r="F319" t="inlineStr">
        <is>
          <t>SÖDERMANLANDS LÄN</t>
        </is>
      </c>
      <c r="G319" t="inlineStr">
        <is>
          <t>NYKÖPING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46315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45729</v>
      </c>
      <c r="E321" s="1" t="n">
        <v>46315</v>
      </c>
      <c r="F321" t="inlineStr">
        <is>
          <t>SÖDERMANLANDS LÄN</t>
        </is>
      </c>
      <c r="G321" t="inlineStr">
        <is>
          <t>NYKÖPING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46315</v>
      </c>
      <c r="F322" t="inlineStr">
        <is>
          <t>SÖDERMANLANDS LÄN</t>
        </is>
      </c>
      <c r="G322" t="inlineStr">
        <is>
          <t>NYKÖPING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46315</v>
      </c>
      <c r="F323" t="inlineStr">
        <is>
          <t>SÖDERMANLANDS LÄN</t>
        </is>
      </c>
      <c r="G323" t="inlineStr">
        <is>
          <t>NYKÖPING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46315</v>
      </c>
      <c r="F324" t="inlineStr">
        <is>
          <t>SÖDERMANLANDS LÄN</t>
        </is>
      </c>
      <c r="G324" t="inlineStr">
        <is>
          <t>NYKÖPING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45123-2025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45919</v>
      </c>
      <c r="E325" s="1" t="n">
        <v>46315</v>
      </c>
      <c r="F325" t="inlineStr">
        <is>
          <t>SÖDERMANLANDS LÄN</t>
        </is>
      </c>
      <c r="G325" t="inlineStr">
        <is>
          <t>NYKÖPING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46315</v>
      </c>
      <c r="F326" t="inlineStr">
        <is>
          <t>SÖDERMANLANDS LÄN</t>
        </is>
      </c>
      <c r="G326" t="inlineStr">
        <is>
          <t>NYKÖPING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45110</v>
      </c>
      <c r="E327" s="1" t="n">
        <v>46315</v>
      </c>
      <c r="F327" t="inlineStr">
        <is>
          <t>SÖDERMANLANDS LÄN</t>
        </is>
      </c>
      <c r="G327" t="inlineStr">
        <is>
          <t>NYKÖPING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46315</v>
      </c>
      <c r="F328" t="inlineStr">
        <is>
          <t>SÖDERMANLANDS LÄN</t>
        </is>
      </c>
      <c r="G328" t="inlineStr">
        <is>
          <t>NYKÖPING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45672</v>
      </c>
      <c r="E329" s="1" t="n">
        <v>46315</v>
      </c>
      <c r="F329" t="inlineStr">
        <is>
          <t>SÖDERMANLANDS LÄN</t>
        </is>
      </c>
      <c r="G329" t="inlineStr">
        <is>
          <t>NYKÖPING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46315</v>
      </c>
      <c r="F330" t="inlineStr">
        <is>
          <t>SÖDERMANLANDS LÄN</t>
        </is>
      </c>
      <c r="G330" t="inlineStr">
        <is>
          <t>NYKÖPING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43306-2023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45183</v>
      </c>
      <c r="E331" s="1" t="n">
        <v>46315</v>
      </c>
      <c r="F331" t="inlineStr">
        <is>
          <t>SÖDERMANLANDS LÄN</t>
        </is>
      </c>
      <c r="G331" t="inlineStr">
        <is>
          <t>NYKÖPING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45855</v>
      </c>
      <c r="E332" s="1" t="n">
        <v>46315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46315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46315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44910</v>
      </c>
      <c r="E335" s="1" t="n">
        <v>46315</v>
      </c>
      <c r="F335" t="inlineStr">
        <is>
          <t>SÖDERMANLANDS LÄN</t>
        </is>
      </c>
      <c r="G335" t="inlineStr">
        <is>
          <t>NYKÖPING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45733</v>
      </c>
      <c r="E336" s="1" t="n">
        <v>46315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41099-2022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44825</v>
      </c>
      <c r="E337" s="1" t="n">
        <v>46315</v>
      </c>
      <c r="F337" t="inlineStr">
        <is>
          <t>SÖDERMANLANDS LÄN</t>
        </is>
      </c>
      <c r="G337" t="inlineStr">
        <is>
          <t>NYKÖPING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46315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46315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44943</v>
      </c>
      <c r="E340" s="1" t="n">
        <v>46315</v>
      </c>
      <c r="F340" t="inlineStr">
        <is>
          <t>SÖDERMANLANDS LÄN</t>
        </is>
      </c>
      <c r="G340" t="inlineStr">
        <is>
          <t>NYKÖPING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46315</v>
      </c>
      <c r="F341" t="inlineStr">
        <is>
          <t>SÖDERMANLANDS LÄN</t>
        </is>
      </c>
      <c r="G341" t="inlineStr">
        <is>
          <t>NYKÖPING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45076</v>
      </c>
      <c r="E342" s="1" t="n">
        <v>46315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Övriga Aktiebolag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46145</v>
      </c>
      <c r="E343" s="1" t="n">
        <v>46315</v>
      </c>
      <c r="F343" t="inlineStr">
        <is>
          <t>SÖDERMANLANDS LÄN</t>
        </is>
      </c>
      <c r="G343" t="inlineStr">
        <is>
          <t>NYKÖPING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46145</v>
      </c>
      <c r="E344" s="1" t="n">
        <v>46315</v>
      </c>
      <c r="F344" t="inlineStr">
        <is>
          <t>SÖDERMANLANDS LÄN</t>
        </is>
      </c>
      <c r="G344" t="inlineStr">
        <is>
          <t>NYKÖPING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53335-2023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45229</v>
      </c>
      <c r="E345" s="1" t="n">
        <v>46315</v>
      </c>
      <c r="F345" t="inlineStr">
        <is>
          <t>SÖDERMANLANDS LÄN</t>
        </is>
      </c>
      <c r="G345" t="inlineStr">
        <is>
          <t>NYKÖPING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46315</v>
      </c>
      <c r="F346" t="inlineStr">
        <is>
          <t>SÖDERMANLANDS LÄN</t>
        </is>
      </c>
      <c r="G346" t="inlineStr">
        <is>
          <t>NYKÖPING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46315</v>
      </c>
      <c r="F347" t="inlineStr">
        <is>
          <t>SÖDERMANLANDS LÄN</t>
        </is>
      </c>
      <c r="G347" t="inlineStr">
        <is>
          <t>NYKÖPING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46315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45900</v>
      </c>
      <c r="E349" s="1" t="n">
        <v>46315</v>
      </c>
      <c r="F349" t="inlineStr">
        <is>
          <t>SÖDERMANLANDS LÄN</t>
        </is>
      </c>
      <c r="G349" t="inlineStr">
        <is>
          <t>NYKÖPING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45954</v>
      </c>
      <c r="E350" s="1" t="n">
        <v>46315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46315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46315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46315</v>
      </c>
      <c r="F353" t="inlineStr">
        <is>
          <t>SÖDERMANLANDS LÄN</t>
        </is>
      </c>
      <c r="G353" t="inlineStr">
        <is>
          <t>NYKÖPING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46149</v>
      </c>
      <c r="E354" s="1" t="n">
        <v>46315</v>
      </c>
      <c r="F354" t="inlineStr">
        <is>
          <t>SÖDERMANLANDS LÄN</t>
        </is>
      </c>
      <c r="G354" t="inlineStr">
        <is>
          <t>NYKÖPING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46149</v>
      </c>
      <c r="E355" s="1" t="n">
        <v>46315</v>
      </c>
      <c r="F355" t="inlineStr">
        <is>
          <t>SÖDERMANLANDS LÄN</t>
        </is>
      </c>
      <c r="G355" t="inlineStr">
        <is>
          <t>NYKÖPING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20798-2023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45058</v>
      </c>
      <c r="E356" s="1" t="n">
        <v>46315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46315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45733</v>
      </c>
      <c r="E358" s="1" t="n">
        <v>46315</v>
      </c>
      <c r="F358" t="inlineStr">
        <is>
          <t>SÖDERMANLANDS LÄN</t>
        </is>
      </c>
      <c r="G358" t="inlineStr">
        <is>
          <t>NYKÖPING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41222-2023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45170</v>
      </c>
      <c r="E359" s="1" t="n">
        <v>46315</v>
      </c>
      <c r="F359" t="inlineStr">
        <is>
          <t>SÖDERMANLANDS LÄN</t>
        </is>
      </c>
      <c r="G359" t="inlineStr">
        <is>
          <t>NYKÖPING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46315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Kommuner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22475-2026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46155</v>
      </c>
      <c r="E361" s="1" t="n">
        <v>46315</v>
      </c>
      <c r="F361" t="inlineStr">
        <is>
          <t>SÖDERMANLANDS LÄN</t>
        </is>
      </c>
      <c r="G361" t="inlineStr">
        <is>
          <t>NYKÖPING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45940</v>
      </c>
      <c r="E362" s="1" t="n">
        <v>46315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Sveaskog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8378-2024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45351</v>
      </c>
      <c r="E363" s="1" t="n">
        <v>46315</v>
      </c>
      <c r="F363" t="inlineStr">
        <is>
          <t>SÖDERMANLANDS LÄN</t>
        </is>
      </c>
      <c r="G363" t="inlineStr">
        <is>
          <t>NYKÖPING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58281-2022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44901</v>
      </c>
      <c r="E364" s="1" t="n">
        <v>46315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46315</v>
      </c>
      <c r="F365" t="inlineStr">
        <is>
          <t>SÖDERMANLANDS LÄN</t>
        </is>
      </c>
      <c r="G365" t="inlineStr">
        <is>
          <t>NYKÖPING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45307</v>
      </c>
      <c r="E366" s="1" t="n">
        <v>46315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31868-2023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46315</v>
      </c>
      <c r="F367" t="inlineStr">
        <is>
          <t>SÖDERMANLANDS LÄN</t>
        </is>
      </c>
      <c r="G367" t="inlineStr">
        <is>
          <t>NYKÖPING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12529-2024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46315</v>
      </c>
      <c r="F368" t="inlineStr">
        <is>
          <t>SÖDERMANLANDS LÄN</t>
        </is>
      </c>
      <c r="G368" t="inlineStr">
        <is>
          <t>NYKÖPING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44960</v>
      </c>
      <c r="E369" s="1" t="n">
        <v>46315</v>
      </c>
      <c r="F369" t="inlineStr">
        <is>
          <t>SÖDERMANLANDS LÄN</t>
        </is>
      </c>
      <c r="G369" t="inlineStr">
        <is>
          <t>NYKÖPING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45756</v>
      </c>
      <c r="E370" s="1" t="n">
        <v>46315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Holmen skog AB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24447-2023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45082</v>
      </c>
      <c r="E371" s="1" t="n">
        <v>46315</v>
      </c>
      <c r="F371" t="inlineStr">
        <is>
          <t>SÖDERMANLANDS LÄN</t>
        </is>
      </c>
      <c r="G371" t="inlineStr">
        <is>
          <t>NYKÖPING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45040</v>
      </c>
      <c r="E372" s="1" t="n">
        <v>46315</v>
      </c>
      <c r="F372" t="inlineStr">
        <is>
          <t>SÖDERMANLANDS LÄN</t>
        </is>
      </c>
      <c r="G372" t="inlineStr">
        <is>
          <t>NYKÖPING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55311-2025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45970</v>
      </c>
      <c r="E373" s="1" t="n">
        <v>46315</v>
      </c>
      <c r="F373" t="inlineStr">
        <is>
          <t>SÖDERMANLANDS LÄN</t>
        </is>
      </c>
      <c r="G373" t="inlineStr">
        <is>
          <t>NYKÖPING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56128-2025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46315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46315</v>
      </c>
      <c r="F375" t="inlineStr">
        <is>
          <t>SÖDERMANLANDS LÄN</t>
        </is>
      </c>
      <c r="G375" t="inlineStr">
        <is>
          <t>NYKÖPING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69244-2021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44530</v>
      </c>
      <c r="E376" s="1" t="n">
        <v>46315</v>
      </c>
      <c r="F376" t="inlineStr">
        <is>
          <t>SÖDERMANLANDS LÄN</t>
        </is>
      </c>
      <c r="G376" t="inlineStr">
        <is>
          <t>NYKÖPING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33683-2023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45132</v>
      </c>
      <c r="E377" s="1" t="n">
        <v>46315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44496</v>
      </c>
      <c r="E378" s="1" t="n">
        <v>46315</v>
      </c>
      <c r="F378" t="inlineStr">
        <is>
          <t>SÖDERMANLANDS LÄN</t>
        </is>
      </c>
      <c r="G378" t="inlineStr">
        <is>
          <t>NYKÖPING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10435-2022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44623</v>
      </c>
      <c r="E379" s="1" t="n">
        <v>46315</v>
      </c>
      <c r="F379" t="inlineStr">
        <is>
          <t>SÖDERMANLANDS LÄN</t>
        </is>
      </c>
      <c r="G379" t="inlineStr">
        <is>
          <t>NYKÖPING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27894-2023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46315</v>
      </c>
      <c r="F380" t="inlineStr">
        <is>
          <t>SÖDERMANLANDS LÄN</t>
        </is>
      </c>
      <c r="G380" t="inlineStr">
        <is>
          <t>NYKÖPING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44579</v>
      </c>
      <c r="E381" s="1" t="n">
        <v>46315</v>
      </c>
      <c r="F381" t="inlineStr">
        <is>
          <t>SÖDERMANLANDS LÄN</t>
        </is>
      </c>
      <c r="G381" t="inlineStr">
        <is>
          <t>NYKÖPING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45335</v>
      </c>
      <c r="E382" s="1" t="n">
        <v>46315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64081-2023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46315</v>
      </c>
      <c r="F383" t="inlineStr">
        <is>
          <t>SÖDERMANLANDS LÄN</t>
        </is>
      </c>
      <c r="G383" t="inlineStr">
        <is>
          <t>NYKÖPING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45419</v>
      </c>
      <c r="E384" s="1" t="n">
        <v>46315</v>
      </c>
      <c r="F384" t="inlineStr">
        <is>
          <t>SÖDERMANLANDS LÄN</t>
        </is>
      </c>
      <c r="G384" t="inlineStr">
        <is>
          <t>NYKÖPING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45419</v>
      </c>
      <c r="E385" s="1" t="n">
        <v>46315</v>
      </c>
      <c r="F385" t="inlineStr">
        <is>
          <t>SÖDERMANLANDS LÄN</t>
        </is>
      </c>
      <c r="G385" t="inlineStr">
        <is>
          <t>NYKÖPING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46315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45159</v>
      </c>
      <c r="E387" s="1" t="n">
        <v>46315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Kommuner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46315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46315</v>
      </c>
      <c r="F389" t="inlineStr">
        <is>
          <t>SÖDERMANLANDS LÄN</t>
        </is>
      </c>
      <c r="G389" t="inlineStr">
        <is>
          <t>NYKÖPING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46315</v>
      </c>
      <c r="F390" t="inlineStr">
        <is>
          <t>SÖDERMANLANDS LÄN</t>
        </is>
      </c>
      <c r="G390" t="inlineStr">
        <is>
          <t>NYKÖPING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46315</v>
      </c>
      <c r="F391" t="inlineStr">
        <is>
          <t>SÖDERMANLANDS LÄN</t>
        </is>
      </c>
      <c r="G391" t="inlineStr">
        <is>
          <t>NYKÖPING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45982</v>
      </c>
      <c r="E392" s="1" t="n">
        <v>46315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73877-2021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44553</v>
      </c>
      <c r="E393" s="1" t="n">
        <v>46315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46315</v>
      </c>
      <c r="F394" t="inlineStr">
        <is>
          <t>SÖDERMANLANDS LÄN</t>
        </is>
      </c>
      <c r="G394" t="inlineStr">
        <is>
          <t>NYKÖPING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44995</v>
      </c>
      <c r="E395" s="1" t="n">
        <v>46315</v>
      </c>
      <c r="F395" t="inlineStr">
        <is>
          <t>SÖDERMANLANDS LÄN</t>
        </is>
      </c>
      <c r="G395" t="inlineStr">
        <is>
          <t>NYKÖPING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9200-2023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44976</v>
      </c>
      <c r="E396" s="1" t="n">
        <v>46315</v>
      </c>
      <c r="F396" t="inlineStr">
        <is>
          <t>SÖDERMANLANDS LÄN</t>
        </is>
      </c>
      <c r="G396" t="inlineStr">
        <is>
          <t>NYKÖPING</t>
        </is>
      </c>
      <c r="I396" t="n">
        <v>11.1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46315</v>
      </c>
      <c r="F397" t="inlineStr">
        <is>
          <t>SÖDERMANLANDS LÄN</t>
        </is>
      </c>
      <c r="G397" t="inlineStr">
        <is>
          <t>NYKÖPING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47138-2023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45201</v>
      </c>
      <c r="E398" s="1" t="n">
        <v>46315</v>
      </c>
      <c r="F398" t="inlineStr">
        <is>
          <t>SÖDERMANLANDS LÄN</t>
        </is>
      </c>
      <c r="G398" t="inlineStr">
        <is>
          <t>NYKÖPING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46315</v>
      </c>
      <c r="F399" t="inlineStr">
        <is>
          <t>SÖDERMANLANDS LÄN</t>
        </is>
      </c>
      <c r="G399" t="inlineStr">
        <is>
          <t>NYKÖPING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44579</v>
      </c>
      <c r="E400" s="1" t="n">
        <v>46315</v>
      </c>
      <c r="F400" t="inlineStr">
        <is>
          <t>SÖDERMANLANDS LÄN</t>
        </is>
      </c>
      <c r="G400" t="inlineStr">
        <is>
          <t>NYKÖPING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67857-2021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46315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17832-2024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45418</v>
      </c>
      <c r="E402" s="1" t="n">
        <v>46315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Kommuner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44938</v>
      </c>
      <c r="E403" s="1" t="n">
        <v>46315</v>
      </c>
      <c r="F403" t="inlineStr">
        <is>
          <t>SÖDERMANLANDS LÄN</t>
        </is>
      </c>
      <c r="G403" t="inlineStr">
        <is>
          <t>NYKÖPING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44575</v>
      </c>
      <c r="E404" s="1" t="n">
        <v>46315</v>
      </c>
      <c r="F404" t="inlineStr">
        <is>
          <t>SÖDERMANLANDS LÄN</t>
        </is>
      </c>
      <c r="G404" t="inlineStr">
        <is>
          <t>NYKÖPING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36015-2023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45148</v>
      </c>
      <c r="E405" s="1" t="n">
        <v>46315</v>
      </c>
      <c r="F405" t="inlineStr">
        <is>
          <t>SÖDERMANLANDS LÄN</t>
        </is>
      </c>
      <c r="G405" t="inlineStr">
        <is>
          <t>NYKÖPING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46315</v>
      </c>
      <c r="F406" t="inlineStr">
        <is>
          <t>SÖDERMANLANDS LÄN</t>
        </is>
      </c>
      <c r="G406" t="inlineStr">
        <is>
          <t>NYKÖPING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72679-2021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44546</v>
      </c>
      <c r="E407" s="1" t="n">
        <v>46315</v>
      </c>
      <c r="F407" t="inlineStr">
        <is>
          <t>SÖDERMANLANDS LÄN</t>
        </is>
      </c>
      <c r="G407" t="inlineStr">
        <is>
          <t>NYKÖPING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45096</v>
      </c>
      <c r="E408" s="1" t="n">
        <v>46315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Övriga Aktiebolag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45630</v>
      </c>
      <c r="E409" s="1" t="n">
        <v>46315</v>
      </c>
      <c r="F409" t="inlineStr">
        <is>
          <t>SÖDERMANLANDS LÄN</t>
        </is>
      </c>
      <c r="G409" t="inlineStr">
        <is>
          <t>NYKÖPING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45306</v>
      </c>
      <c r="E410" s="1" t="n">
        <v>46315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Kommuner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45452</v>
      </c>
      <c r="E411" s="1" t="n">
        <v>46315</v>
      </c>
      <c r="F411" t="inlineStr">
        <is>
          <t>SÖDERMANLANDS LÄN</t>
        </is>
      </c>
      <c r="G411" t="inlineStr">
        <is>
          <t>NYKÖPING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46315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46315</v>
      </c>
      <c r="F413" t="inlineStr">
        <is>
          <t>SÖDERMANLANDS LÄN</t>
        </is>
      </c>
      <c r="G413" t="inlineStr">
        <is>
          <t>NYKÖPING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46315</v>
      </c>
      <c r="F414" t="inlineStr">
        <is>
          <t>SÖDERMANLANDS LÄN</t>
        </is>
      </c>
      <c r="G414" t="inlineStr">
        <is>
          <t>NYKÖPING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46315</v>
      </c>
      <c r="F415" t="inlineStr">
        <is>
          <t>SÖDERMANLANDS LÄN</t>
        </is>
      </c>
      <c r="G415" t="inlineStr">
        <is>
          <t>NYKÖPING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46315</v>
      </c>
      <c r="F416" t="inlineStr">
        <is>
          <t>SÖDERMANLANDS LÄN</t>
        </is>
      </c>
      <c r="G416" t="inlineStr">
        <is>
          <t>NYKÖPING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46315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23637-2026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46163</v>
      </c>
      <c r="E418" s="1" t="n">
        <v>46315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Kyrkan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45149</v>
      </c>
      <c r="E419" s="1" t="n">
        <v>46315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Kommuner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41241-2023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46315</v>
      </c>
      <c r="F420" t="inlineStr">
        <is>
          <t>SÖDERMANLANDS LÄN</t>
        </is>
      </c>
      <c r="G420" t="inlineStr">
        <is>
          <t>NYKÖPING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44536</v>
      </c>
      <c r="E421" s="1" t="n">
        <v>46315</v>
      </c>
      <c r="F421" t="inlineStr">
        <is>
          <t>SÖDERMANLANDS LÄN</t>
        </is>
      </c>
      <c r="G421" t="inlineStr">
        <is>
          <t>NYKÖPING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45132</v>
      </c>
      <c r="E422" s="1" t="n">
        <v>46315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46315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Allmännings- och besparingsskogar</t>
        </is>
      </c>
      <c r="I423" t="n">
        <v>13.5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46315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Allmännings- och besparingsskogar</t>
        </is>
      </c>
      <c r="I424" t="n">
        <v>10.6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61357-2025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46315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46315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Kommuner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46315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Kommuner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46315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Kommuner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56322-2023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45243</v>
      </c>
      <c r="E429" s="1" t="n">
        <v>46315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Kommuner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12111-2026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46315</v>
      </c>
      <c r="F430" t="inlineStr">
        <is>
          <t>SÖDERMANLANDS LÄN</t>
        </is>
      </c>
      <c r="G430" t="inlineStr">
        <is>
          <t>NYKÖPING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46315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44575</v>
      </c>
      <c r="E432" s="1" t="n">
        <v>46315</v>
      </c>
      <c r="F432" t="inlineStr">
        <is>
          <t>SÖDERMANLANDS LÄN</t>
        </is>
      </c>
      <c r="G432" t="inlineStr">
        <is>
          <t>NYKÖPING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46006</v>
      </c>
      <c r="E433" s="1" t="n">
        <v>46315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45181</v>
      </c>
      <c r="E434" s="1" t="n">
        <v>46315</v>
      </c>
      <c r="F434" t="inlineStr">
        <is>
          <t>SÖDERMANLANDS LÄN</t>
        </is>
      </c>
      <c r="G434" t="inlineStr">
        <is>
          <t>NYKÖPING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44581</v>
      </c>
      <c r="E435" s="1" t="n">
        <v>46315</v>
      </c>
      <c r="F435" t="inlineStr">
        <is>
          <t>SÖDERMANLANDS LÄN</t>
        </is>
      </c>
      <c r="G435" t="inlineStr">
        <is>
          <t>NYKÖPING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46315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62517-2025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46007</v>
      </c>
      <c r="E437" s="1" t="n">
        <v>46315</v>
      </c>
      <c r="F437" t="inlineStr">
        <is>
          <t>SÖDERMANLANDS LÄN</t>
        </is>
      </c>
      <c r="G437" t="inlineStr">
        <is>
          <t>NYKÖPING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45146</v>
      </c>
      <c r="E438" s="1" t="n">
        <v>46315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46315</v>
      </c>
      <c r="F439" t="inlineStr">
        <is>
          <t>SÖDERMANLANDS LÄN</t>
        </is>
      </c>
      <c r="G439" t="inlineStr">
        <is>
          <t>NYKÖPING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46169</v>
      </c>
      <c r="E440" s="1" t="n">
        <v>46315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Kyrkan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45721</v>
      </c>
      <c r="E441" s="1" t="n">
        <v>46315</v>
      </c>
      <c r="F441" t="inlineStr">
        <is>
          <t>SÖDERMANLANDS LÄN</t>
        </is>
      </c>
      <c r="G441" t="inlineStr">
        <is>
          <t>NYKÖPING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45160</v>
      </c>
      <c r="E442" s="1" t="n">
        <v>46315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11908-2023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44995</v>
      </c>
      <c r="E443" s="1" t="n">
        <v>46315</v>
      </c>
      <c r="F443" t="inlineStr">
        <is>
          <t>SÖDERMANLANDS LÄN</t>
        </is>
      </c>
      <c r="G443" t="inlineStr">
        <is>
          <t>NYKÖPING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65109-2021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46315</v>
      </c>
      <c r="F444" t="inlineStr">
        <is>
          <t>SÖDERMANLANDS LÄN</t>
        </is>
      </c>
      <c r="G444" t="inlineStr">
        <is>
          <t>NYKÖPING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46315</v>
      </c>
      <c r="F445" t="inlineStr">
        <is>
          <t>SÖDERMANLANDS LÄN</t>
        </is>
      </c>
      <c r="G445" t="inlineStr">
        <is>
          <t>NYKÖPING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63246-2025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46315</v>
      </c>
      <c r="F446" t="inlineStr">
        <is>
          <t>SÖDERMANLANDS LÄN</t>
        </is>
      </c>
      <c r="G446" t="inlineStr">
        <is>
          <t>NYKÖPING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62917-2025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46315</v>
      </c>
      <c r="F447" t="inlineStr">
        <is>
          <t>SÖDERMANLANDS LÄN</t>
        </is>
      </c>
      <c r="G447" t="inlineStr">
        <is>
          <t>NYKÖPING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63322-2025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46010</v>
      </c>
      <c r="E448" s="1" t="n">
        <v>46315</v>
      </c>
      <c r="F448" t="inlineStr">
        <is>
          <t>SÖDERMANLANDS LÄN</t>
        </is>
      </c>
      <c r="G448" t="inlineStr">
        <is>
          <t>NYKÖPING</t>
        </is>
      </c>
      <c r="I448" t="n">
        <v>21.2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46315</v>
      </c>
      <c r="F449" t="inlineStr">
        <is>
          <t>SÖDERMANLANDS LÄN</t>
        </is>
      </c>
      <c r="G449" t="inlineStr">
        <is>
          <t>NYKÖPING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45329</v>
      </c>
      <c r="E450" s="1" t="n">
        <v>46315</v>
      </c>
      <c r="F450" t="inlineStr">
        <is>
          <t>SÖDERMANLANDS LÄN</t>
        </is>
      </c>
      <c r="G450" t="inlineStr">
        <is>
          <t>NYKÖPING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45329</v>
      </c>
      <c r="E451" s="1" t="n">
        <v>46315</v>
      </c>
      <c r="F451" t="inlineStr">
        <is>
          <t>SÖDERMANLANDS LÄN</t>
        </is>
      </c>
      <c r="G451" t="inlineStr">
        <is>
          <t>NYKÖPING</t>
        </is>
      </c>
      <c r="I451" t="n">
        <v>17.8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44585</v>
      </c>
      <c r="E452" s="1" t="n">
        <v>46315</v>
      </c>
      <c r="F452" t="inlineStr">
        <is>
          <t>SÖDERMANLANDS LÄN</t>
        </is>
      </c>
      <c r="G452" t="inlineStr">
        <is>
          <t>NYKÖPING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33126-2023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46315</v>
      </c>
      <c r="F453" t="inlineStr">
        <is>
          <t>SÖDERMANLANDS LÄN</t>
        </is>
      </c>
      <c r="G453" t="inlineStr">
        <is>
          <t>NYKÖPING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46027</v>
      </c>
      <c r="E454" s="1" t="n">
        <v>46315</v>
      </c>
      <c r="F454" t="inlineStr">
        <is>
          <t>SÖDERMANLANDS LÄN</t>
        </is>
      </c>
      <c r="G454" t="inlineStr">
        <is>
          <t>NYKÖPING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46315</v>
      </c>
      <c r="F455" t="inlineStr">
        <is>
          <t>SÖDERMANLANDS LÄN</t>
        </is>
      </c>
      <c r="G455" t="inlineStr">
        <is>
          <t>NYKÖPING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13863-2022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44649</v>
      </c>
      <c r="E456" s="1" t="n">
        <v>46315</v>
      </c>
      <c r="F456" t="inlineStr">
        <is>
          <t>SÖDERMANLANDS LÄN</t>
        </is>
      </c>
      <c r="G456" t="inlineStr">
        <is>
          <t>NYKÖPING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58496-2025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46315</v>
      </c>
      <c r="F457" t="inlineStr">
        <is>
          <t>SÖDERMANLANDS LÄN</t>
        </is>
      </c>
      <c r="G457" t="inlineStr">
        <is>
          <t>NYKÖPING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40635-2023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45170</v>
      </c>
      <c r="E458" s="1" t="n">
        <v>46315</v>
      </c>
      <c r="F458" t="inlineStr">
        <is>
          <t>SÖDERMANLANDS LÄN</t>
        </is>
      </c>
      <c r="G458" t="inlineStr">
        <is>
          <t>NYKÖPING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1686-2026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46315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46315</v>
      </c>
      <c r="F460" t="inlineStr">
        <is>
          <t>SÖDERMANLANDS LÄN</t>
        </is>
      </c>
      <c r="G460" t="inlineStr">
        <is>
          <t>NYKÖPING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46315</v>
      </c>
      <c r="F461" t="inlineStr">
        <is>
          <t>SÖDERMANLANDS LÄN</t>
        </is>
      </c>
      <c r="G461" t="inlineStr">
        <is>
          <t>NYKÖPING</t>
        </is>
      </c>
      <c r="I461" t="n">
        <v>10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46315</v>
      </c>
      <c r="F462" t="inlineStr">
        <is>
          <t>SÖDERMANLANDS LÄN</t>
        </is>
      </c>
      <c r="G462" t="inlineStr">
        <is>
          <t>NYKÖPING</t>
        </is>
      </c>
      <c r="I462" t="n">
        <v>11.7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46315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46315</v>
      </c>
      <c r="F464" t="inlineStr">
        <is>
          <t>SÖDERMANLANDS LÄN</t>
        </is>
      </c>
      <c r="G464" t="inlineStr">
        <is>
          <t>NYKÖPING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25334-2026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46176</v>
      </c>
      <c r="E465" s="1" t="n">
        <v>46315</v>
      </c>
      <c r="F465" t="inlineStr">
        <is>
          <t>SÖDERMANLANDS LÄN</t>
        </is>
      </c>
      <c r="G465" t="inlineStr">
        <is>
          <t>NYKÖPING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51241-2024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46315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46315</v>
      </c>
      <c r="F467" t="inlineStr">
        <is>
          <t>SÖDERMANLANDS LÄN</t>
        </is>
      </c>
      <c r="G467" t="inlineStr">
        <is>
          <t>NYKÖPING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46315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7253-2022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44606</v>
      </c>
      <c r="E469" s="1" t="n">
        <v>46315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Allmännings- och besparingsskogar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46315</v>
      </c>
      <c r="F470" t="inlineStr">
        <is>
          <t>SÖDERMANLANDS LÄN</t>
        </is>
      </c>
      <c r="G470" t="inlineStr">
        <is>
          <t>NYKÖPING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44988</v>
      </c>
      <c r="E471" s="1" t="n">
        <v>46315</v>
      </c>
      <c r="F471" t="inlineStr">
        <is>
          <t>SÖDERMANLANDS LÄN</t>
        </is>
      </c>
      <c r="G471" t="inlineStr">
        <is>
          <t>NYKÖPING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52551-2023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46315</v>
      </c>
      <c r="F472" t="inlineStr">
        <is>
          <t>SÖDERMANLANDS LÄN</t>
        </is>
      </c>
      <c r="G472" t="inlineStr">
        <is>
          <t>NYKÖPING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46176</v>
      </c>
      <c r="E473" s="1" t="n">
        <v>46315</v>
      </c>
      <c r="F473" t="inlineStr">
        <is>
          <t>SÖDERMANLANDS LÄN</t>
        </is>
      </c>
      <c r="G473" t="inlineStr">
        <is>
          <t>NYKÖPING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46315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44582</v>
      </c>
      <c r="E475" s="1" t="n">
        <v>46315</v>
      </c>
      <c r="F475" t="inlineStr">
        <is>
          <t>SÖDERMANLANDS LÄN</t>
        </is>
      </c>
      <c r="G475" t="inlineStr">
        <is>
          <t>NYKÖPING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44820-2022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44839</v>
      </c>
      <c r="E476" s="1" t="n">
        <v>46315</v>
      </c>
      <c r="F476" t="inlineStr">
        <is>
          <t>SÖDERMANLANDS LÄN</t>
        </is>
      </c>
      <c r="G476" t="inlineStr">
        <is>
          <t>NYKÖPING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44908-2022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44840</v>
      </c>
      <c r="E477" s="1" t="n">
        <v>46315</v>
      </c>
      <c r="F477" t="inlineStr">
        <is>
          <t>SÖDERMANLANDS LÄN</t>
        </is>
      </c>
      <c r="G477" t="inlineStr">
        <is>
          <t>NYKÖPING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46315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Holmen skog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45350</v>
      </c>
      <c r="E479" s="1" t="n">
        <v>46315</v>
      </c>
      <c r="F479" t="inlineStr">
        <is>
          <t>SÖDERMANLANDS LÄN</t>
        </is>
      </c>
      <c r="G479" t="inlineStr">
        <is>
          <t>NYKÖPING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45153</v>
      </c>
      <c r="E480" s="1" t="n">
        <v>46315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Kommuner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14370-2022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44652</v>
      </c>
      <c r="E481" s="1" t="n">
        <v>46315</v>
      </c>
      <c r="F481" t="inlineStr">
        <is>
          <t>SÖDERMANLANDS LÄN</t>
        </is>
      </c>
      <c r="G481" t="inlineStr">
        <is>
          <t>NYKÖPING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45044</v>
      </c>
      <c r="E482" s="1" t="n">
        <v>46315</v>
      </c>
      <c r="F482" t="inlineStr">
        <is>
          <t>SÖDERMANLANDS LÄN</t>
        </is>
      </c>
      <c r="G482" t="inlineStr">
        <is>
          <t>NYKÖPING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46315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12538-2025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45730</v>
      </c>
      <c r="E484" s="1" t="n">
        <v>46315</v>
      </c>
      <c r="F484" t="inlineStr">
        <is>
          <t>SÖDERMANLANDS LÄN</t>
        </is>
      </c>
      <c r="G484" t="inlineStr">
        <is>
          <t>NYKÖPING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46315</v>
      </c>
      <c r="F485" t="inlineStr">
        <is>
          <t>SÖDERMANLANDS LÄN</t>
        </is>
      </c>
      <c r="G485" t="inlineStr">
        <is>
          <t>NYKÖPING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46315</v>
      </c>
      <c r="F486" t="inlineStr">
        <is>
          <t>SÖDERMANLANDS LÄN</t>
        </is>
      </c>
      <c r="G486" t="inlineStr">
        <is>
          <t>NYKÖPING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46315</v>
      </c>
      <c r="F487" t="inlineStr">
        <is>
          <t>SÖDERMANLANDS LÄN</t>
        </is>
      </c>
      <c r="G487" t="inlineStr">
        <is>
          <t>NYKÖPING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46315</v>
      </c>
      <c r="F488" t="inlineStr">
        <is>
          <t>SÖDERMANLANDS LÄN</t>
        </is>
      </c>
      <c r="G488" t="inlineStr">
        <is>
          <t>NYKÖPING</t>
        </is>
      </c>
      <c r="I488" t="n">
        <v>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46315</v>
      </c>
      <c r="F489" t="inlineStr">
        <is>
          <t>SÖDERMANLANDS LÄN</t>
        </is>
      </c>
      <c r="G489" t="inlineStr">
        <is>
          <t>NYKÖPING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11728-2022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44634</v>
      </c>
      <c r="E490" s="1" t="n">
        <v>46315</v>
      </c>
      <c r="F490" t="inlineStr">
        <is>
          <t>SÖDERMANLANDS LÄN</t>
        </is>
      </c>
      <c r="G490" t="inlineStr">
        <is>
          <t>NYKÖPING</t>
        </is>
      </c>
      <c r="I490" t="n">
        <v>11.4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45061</v>
      </c>
      <c r="E491" s="1" t="n">
        <v>46315</v>
      </c>
      <c r="F491" t="inlineStr">
        <is>
          <t>SÖDERMANLANDS LÄN</t>
        </is>
      </c>
      <c r="G491" t="inlineStr">
        <is>
          <t>NYKÖPING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43880-2023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46315</v>
      </c>
      <c r="F492" t="inlineStr">
        <is>
          <t>SÖDERMANLANDS LÄN</t>
        </is>
      </c>
      <c r="G492" t="inlineStr">
        <is>
          <t>NYKÖPING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2598-2025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45674</v>
      </c>
      <c r="E493" s="1" t="n">
        <v>46315</v>
      </c>
      <c r="F493" t="inlineStr">
        <is>
          <t>SÖDERMANLANDS LÄN</t>
        </is>
      </c>
      <c r="G493" t="inlineStr">
        <is>
          <t>NYKÖPING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38745-2023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46315</v>
      </c>
      <c r="F494" t="inlineStr">
        <is>
          <t>SÖDERMANLANDS LÄN</t>
        </is>
      </c>
      <c r="G494" t="inlineStr">
        <is>
          <t>NYKÖPING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45146</v>
      </c>
      <c r="E495" s="1" t="n">
        <v>46315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46184</v>
      </c>
      <c r="E496" s="1" t="n">
        <v>46315</v>
      </c>
      <c r="F496" t="inlineStr">
        <is>
          <t>SÖDERMANLANDS LÄN</t>
        </is>
      </c>
      <c r="G496" t="inlineStr">
        <is>
          <t>NYKÖPING</t>
        </is>
      </c>
      <c r="I496" t="n">
        <v>7.9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46315</v>
      </c>
      <c r="F497" t="inlineStr">
        <is>
          <t>SÖDERMANLANDS LÄN</t>
        </is>
      </c>
      <c r="G497" t="inlineStr">
        <is>
          <t>NYKÖPING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58653-2025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46315</v>
      </c>
      <c r="F498" t="inlineStr">
        <is>
          <t>SÖDERMANLANDS LÄN</t>
        </is>
      </c>
      <c r="G498" t="inlineStr">
        <is>
          <t>NYKÖPING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58650-2025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46315</v>
      </c>
      <c r="F499" t="inlineStr">
        <is>
          <t>SÖDERMANLANDS LÄN</t>
        </is>
      </c>
      <c r="G499" t="inlineStr">
        <is>
          <t>NYKÖPING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46315</v>
      </c>
      <c r="F500" t="inlineStr">
        <is>
          <t>SÖDERMANLANDS LÄN</t>
        </is>
      </c>
      <c r="G500" t="inlineStr">
        <is>
          <t>NYKÖPING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21925-2022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44711</v>
      </c>
      <c r="E501" s="1" t="n">
        <v>46315</v>
      </c>
      <c r="F501" t="inlineStr">
        <is>
          <t>SÖDERMANLANDS LÄN</t>
        </is>
      </c>
      <c r="G501" t="inlineStr">
        <is>
          <t>NYKÖPING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46315</v>
      </c>
      <c r="F502" t="inlineStr">
        <is>
          <t>SÖDERMANLANDS LÄN</t>
        </is>
      </c>
      <c r="G502" t="inlineStr">
        <is>
          <t>NYKÖPING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58676-2025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45986</v>
      </c>
      <c r="E503" s="1" t="n">
        <v>46315</v>
      </c>
      <c r="F503" t="inlineStr">
        <is>
          <t>SÖDERMANLANDS LÄN</t>
        </is>
      </c>
      <c r="G503" t="inlineStr">
        <is>
          <t>NYKÖPING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46184</v>
      </c>
      <c r="E504" s="1" t="n">
        <v>46315</v>
      </c>
      <c r="F504" t="inlineStr">
        <is>
          <t>SÖDERMANLANDS LÄN</t>
        </is>
      </c>
      <c r="G504" t="inlineStr">
        <is>
          <t>NYKÖPING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13858-2022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44649</v>
      </c>
      <c r="E505" s="1" t="n">
        <v>46315</v>
      </c>
      <c r="F505" t="inlineStr">
        <is>
          <t>SÖDERMANLANDS LÄN</t>
        </is>
      </c>
      <c r="G505" t="inlineStr">
        <is>
          <t>NYKÖPING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46315</v>
      </c>
      <c r="F506" t="inlineStr">
        <is>
          <t>SÖDERMANLANDS LÄN</t>
        </is>
      </c>
      <c r="G506" t="inlineStr">
        <is>
          <t>NYKÖPING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37911-2022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44810</v>
      </c>
      <c r="E507" s="1" t="n">
        <v>46315</v>
      </c>
      <c r="F507" t="inlineStr">
        <is>
          <t>SÖDERMANLANDS LÄN</t>
        </is>
      </c>
      <c r="G507" t="inlineStr">
        <is>
          <t>NYKÖPING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43952-2022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44838</v>
      </c>
      <c r="E508" s="1" t="n">
        <v>46315</v>
      </c>
      <c r="F508" t="inlineStr">
        <is>
          <t>SÖDERMANLANDS LÄN</t>
        </is>
      </c>
      <c r="G508" t="inlineStr">
        <is>
          <t>NYKÖPING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44191-2022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44839</v>
      </c>
      <c r="E509" s="1" t="n">
        <v>46315</v>
      </c>
      <c r="F509" t="inlineStr">
        <is>
          <t>SÖDERMANLANDS LÄN</t>
        </is>
      </c>
      <c r="G509" t="inlineStr">
        <is>
          <t>NYKÖPING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46315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Sveaskog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46315</v>
      </c>
      <c r="F511" t="inlineStr">
        <is>
          <t>SÖDERMANLANDS LÄN</t>
        </is>
      </c>
      <c r="G511" t="inlineStr">
        <is>
          <t>NYKÖPING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46315</v>
      </c>
      <c r="F512" t="inlineStr">
        <is>
          <t>SÖDERMANLANDS LÄN</t>
        </is>
      </c>
      <c r="G512" t="inlineStr">
        <is>
          <t>NYKÖPING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46315</v>
      </c>
      <c r="F513" t="inlineStr">
        <is>
          <t>SÖDERMANLANDS LÄN</t>
        </is>
      </c>
      <c r="G513" t="inlineStr">
        <is>
          <t>NYKÖPING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46315</v>
      </c>
      <c r="F514" t="inlineStr">
        <is>
          <t>SÖDERMANLANDS LÄN</t>
        </is>
      </c>
      <c r="G514" t="inlineStr">
        <is>
          <t>NYKÖPING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46315</v>
      </c>
      <c r="F515" t="inlineStr">
        <is>
          <t>SÖDERMANLANDS LÄN</t>
        </is>
      </c>
      <c r="G515" t="inlineStr">
        <is>
          <t>NYKÖPING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46315</v>
      </c>
      <c r="F516" t="inlineStr">
        <is>
          <t>SÖDERMANLANDS LÄN</t>
        </is>
      </c>
      <c r="G516" t="inlineStr">
        <is>
          <t>NYKÖPING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24798-2022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44728</v>
      </c>
      <c r="E517" s="1" t="n">
        <v>46315</v>
      </c>
      <c r="F517" t="inlineStr">
        <is>
          <t>SÖDERMANLANDS LÄN</t>
        </is>
      </c>
      <c r="G517" t="inlineStr">
        <is>
          <t>NYKÖPING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46315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39321-2023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45166</v>
      </c>
      <c r="E519" s="1" t="n">
        <v>46315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45685</v>
      </c>
      <c r="E520" s="1" t="n">
        <v>46315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4182-2025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45685</v>
      </c>
      <c r="E521" s="1" t="n">
        <v>46315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24280-2022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44725</v>
      </c>
      <c r="E522" s="1" t="n">
        <v>46315</v>
      </c>
      <c r="F522" t="inlineStr">
        <is>
          <t>SÖDERMANLANDS LÄN</t>
        </is>
      </c>
      <c r="G522" t="inlineStr">
        <is>
          <t>NYKÖPING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31424-2022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44774</v>
      </c>
      <c r="E523" s="1" t="n">
        <v>46315</v>
      </c>
      <c r="F523" t="inlineStr">
        <is>
          <t>SÖDERMANLANDS LÄN</t>
        </is>
      </c>
      <c r="G523" t="inlineStr">
        <is>
          <t>NYKÖPING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47370-2022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44853</v>
      </c>
      <c r="E524" s="1" t="n">
        <v>46315</v>
      </c>
      <c r="F524" t="inlineStr">
        <is>
          <t>SÖDERMANLANDS LÄN</t>
        </is>
      </c>
      <c r="G524" t="inlineStr">
        <is>
          <t>NYKÖPING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38508-2023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46315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58493-2025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46315</v>
      </c>
      <c r="F526" t="inlineStr">
        <is>
          <t>SÖDERMANLANDS LÄN</t>
        </is>
      </c>
      <c r="G526" t="inlineStr">
        <is>
          <t>NYKÖPING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44645</v>
      </c>
      <c r="E527" s="1" t="n">
        <v>46315</v>
      </c>
      <c r="F527" t="inlineStr">
        <is>
          <t>SÖDERMANLANDS LÄN</t>
        </is>
      </c>
      <c r="G527" t="inlineStr">
        <is>
          <t>NYKÖPING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44858</v>
      </c>
      <c r="E528" s="1" t="n">
        <v>46315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Övriga statliga verk och myndigheter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51699-2023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45222</v>
      </c>
      <c r="E529" s="1" t="n">
        <v>46315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24829-2024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45461</v>
      </c>
      <c r="E530" s="1" t="n">
        <v>46315</v>
      </c>
      <c r="F530" t="inlineStr">
        <is>
          <t>SÖDERMANLANDS LÄN</t>
        </is>
      </c>
      <c r="G530" t="inlineStr">
        <is>
          <t>NYKÖPING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35532-2022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44799</v>
      </c>
      <c r="E531" s="1" t="n">
        <v>46315</v>
      </c>
      <c r="F531" t="inlineStr">
        <is>
          <t>SÖDERMANLANDS LÄN</t>
        </is>
      </c>
      <c r="G531" t="inlineStr">
        <is>
          <t>NYKÖPING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7428-2025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45705</v>
      </c>
      <c r="E532" s="1" t="n">
        <v>46315</v>
      </c>
      <c r="F532" t="inlineStr">
        <is>
          <t>SÖDERMANLANDS LÄN</t>
        </is>
      </c>
      <c r="G532" t="inlineStr">
        <is>
          <t>NYKÖPING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8787-2025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45712</v>
      </c>
      <c r="E533" s="1" t="n">
        <v>46315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24197-2022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44725</v>
      </c>
      <c r="E534" s="1" t="n">
        <v>46315</v>
      </c>
      <c r="F534" t="inlineStr">
        <is>
          <t>SÖDERMANLANDS LÄN</t>
        </is>
      </c>
      <c r="G534" t="inlineStr">
        <is>
          <t>NYKÖPING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46093</v>
      </c>
      <c r="E535" s="1" t="n">
        <v>46315</v>
      </c>
      <c r="F535" t="inlineStr">
        <is>
          <t>SÖDERMANLANDS LÄN</t>
        </is>
      </c>
      <c r="G535" t="inlineStr">
        <is>
          <t>NYKÖPING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46315</v>
      </c>
      <c r="F536" t="inlineStr">
        <is>
          <t>SÖDERMANLANDS LÄN</t>
        </is>
      </c>
      <c r="G536" t="inlineStr">
        <is>
          <t>NYKÖPING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65231-2023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45289</v>
      </c>
      <c r="E537" s="1" t="n">
        <v>46315</v>
      </c>
      <c r="F537" t="inlineStr">
        <is>
          <t>SÖDERMANLANDS LÄN</t>
        </is>
      </c>
      <c r="G537" t="inlineStr">
        <is>
          <t>NYKÖPING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44798</v>
      </c>
      <c r="E538" s="1" t="n">
        <v>46315</v>
      </c>
      <c r="F538" t="inlineStr">
        <is>
          <t>SÖDERMANLANDS LÄN</t>
        </is>
      </c>
      <c r="G538" t="inlineStr">
        <is>
          <t>NYKÖPING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46315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46315</v>
      </c>
      <c r="F540" t="inlineStr">
        <is>
          <t>SÖDERMANLANDS LÄN</t>
        </is>
      </c>
      <c r="G540" t="inlineStr">
        <is>
          <t>NYKÖPING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24497-2025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45798</v>
      </c>
      <c r="E541" s="1" t="n">
        <v>46315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30907-2022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44767</v>
      </c>
      <c r="E542" s="1" t="n">
        <v>46315</v>
      </c>
      <c r="F542" t="inlineStr">
        <is>
          <t>SÖDERMANLANDS LÄN</t>
        </is>
      </c>
      <c r="G542" t="inlineStr">
        <is>
          <t>NYKÖPING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45926-2022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44846</v>
      </c>
      <c r="E543" s="1" t="n">
        <v>46315</v>
      </c>
      <c r="F543" t="inlineStr">
        <is>
          <t>SÖDERMANLANDS LÄN</t>
        </is>
      </c>
      <c r="G543" t="inlineStr">
        <is>
          <t>NYKÖPING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45348</v>
      </c>
      <c r="E544" s="1" t="n">
        <v>46315</v>
      </c>
      <c r="F544" t="inlineStr">
        <is>
          <t>SÖDERMANLANDS LÄN</t>
        </is>
      </c>
      <c r="G544" t="inlineStr">
        <is>
          <t>NYKÖPING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45349</v>
      </c>
      <c r="E545" s="1" t="n">
        <v>46315</v>
      </c>
      <c r="F545" t="inlineStr">
        <is>
          <t>SÖDERMANLANDS LÄN</t>
        </is>
      </c>
      <c r="G545" t="inlineStr">
        <is>
          <t>NYKÖPING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44607</v>
      </c>
      <c r="E546" s="1" t="n">
        <v>46315</v>
      </c>
      <c r="F546" t="inlineStr">
        <is>
          <t>SÖDERMANLANDS LÄN</t>
        </is>
      </c>
      <c r="G546" t="inlineStr">
        <is>
          <t>NYKÖPING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37941-2022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44810</v>
      </c>
      <c r="E547" s="1" t="n">
        <v>46315</v>
      </c>
      <c r="F547" t="inlineStr">
        <is>
          <t>SÖDERMANLANDS LÄN</t>
        </is>
      </c>
      <c r="G547" t="inlineStr">
        <is>
          <t>NYKÖPING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44974</v>
      </c>
      <c r="E548" s="1" t="n">
        <v>46315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26561-2023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45092</v>
      </c>
      <c r="E549" s="1" t="n">
        <v>46315</v>
      </c>
      <c r="F549" t="inlineStr">
        <is>
          <t>SÖDERMANLANDS LÄN</t>
        </is>
      </c>
      <c r="G549" t="inlineStr">
        <is>
          <t>NYKÖPING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46315</v>
      </c>
      <c r="F550" t="inlineStr">
        <is>
          <t>SÖDERMANLANDS LÄN</t>
        </is>
      </c>
      <c r="G550" t="inlineStr">
        <is>
          <t>NYKÖPING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44575</v>
      </c>
      <c r="E551" s="1" t="n">
        <v>46315</v>
      </c>
      <c r="F551" t="inlineStr">
        <is>
          <t>SÖDERMANLANDS LÄN</t>
        </is>
      </c>
      <c r="G551" t="inlineStr">
        <is>
          <t>NYKÖPING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45924</v>
      </c>
      <c r="E552" s="1" t="n">
        <v>46315</v>
      </c>
      <c r="F552" t="inlineStr">
        <is>
          <t>SÖDERMANLANDS LÄN</t>
        </is>
      </c>
      <c r="G552" t="inlineStr">
        <is>
          <t>NYKÖPING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46315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62948-2023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45271</v>
      </c>
      <c r="E554" s="1" t="n">
        <v>46315</v>
      </c>
      <c r="F554" t="inlineStr">
        <is>
          <t>SÖDERMANLANDS LÄN</t>
        </is>
      </c>
      <c r="G554" t="inlineStr">
        <is>
          <t>NYKÖPING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15047-2025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46315</v>
      </c>
      <c r="F555" t="inlineStr">
        <is>
          <t>SÖDERMANLANDS LÄN</t>
        </is>
      </c>
      <c r="G555" t="inlineStr">
        <is>
          <t>NYKÖPING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32594-2022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44783</v>
      </c>
      <c r="E556" s="1" t="n">
        <v>46315</v>
      </c>
      <c r="F556" t="inlineStr">
        <is>
          <t>SÖDERMANLANDS LÄN</t>
        </is>
      </c>
      <c r="G556" t="inlineStr">
        <is>
          <t>NYKÖPING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63882-2023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45278</v>
      </c>
      <c r="E557" s="1" t="n">
        <v>46315</v>
      </c>
      <c r="F557" t="inlineStr">
        <is>
          <t>SÖDERMANLANDS LÄN</t>
        </is>
      </c>
      <c r="G557" t="inlineStr">
        <is>
          <t>NYKÖPING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9913-2022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44620</v>
      </c>
      <c r="E558" s="1" t="n">
        <v>46315</v>
      </c>
      <c r="F558" t="inlineStr">
        <is>
          <t>SÖDERMANLANDS LÄN</t>
        </is>
      </c>
      <c r="G558" t="inlineStr">
        <is>
          <t>NYKÖPING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45301</v>
      </c>
      <c r="E559" s="1" t="n">
        <v>46315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Övriga Aktiebolag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57028-2024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45628</v>
      </c>
      <c r="E560" s="1" t="n">
        <v>46315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20131-2022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44698</v>
      </c>
      <c r="E561" s="1" t="n">
        <v>46315</v>
      </c>
      <c r="F561" t="inlineStr">
        <is>
          <t>SÖDERMANLANDS LÄN</t>
        </is>
      </c>
      <c r="G561" t="inlineStr">
        <is>
          <t>NYKÖPING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71555-2021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44540</v>
      </c>
      <c r="E562" s="1" t="n">
        <v>46315</v>
      </c>
      <c r="F562" t="inlineStr">
        <is>
          <t>SÖDERMANLANDS LÄN</t>
        </is>
      </c>
      <c r="G562" t="inlineStr">
        <is>
          <t>NYKÖPING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6976-2023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44967</v>
      </c>
      <c r="E563" s="1" t="n">
        <v>46315</v>
      </c>
      <c r="F563" t="inlineStr">
        <is>
          <t>SÖDERMANLANDS LÄN</t>
        </is>
      </c>
      <c r="G563" t="inlineStr">
        <is>
          <t>NYKÖPING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42246-2022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46315</v>
      </c>
      <c r="F564" t="inlineStr">
        <is>
          <t>SÖDERMANLANDS LÄN</t>
        </is>
      </c>
      <c r="G564" t="inlineStr">
        <is>
          <t>NYKÖPING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34218-2024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45524</v>
      </c>
      <c r="E565" s="1" t="n">
        <v>46315</v>
      </c>
      <c r="F565" t="inlineStr">
        <is>
          <t>SÖDERMANLANDS LÄN</t>
        </is>
      </c>
      <c r="G565" t="inlineStr">
        <is>
          <t>NYKÖPING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58654-2025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45986</v>
      </c>
      <c r="E566" s="1" t="n">
        <v>46315</v>
      </c>
      <c r="F566" t="inlineStr">
        <is>
          <t>SÖDERMANLANDS LÄN</t>
        </is>
      </c>
      <c r="G566" t="inlineStr">
        <is>
          <t>NYKÖPING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46315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41165-2024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45559</v>
      </c>
      <c r="E568" s="1" t="n">
        <v>46315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19807-2026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46135</v>
      </c>
      <c r="E569" s="1" t="n">
        <v>46315</v>
      </c>
      <c r="F569" t="inlineStr">
        <is>
          <t>SÖDERMANLANDS LÄN</t>
        </is>
      </c>
      <c r="G569" t="inlineStr">
        <is>
          <t>NYKÖPING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45327</v>
      </c>
      <c r="E570" s="1" t="n">
        <v>46315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54065-2025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45964</v>
      </c>
      <c r="E571" s="1" t="n">
        <v>46315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5521-2023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44960</v>
      </c>
      <c r="E572" s="1" t="n">
        <v>46315</v>
      </c>
      <c r="F572" t="inlineStr">
        <is>
          <t>SÖDERMANLANDS LÄN</t>
        </is>
      </c>
      <c r="G572" t="inlineStr">
        <is>
          <t>NYKÖPING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7223-2023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44970</v>
      </c>
      <c r="E573" s="1" t="n">
        <v>46315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46315</v>
      </c>
      <c r="F574" t="inlineStr">
        <is>
          <t>SÖDERMANLANDS LÄN</t>
        </is>
      </c>
      <c r="G574" t="inlineStr">
        <is>
          <t>NYKÖPING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47390-2025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45930</v>
      </c>
      <c r="E575" s="1" t="n">
        <v>46315</v>
      </c>
      <c r="F575" t="inlineStr">
        <is>
          <t>SÖDERMANLANDS LÄN</t>
        </is>
      </c>
      <c r="G575" t="inlineStr">
        <is>
          <t>NYKÖPING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33863-2022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44790</v>
      </c>
      <c r="E576" s="1" t="n">
        <v>46315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45819</v>
      </c>
      <c r="E577" s="1" t="n">
        <v>46315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Sveaskog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45826</v>
      </c>
      <c r="E578" s="1" t="n">
        <v>46315</v>
      </c>
      <c r="F578" t="inlineStr">
        <is>
          <t>SÖDERMANLANDS LÄN</t>
        </is>
      </c>
      <c r="G578" t="inlineStr">
        <is>
          <t>NYKÖPING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53738-2022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44880</v>
      </c>
      <c r="E579" s="1" t="n">
        <v>46315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Aktiebolag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45706</v>
      </c>
      <c r="E580" s="1" t="n">
        <v>46315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Kyrkan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13963-2022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44650</v>
      </c>
      <c r="E581" s="1" t="n">
        <v>46315</v>
      </c>
      <c r="F581" t="inlineStr">
        <is>
          <t>SÖDERMANLANDS LÄN</t>
        </is>
      </c>
      <c r="G581" t="inlineStr">
        <is>
          <t>NYKÖPING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43581-2022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44837</v>
      </c>
      <c r="E582" s="1" t="n">
        <v>46315</v>
      </c>
      <c r="F582" t="inlineStr">
        <is>
          <t>SÖDERMANLANDS LÄN</t>
        </is>
      </c>
      <c r="G582" t="inlineStr">
        <is>
          <t>NYKÖPING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46139</v>
      </c>
      <c r="E583" s="1" t="n">
        <v>46315</v>
      </c>
      <c r="F583" t="inlineStr">
        <is>
          <t>SÖDERMANLANDS LÄN</t>
        </is>
      </c>
      <c r="G583" t="inlineStr">
        <is>
          <t>NYKÖPING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53569-2022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44879</v>
      </c>
      <c r="E584" s="1" t="n">
        <v>46315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Övriga Aktiebolag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53413-2022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44879</v>
      </c>
      <c r="E585" s="1" t="n">
        <v>46315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Övriga Aktiebolag</t>
        </is>
      </c>
      <c r="I585" t="n">
        <v>8.800000000000001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12800-2023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45001</v>
      </c>
      <c r="E586" s="1" t="n">
        <v>46315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Kyrkan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46315</v>
      </c>
      <c r="F587" t="inlineStr">
        <is>
          <t>SÖDERMANLANDS LÄN</t>
        </is>
      </c>
      <c r="G587" t="inlineStr">
        <is>
          <t>NYKÖPING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46315</v>
      </c>
      <c r="F588" t="inlineStr">
        <is>
          <t>SÖDERMANLANDS LÄN</t>
        </is>
      </c>
      <c r="G588" t="inlineStr">
        <is>
          <t>NYKÖPING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61618-2022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44916</v>
      </c>
      <c r="E589" s="1" t="n">
        <v>46315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15397-2023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45019</v>
      </c>
      <c r="E590" s="1" t="n">
        <v>46315</v>
      </c>
      <c r="F590" t="inlineStr">
        <is>
          <t>SÖDERMANLANDS LÄN</t>
        </is>
      </c>
      <c r="G590" t="inlineStr">
        <is>
          <t>NYKÖPING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45425</v>
      </c>
      <c r="E591" s="1" t="n">
        <v>46315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Kommuner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44812</v>
      </c>
      <c r="E592" s="1" t="n">
        <v>46315</v>
      </c>
      <c r="F592" t="inlineStr">
        <is>
          <t>SÖDERMANLANDS LÄN</t>
        </is>
      </c>
      <c r="G592" t="inlineStr">
        <is>
          <t>NYKÖPING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44960</v>
      </c>
      <c r="E593" s="1" t="n">
        <v>46315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44938</v>
      </c>
      <c r="E594" s="1" t="n">
        <v>46315</v>
      </c>
      <c r="F594" t="inlineStr">
        <is>
          <t>SÖDERMANLANDS LÄN</t>
        </is>
      </c>
      <c r="G594" t="inlineStr">
        <is>
          <t>NYKÖPING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23114-2023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45075</v>
      </c>
      <c r="E595" s="1" t="n">
        <v>46315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Sveaskog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72985-2021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44549</v>
      </c>
      <c r="E596" s="1" t="n">
        <v>46315</v>
      </c>
      <c r="F596" t="inlineStr">
        <is>
          <t>SÖDERMANLANDS LÄN</t>
        </is>
      </c>
      <c r="G596" t="inlineStr">
        <is>
          <t>NYKÖPING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8407-2023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44977</v>
      </c>
      <c r="E597" s="1" t="n">
        <v>46315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Övriga Aktiebolag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51530-2022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44869</v>
      </c>
      <c r="E598" s="1" t="n">
        <v>46315</v>
      </c>
      <c r="F598" t="inlineStr">
        <is>
          <t>SÖDERMANLANDS LÄN</t>
        </is>
      </c>
      <c r="G598" t="inlineStr">
        <is>
          <t>NYKÖPING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39310-2023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46315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4854-2023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46315</v>
      </c>
      <c r="F600" t="inlineStr">
        <is>
          <t>SÖDERMANLANDS LÄN</t>
        </is>
      </c>
      <c r="G600" t="inlineStr">
        <is>
          <t>NYKÖPING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21257-2023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45062</v>
      </c>
      <c r="E601" s="1" t="n">
        <v>46315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30695-2026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46211</v>
      </c>
      <c r="E602" s="1" t="n">
        <v>46315</v>
      </c>
      <c r="F602" t="inlineStr">
        <is>
          <t>SÖDERMANLANDS LÄN</t>
        </is>
      </c>
      <c r="G602" t="inlineStr">
        <is>
          <t>NYKÖPING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45370</v>
      </c>
      <c r="E603" s="1" t="n">
        <v>46315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Kommuner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51556-2024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45604</v>
      </c>
      <c r="E604" s="1" t="n">
        <v>46315</v>
      </c>
      <c r="F604" t="inlineStr">
        <is>
          <t>SÖDERMANLANDS LÄN</t>
        </is>
      </c>
      <c r="G604" t="inlineStr">
        <is>
          <t>NYKÖPING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30720-2026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46211</v>
      </c>
      <c r="E605" s="1" t="n">
        <v>46315</v>
      </c>
      <c r="F605" t="inlineStr">
        <is>
          <t>SÖDERMANLANDS LÄN</t>
        </is>
      </c>
      <c r="G605" t="inlineStr">
        <is>
          <t>NYKÖPING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3216-2023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44946</v>
      </c>
      <c r="E606" s="1" t="n">
        <v>46315</v>
      </c>
      <c r="F606" t="inlineStr">
        <is>
          <t>SÖDERMANLANDS LÄN</t>
        </is>
      </c>
      <c r="G606" t="inlineStr">
        <is>
          <t>NYKÖPING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18510-2024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45424</v>
      </c>
      <c r="E607" s="1" t="n">
        <v>46315</v>
      </c>
      <c r="F607" t="inlineStr">
        <is>
          <t>SÖDERMANLANDS LÄN</t>
        </is>
      </c>
      <c r="G607" t="inlineStr">
        <is>
          <t>NYKÖPING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44959</v>
      </c>
      <c r="E608" s="1" t="n">
        <v>46315</v>
      </c>
      <c r="F608" t="inlineStr">
        <is>
          <t>SÖDERMANLANDS LÄN</t>
        </is>
      </c>
      <c r="G608" t="inlineStr">
        <is>
          <t>NYKÖPING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49942-2022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44865</v>
      </c>
      <c r="E609" s="1" t="n">
        <v>46315</v>
      </c>
      <c r="F609" t="inlineStr">
        <is>
          <t>SÖDERMANLANDS LÄN</t>
        </is>
      </c>
      <c r="G609" t="inlineStr">
        <is>
          <t>NYKÖPING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51880-2023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45216</v>
      </c>
      <c r="E610" s="1" t="n">
        <v>46315</v>
      </c>
      <c r="F610" t="inlineStr">
        <is>
          <t>SÖDERMANLANDS LÄN</t>
        </is>
      </c>
      <c r="G610" t="inlineStr">
        <is>
          <t>NYKÖPING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46222</v>
      </c>
      <c r="E611" s="1" t="n">
        <v>46315</v>
      </c>
      <c r="F611" t="inlineStr">
        <is>
          <t>SÖDERMANLANDS LÄN</t>
        </is>
      </c>
      <c r="G611" t="inlineStr">
        <is>
          <t>NYKÖPING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72666-2021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44546</v>
      </c>
      <c r="E612" s="1" t="n">
        <v>46315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44968</v>
      </c>
      <c r="E613" s="1" t="n">
        <v>46315</v>
      </c>
      <c r="F613" t="inlineStr">
        <is>
          <t>SÖDERMANLANDS LÄN</t>
        </is>
      </c>
      <c r="G613" t="inlineStr">
        <is>
          <t>NYKÖPING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5485-2023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44960</v>
      </c>
      <c r="E614" s="1" t="n">
        <v>46315</v>
      </c>
      <c r="F614" t="inlineStr">
        <is>
          <t>SÖDERMANLANDS LÄN</t>
        </is>
      </c>
      <c r="G614" t="inlineStr">
        <is>
          <t>NYKÖPING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46315</v>
      </c>
      <c r="F615" t="inlineStr">
        <is>
          <t>SÖDERMANLANDS LÄN</t>
        </is>
      </c>
      <c r="G615" t="inlineStr">
        <is>
          <t>NYKÖPING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45166</v>
      </c>
      <c r="E616" s="1" t="n">
        <v>46315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27563-2024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45474</v>
      </c>
      <c r="E617" s="1" t="n">
        <v>46315</v>
      </c>
      <c r="F617" t="inlineStr">
        <is>
          <t>SÖDERMANLANDS LÄN</t>
        </is>
      </c>
      <c r="G617" t="inlineStr">
        <is>
          <t>NYKÖPING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72117-2021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44543</v>
      </c>
      <c r="E618" s="1" t="n">
        <v>46315</v>
      </c>
      <c r="F618" t="inlineStr">
        <is>
          <t>SÖDERMANLANDS LÄN</t>
        </is>
      </c>
      <c r="G618" t="inlineStr">
        <is>
          <t>NYKÖPING</t>
        </is>
      </c>
      <c r="I618" t="n">
        <v>14.9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46228</v>
      </c>
      <c r="E619" s="1" t="n">
        <v>46315</v>
      </c>
      <c r="F619" t="inlineStr">
        <is>
          <t>SÖDERMANLANDS LÄN</t>
        </is>
      </c>
      <c r="G619" t="inlineStr">
        <is>
          <t>NYKÖPING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50776-2022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44867</v>
      </c>
      <c r="E620" s="1" t="n">
        <v>46315</v>
      </c>
      <c r="F620" t="inlineStr">
        <is>
          <t>SÖDERMANLANDS LÄN</t>
        </is>
      </c>
      <c r="G620" t="inlineStr">
        <is>
          <t>NYKÖPING</t>
        </is>
      </c>
      <c r="I620" t="n">
        <v>13.4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9469-2022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44616</v>
      </c>
      <c r="E621" s="1" t="n">
        <v>46315</v>
      </c>
      <c r="F621" t="inlineStr">
        <is>
          <t>SÖDERMANLANDS LÄN</t>
        </is>
      </c>
      <c r="G621" t="inlineStr">
        <is>
          <t>NYKÖPING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46315</v>
      </c>
      <c r="F622" t="inlineStr">
        <is>
          <t>SÖDERMANLANDS LÄN</t>
        </is>
      </c>
      <c r="G622" t="inlineStr">
        <is>
          <t>NYKÖPING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28973-2023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45096</v>
      </c>
      <c r="E623" s="1" t="n">
        <v>46315</v>
      </c>
      <c r="F623" t="inlineStr">
        <is>
          <t>SÖDERMANLANDS LÄN</t>
        </is>
      </c>
      <c r="G623" t="inlineStr">
        <is>
          <t>NYKÖPING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46315</v>
      </c>
      <c r="F624" t="inlineStr">
        <is>
          <t>SÖDERMANLANDS LÄN</t>
        </is>
      </c>
      <c r="G624" t="inlineStr">
        <is>
          <t>NYKÖPING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27944-2023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46315</v>
      </c>
      <c r="F625" t="inlineStr">
        <is>
          <t>SÖDERMANLANDS LÄN</t>
        </is>
      </c>
      <c r="G625" t="inlineStr">
        <is>
          <t>NYKÖPING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16457-2023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45029</v>
      </c>
      <c r="E626" s="1" t="n">
        <v>46315</v>
      </c>
      <c r="F626" t="inlineStr">
        <is>
          <t>SÖDERMANLANDS LÄN</t>
        </is>
      </c>
      <c r="G626" t="inlineStr">
        <is>
          <t>NYKÖPING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67736-2021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44525</v>
      </c>
      <c r="E627" s="1" t="n">
        <v>46315</v>
      </c>
      <c r="F627" t="inlineStr">
        <is>
          <t>SÖDERMANLANDS LÄN</t>
        </is>
      </c>
      <c r="G627" t="inlineStr">
        <is>
          <t>NYKÖPING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51410-2022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44869</v>
      </c>
      <c r="E628" s="1" t="n">
        <v>46315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17372-2023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45034</v>
      </c>
      <c r="E629" s="1" t="n">
        <v>46315</v>
      </c>
      <c r="F629" t="inlineStr">
        <is>
          <t>SÖDERMANLANDS LÄN</t>
        </is>
      </c>
      <c r="G629" t="inlineStr">
        <is>
          <t>NYKÖPING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8340-2023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44976</v>
      </c>
      <c r="E630" s="1" t="n">
        <v>46315</v>
      </c>
      <c r="F630" t="inlineStr">
        <is>
          <t>SÖDERMANLANDS LÄN</t>
        </is>
      </c>
      <c r="G630" t="inlineStr">
        <is>
          <t>NYKÖPING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6125-2023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44964</v>
      </c>
      <c r="E631" s="1" t="n">
        <v>46315</v>
      </c>
      <c r="F631" t="inlineStr">
        <is>
          <t>SÖDERMANLANDS LÄN</t>
        </is>
      </c>
      <c r="G631" t="inlineStr">
        <is>
          <t>NYKÖPING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64159-2021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44510</v>
      </c>
      <c r="E632" s="1" t="n">
        <v>46315</v>
      </c>
      <c r="F632" t="inlineStr">
        <is>
          <t>SÖDERMANLANDS LÄN</t>
        </is>
      </c>
      <c r="G632" t="inlineStr">
        <is>
          <t>NYKÖPING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38054-2023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45160</v>
      </c>
      <c r="E633" s="1" t="n">
        <v>46315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Kommuner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38063-2023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45160</v>
      </c>
      <c r="E634" s="1" t="n">
        <v>46315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Kommuner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43657-2022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44837</v>
      </c>
      <c r="E635" s="1" t="n">
        <v>46315</v>
      </c>
      <c r="F635" t="inlineStr">
        <is>
          <t>SÖDERMANLANDS LÄN</t>
        </is>
      </c>
      <c r="G635" t="inlineStr">
        <is>
          <t>NYKÖPING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42368-2024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45564</v>
      </c>
      <c r="E636" s="1" t="n">
        <v>46315</v>
      </c>
      <c r="F636" t="inlineStr">
        <is>
          <t>SÖDERMANLANDS LÄN</t>
        </is>
      </c>
      <c r="G636" t="inlineStr">
        <is>
          <t>NYKÖPING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32295-2026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46315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45729</v>
      </c>
      <c r="E638" s="1" t="n">
        <v>46315</v>
      </c>
      <c r="F638" t="inlineStr">
        <is>
          <t>SÖDERMANLANDS LÄN</t>
        </is>
      </c>
      <c r="G638" t="inlineStr">
        <is>
          <t>NYKÖPING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44938</v>
      </c>
      <c r="E639" s="1" t="n">
        <v>46315</v>
      </c>
      <c r="F639" t="inlineStr">
        <is>
          <t>SÖDERMANLANDS LÄN</t>
        </is>
      </c>
      <c r="G639" t="inlineStr">
        <is>
          <t>NYKÖPING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8573-2023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44977</v>
      </c>
      <c r="E640" s="1" t="n">
        <v>46315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Övriga Aktiebolag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64099-2021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44509</v>
      </c>
      <c r="E641" s="1" t="n">
        <v>46315</v>
      </c>
      <c r="F641" t="inlineStr">
        <is>
          <t>SÖDERMANLANDS LÄN</t>
        </is>
      </c>
      <c r="G641" t="inlineStr">
        <is>
          <t>NYKÖPING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57836-2023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45247</v>
      </c>
      <c r="E642" s="1" t="n">
        <v>46315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Övriga Aktiebolag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20985-2023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45061</v>
      </c>
      <c r="E643" s="1" t="n">
        <v>46315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46280</v>
      </c>
      <c r="E644" s="1" t="n">
        <v>46315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46234</v>
      </c>
      <c r="E645" s="1" t="n">
        <v>46315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44579</v>
      </c>
      <c r="E646" s="1" t="n">
        <v>46315</v>
      </c>
      <c r="F646" t="inlineStr">
        <is>
          <t>SÖDERMANLANDS LÄN</t>
        </is>
      </c>
      <c r="G646" t="inlineStr">
        <is>
          <t>NYKÖPING</t>
        </is>
      </c>
      <c r="I646" t="n">
        <v>10.8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44579</v>
      </c>
      <c r="E647" s="1" t="n">
        <v>46315</v>
      </c>
      <c r="F647" t="inlineStr">
        <is>
          <t>SÖDERMANLANDS LÄN</t>
        </is>
      </c>
      <c r="G647" t="inlineStr">
        <is>
          <t>NYKÖPING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10981-2024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45370</v>
      </c>
      <c r="E648" s="1" t="n">
        <v>46315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44579</v>
      </c>
      <c r="E649" s="1" t="n">
        <v>46315</v>
      </c>
      <c r="F649" t="inlineStr">
        <is>
          <t>SÖDERMANLANDS LÄN</t>
        </is>
      </c>
      <c r="G649" t="inlineStr">
        <is>
          <t>NYKÖPING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45163</v>
      </c>
      <c r="E650" s="1" t="n">
        <v>46315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44578</v>
      </c>
      <c r="E651" s="1" t="n">
        <v>46315</v>
      </c>
      <c r="F651" t="inlineStr">
        <is>
          <t>SÖDERMANLANDS LÄN</t>
        </is>
      </c>
      <c r="G651" t="inlineStr">
        <is>
          <t>NYKÖPING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33653-2024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45520</v>
      </c>
      <c r="E652" s="1" t="n">
        <v>46315</v>
      </c>
      <c r="F652" t="inlineStr">
        <is>
          <t>SÖDERMANLANDS LÄN</t>
        </is>
      </c>
      <c r="G652" t="inlineStr">
        <is>
          <t>NYKÖPING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21249-2023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45062</v>
      </c>
      <c r="E653" s="1" t="n">
        <v>46315</v>
      </c>
      <c r="F653" t="inlineStr">
        <is>
          <t>SÖDERMANLANDS LÄN</t>
        </is>
      </c>
      <c r="G653" t="inlineStr">
        <is>
          <t>NYKÖPING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44844</v>
      </c>
      <c r="E654" s="1" t="n">
        <v>46315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35020-2023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45143</v>
      </c>
      <c r="E655" s="1" t="n">
        <v>46315</v>
      </c>
      <c r="F655" t="inlineStr">
        <is>
          <t>SÖDERMANLANDS LÄN</t>
        </is>
      </c>
      <c r="G655" t="inlineStr">
        <is>
          <t>NYKÖPING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46315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24285-2022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44725</v>
      </c>
      <c r="E657" s="1" t="n">
        <v>46315</v>
      </c>
      <c r="F657" t="inlineStr">
        <is>
          <t>SÖDERMANLANDS LÄN</t>
        </is>
      </c>
      <c r="G657" t="inlineStr">
        <is>
          <t>NYKÖPING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32584-2026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46240</v>
      </c>
      <c r="E658" s="1" t="n">
        <v>46315</v>
      </c>
      <c r="F658" t="inlineStr">
        <is>
          <t>SÖDERMANLANDS LÄN</t>
        </is>
      </c>
      <c r="G658" t="inlineStr">
        <is>
          <t>NYKÖPING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14848-2024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45398</v>
      </c>
      <c r="E659" s="1" t="n">
        <v>46315</v>
      </c>
      <c r="F659" t="inlineStr">
        <is>
          <t>SÖDERMANLANDS LÄN</t>
        </is>
      </c>
      <c r="G659" t="inlineStr">
        <is>
          <t>NYKÖPING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45667</v>
      </c>
      <c r="E660" s="1" t="n">
        <v>46315</v>
      </c>
      <c r="F660" t="inlineStr">
        <is>
          <t>SÖDERMANLANDS LÄN</t>
        </is>
      </c>
      <c r="G660" t="inlineStr">
        <is>
          <t>NYKÖPING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16881-2024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45410</v>
      </c>
      <c r="E661" s="1" t="n">
        <v>46315</v>
      </c>
      <c r="F661" t="inlineStr">
        <is>
          <t>SÖDERMANLANDS LÄN</t>
        </is>
      </c>
      <c r="G661" t="inlineStr">
        <is>
          <t>NYKÖPING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38589-2026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46283</v>
      </c>
      <c r="E662" s="1" t="n">
        <v>46315</v>
      </c>
      <c r="F662" t="inlineStr">
        <is>
          <t>SÖDERMANLANDS LÄN</t>
        </is>
      </c>
      <c r="G662" t="inlineStr">
        <is>
          <t>NYKÖPING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38593-2026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46283</v>
      </c>
      <c r="E663" s="1" t="n">
        <v>46315</v>
      </c>
      <c r="F663" t="inlineStr">
        <is>
          <t>SÖDERMANLANDS LÄN</t>
        </is>
      </c>
      <c r="G663" t="inlineStr">
        <is>
          <t>NYKÖPING</t>
        </is>
      </c>
      <c r="I663" t="n">
        <v>13.9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57621-2024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45630</v>
      </c>
      <c r="E664" s="1" t="n">
        <v>46315</v>
      </c>
      <c r="F664" t="inlineStr">
        <is>
          <t>SÖDERMANLANDS LÄN</t>
        </is>
      </c>
      <c r="G664" t="inlineStr">
        <is>
          <t>NYKÖPING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46315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31401-2022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44774</v>
      </c>
      <c r="E666" s="1" t="n">
        <v>46315</v>
      </c>
      <c r="F666" t="inlineStr">
        <is>
          <t>SÖDERMANLANDS LÄN</t>
        </is>
      </c>
      <c r="G666" t="inlineStr">
        <is>
          <t>NYKÖPING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39040-2026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46287</v>
      </c>
      <c r="E667" s="1" t="n">
        <v>46315</v>
      </c>
      <c r="F667" t="inlineStr">
        <is>
          <t>SÖDERMANLANDS LÄN</t>
        </is>
      </c>
      <c r="G667" t="inlineStr">
        <is>
          <t>NYKÖPING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46245</v>
      </c>
      <c r="E668" s="1" t="n">
        <v>46315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46315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Sveaskog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7036-2023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44968</v>
      </c>
      <c r="E670" s="1" t="n">
        <v>46315</v>
      </c>
      <c r="F670" t="inlineStr">
        <is>
          <t>SÖDERMANLANDS LÄN</t>
        </is>
      </c>
      <c r="G670" t="inlineStr">
        <is>
          <t>NYKÖPING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18604-2023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45043</v>
      </c>
      <c r="E671" s="1" t="n">
        <v>46315</v>
      </c>
      <c r="F671" t="inlineStr">
        <is>
          <t>SÖDERMANLANDS LÄN</t>
        </is>
      </c>
      <c r="G671" t="inlineStr">
        <is>
          <t>NYKÖPING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53800-2022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44880</v>
      </c>
      <c r="E672" s="1" t="n">
        <v>46315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Övriga Aktiebolag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10211-2024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45364</v>
      </c>
      <c r="E673" s="1" t="n">
        <v>46315</v>
      </c>
      <c r="F673" t="inlineStr">
        <is>
          <t>SÖDERMANLANDS LÄN</t>
        </is>
      </c>
      <c r="G673" t="inlineStr">
        <is>
          <t>NYKÖPING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54183-2022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44881</v>
      </c>
      <c r="E674" s="1" t="n">
        <v>46315</v>
      </c>
      <c r="F674" t="inlineStr">
        <is>
          <t>SÖDERMANLANDS LÄN</t>
        </is>
      </c>
      <c r="G674" t="inlineStr">
        <is>
          <t>NYKÖPING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45762</v>
      </c>
      <c r="E675" s="1" t="n">
        <v>46315</v>
      </c>
      <c r="F675" t="inlineStr">
        <is>
          <t>SÖDERMANLANDS LÄN</t>
        </is>
      </c>
      <c r="G675" t="inlineStr">
        <is>
          <t>NYKÖPING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45148</v>
      </c>
      <c r="E676" s="1" t="n">
        <v>46315</v>
      </c>
      <c r="F676" t="inlineStr">
        <is>
          <t>SÖDERMANLANDS LÄN</t>
        </is>
      </c>
      <c r="G676" t="inlineStr">
        <is>
          <t>NYKÖPING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33095-2026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46245</v>
      </c>
      <c r="E677" s="1" t="n">
        <v>46315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32875-2022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44784</v>
      </c>
      <c r="E678" s="1" t="n">
        <v>46315</v>
      </c>
      <c r="F678" t="inlineStr">
        <is>
          <t>SÖDERMANLANDS LÄN</t>
        </is>
      </c>
      <c r="G678" t="inlineStr">
        <is>
          <t>NYKÖPING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33088-2026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46245</v>
      </c>
      <c r="E679" s="1" t="n">
        <v>46315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46030</v>
      </c>
      <c r="E680" s="1" t="n">
        <v>46315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46247</v>
      </c>
      <c r="E681" s="1" t="n">
        <v>46315</v>
      </c>
      <c r="F681" t="inlineStr">
        <is>
          <t>SÖDERMANLANDS LÄN</t>
        </is>
      </c>
      <c r="G681" t="inlineStr">
        <is>
          <t>NYKÖPING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45062</v>
      </c>
      <c r="E682" s="1" t="n">
        <v>46315</v>
      </c>
      <c r="F682" t="inlineStr">
        <is>
          <t>SÖDERMANLANDS LÄN</t>
        </is>
      </c>
      <c r="G682" t="inlineStr">
        <is>
          <t>NYKÖPING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10639-2025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46315</v>
      </c>
      <c r="F683" t="inlineStr">
        <is>
          <t>SÖDERMANLANDS LÄN</t>
        </is>
      </c>
      <c r="G683" t="inlineStr">
        <is>
          <t>NYKÖPING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926-2023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44932</v>
      </c>
      <c r="E684" s="1" t="n">
        <v>46315</v>
      </c>
      <c r="F684" t="inlineStr">
        <is>
          <t>SÖDERMANLANDS LÄN</t>
        </is>
      </c>
      <c r="G684" t="inlineStr">
        <is>
          <t>NYKÖPING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44932</v>
      </c>
      <c r="E685" s="1" t="n">
        <v>46315</v>
      </c>
      <c r="F685" t="inlineStr">
        <is>
          <t>SÖDERMANLANDS LÄN</t>
        </is>
      </c>
      <c r="G685" t="inlineStr">
        <is>
          <t>NYKÖPING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44942</v>
      </c>
      <c r="E686" s="1" t="n">
        <v>46315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39776-2026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46290</v>
      </c>
      <c r="E687" s="1" t="n">
        <v>46315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41288-2023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45174</v>
      </c>
      <c r="E688" s="1" t="n">
        <v>46315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31392-2022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44774</v>
      </c>
      <c r="E689" s="1" t="n">
        <v>46315</v>
      </c>
      <c r="F689" t="inlineStr">
        <is>
          <t>SÖDERMANLANDS LÄN</t>
        </is>
      </c>
      <c r="G689" t="inlineStr">
        <is>
          <t>NYKÖPING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42251-2022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44830</v>
      </c>
      <c r="E690" s="1" t="n">
        <v>46315</v>
      </c>
      <c r="F690" t="inlineStr">
        <is>
          <t>SÖDERMANLANDS LÄN</t>
        </is>
      </c>
      <c r="G690" t="inlineStr">
        <is>
          <t>NYKÖPING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46315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6348-2023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44965</v>
      </c>
      <c r="E692" s="1" t="n">
        <v>46315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Kyrkan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37361-2024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45540</v>
      </c>
      <c r="E693" s="1" t="n">
        <v>46315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40160-2026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46293</v>
      </c>
      <c r="E694" s="1" t="n">
        <v>46315</v>
      </c>
      <c r="F694" t="inlineStr">
        <is>
          <t>SÖDERMANLANDS LÄN</t>
        </is>
      </c>
      <c r="G694" t="inlineStr">
        <is>
          <t>NYKÖPING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46293</v>
      </c>
      <c r="E695" s="1" t="n">
        <v>46315</v>
      </c>
      <c r="F695" t="inlineStr">
        <is>
          <t>SÖDERMANLANDS LÄN</t>
        </is>
      </c>
      <c r="G695" t="inlineStr">
        <is>
          <t>NYKÖPING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45729</v>
      </c>
      <c r="E696" s="1" t="n">
        <v>46315</v>
      </c>
      <c r="F696" t="inlineStr">
        <is>
          <t>SÖDERMANLANDS LÄN</t>
        </is>
      </c>
      <c r="G696" t="inlineStr">
        <is>
          <t>NYKÖPING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12140-2025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45729</v>
      </c>
      <c r="E697" s="1" t="n">
        <v>46315</v>
      </c>
      <c r="F697" t="inlineStr">
        <is>
          <t>SÖDERMANLANDS LÄN</t>
        </is>
      </c>
      <c r="G697" t="inlineStr">
        <is>
          <t>NYKÖPING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50688-2025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45945</v>
      </c>
      <c r="E698" s="1" t="n">
        <v>46315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62432-2023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45268</v>
      </c>
      <c r="E699" s="1" t="n">
        <v>46315</v>
      </c>
      <c r="F699" t="inlineStr">
        <is>
          <t>SÖDERMANLANDS LÄN</t>
        </is>
      </c>
      <c r="G699" t="inlineStr">
        <is>
          <t>NYKÖPING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40133-2026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46293</v>
      </c>
      <c r="E700" s="1" t="n">
        <v>46315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Kyrkan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65174-2023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45288</v>
      </c>
      <c r="E701" s="1" t="n">
        <v>46315</v>
      </c>
      <c r="F701" t="inlineStr">
        <is>
          <t>SÖDERMANLANDS LÄN</t>
        </is>
      </c>
      <c r="G701" t="inlineStr">
        <is>
          <t>NYKÖPING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40126-2026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46293</v>
      </c>
      <c r="E702" s="1" t="n">
        <v>46315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Kyrkan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68500-2021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44529</v>
      </c>
      <c r="E703" s="1" t="n">
        <v>46315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Övriga Aktiebolag</t>
        </is>
      </c>
      <c r="I703" t="n">
        <v>13.1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12826-2024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45384</v>
      </c>
      <c r="E704" s="1" t="n">
        <v>46315</v>
      </c>
      <c r="F704" t="inlineStr">
        <is>
          <t>SÖDERMANLANDS LÄN</t>
        </is>
      </c>
      <c r="G704" t="inlineStr">
        <is>
          <t>NYKÖPING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29551-2023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45106</v>
      </c>
      <c r="E705" s="1" t="n">
        <v>46315</v>
      </c>
      <c r="F705" t="inlineStr">
        <is>
          <t>SÖDERMANLANDS LÄN</t>
        </is>
      </c>
      <c r="G705" t="inlineStr">
        <is>
          <t>NYKÖPING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1558-2024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45306</v>
      </c>
      <c r="E706" s="1" t="n">
        <v>46315</v>
      </c>
      <c r="F706" t="inlineStr">
        <is>
          <t>SÖDERMANLANDS LÄN</t>
        </is>
      </c>
      <c r="G706" t="inlineStr">
        <is>
          <t>NYKÖPING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51259-2024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46315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Sveaskog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21984-2024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45443</v>
      </c>
      <c r="E708" s="1" t="n">
        <v>46315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18525-2024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45424</v>
      </c>
      <c r="E709" s="1" t="n">
        <v>46315</v>
      </c>
      <c r="F709" t="inlineStr">
        <is>
          <t>SÖDERMANLANDS LÄN</t>
        </is>
      </c>
      <c r="G709" t="inlineStr">
        <is>
          <t>NYKÖPING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44950</v>
      </c>
      <c r="E710" s="1" t="n">
        <v>46315</v>
      </c>
      <c r="F710" t="inlineStr">
        <is>
          <t>SÖDERMANLANDS LÄN</t>
        </is>
      </c>
      <c r="G710" t="inlineStr">
        <is>
          <t>NYKÖPING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34049-2026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46252</v>
      </c>
      <c r="E711" s="1" t="n">
        <v>46315</v>
      </c>
      <c r="F711" t="inlineStr">
        <is>
          <t>SÖDERMANLANDS LÄN</t>
        </is>
      </c>
      <c r="G711" t="inlineStr">
        <is>
          <t>NYKÖPING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8324-2024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45350</v>
      </c>
      <c r="E712" s="1" t="n">
        <v>46315</v>
      </c>
      <c r="F712" t="inlineStr">
        <is>
          <t>SÖDERMANLANDS LÄN</t>
        </is>
      </c>
      <c r="G712" t="inlineStr">
        <is>
          <t>NYKÖPING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45315</v>
      </c>
      <c r="E713" s="1" t="n">
        <v>46315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Kyrkan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34161-2026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46253</v>
      </c>
      <c r="E714" s="1" t="n">
        <v>46315</v>
      </c>
      <c r="F714" t="inlineStr">
        <is>
          <t>SÖDERMANLANDS LÄN</t>
        </is>
      </c>
      <c r="G714" t="inlineStr">
        <is>
          <t>NYKÖPING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44824-2023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45190</v>
      </c>
      <c r="E715" s="1" t="n">
        <v>46315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44968</v>
      </c>
      <c r="E716" s="1" t="n">
        <v>46315</v>
      </c>
      <c r="F716" t="inlineStr">
        <is>
          <t>SÖDERMANLANDS LÄN</t>
        </is>
      </c>
      <c r="G716" t="inlineStr">
        <is>
          <t>NYKÖPING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20482-2025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46315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Kommuner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34169-2026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46253</v>
      </c>
      <c r="E718" s="1" t="n">
        <v>46315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Kyrkan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58553-2024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45635</v>
      </c>
      <c r="E719" s="1" t="n">
        <v>46315</v>
      </c>
      <c r="F719" t="inlineStr">
        <is>
          <t>SÖDERMANLANDS LÄN</t>
        </is>
      </c>
      <c r="G719" t="inlineStr">
        <is>
          <t>NYKÖPING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14384-2026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46100</v>
      </c>
      <c r="E720" s="1" t="n">
        <v>46315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34203-2024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45524</v>
      </c>
      <c r="E721" s="1" t="n">
        <v>46315</v>
      </c>
      <c r="F721" t="inlineStr">
        <is>
          <t>SÖDERMANLANDS LÄN</t>
        </is>
      </c>
      <c r="G721" t="inlineStr">
        <is>
          <t>NYKÖPING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59148-2024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45637</v>
      </c>
      <c r="E722" s="1" t="n">
        <v>46315</v>
      </c>
      <c r="F722" t="inlineStr">
        <is>
          <t>SÖDERMANLANDS LÄN</t>
        </is>
      </c>
      <c r="G722" t="inlineStr">
        <is>
          <t>NYKÖPING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53071-2024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45611</v>
      </c>
      <c r="E723" s="1" t="n">
        <v>46315</v>
      </c>
      <c r="F723" t="inlineStr">
        <is>
          <t>SÖDERMANLANDS LÄN</t>
        </is>
      </c>
      <c r="G723" t="inlineStr">
        <is>
          <t>NYKÖPING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55865-2023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45239</v>
      </c>
      <c r="E724" s="1" t="n">
        <v>46315</v>
      </c>
      <c r="F724" t="inlineStr">
        <is>
          <t>SÖDERMANLANDS LÄN</t>
        </is>
      </c>
      <c r="G724" t="inlineStr">
        <is>
          <t>NYKÖPING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45672</v>
      </c>
      <c r="E725" s="1" t="n">
        <v>46315</v>
      </c>
      <c r="F725" t="inlineStr">
        <is>
          <t>SÖDERMANLANDS LÄN</t>
        </is>
      </c>
      <c r="G725" t="inlineStr">
        <is>
          <t>NYKÖPING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42387-2026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46307</v>
      </c>
      <c r="E726" s="1" t="n">
        <v>46315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12844-2025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45733</v>
      </c>
      <c r="E727" s="1" t="n">
        <v>46315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62323-2025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46003</v>
      </c>
      <c r="E728" s="1" t="n">
        <v>46315</v>
      </c>
      <c r="F728" t="inlineStr">
        <is>
          <t>SÖDERMANLANDS LÄN</t>
        </is>
      </c>
      <c r="G728" t="inlineStr">
        <is>
          <t>NYKÖPING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27947-2025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45817</v>
      </c>
      <c r="E729" s="1" t="n">
        <v>46315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42323-2026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46307</v>
      </c>
      <c r="E730" s="1" t="n">
        <v>46315</v>
      </c>
      <c r="F730" t="inlineStr">
        <is>
          <t>SÖDERMANLANDS LÄN</t>
        </is>
      </c>
      <c r="G730" t="inlineStr">
        <is>
          <t>NYKÖPING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27874-2025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45817</v>
      </c>
      <c r="E731" s="1" t="n">
        <v>46315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42391-2026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46307</v>
      </c>
      <c r="E732" s="1" t="n">
        <v>46315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45817</v>
      </c>
      <c r="E733" s="1" t="n">
        <v>46315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28646-2025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45819</v>
      </c>
      <c r="E734" s="1" t="n">
        <v>46315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Sveaskog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15056-2025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45743</v>
      </c>
      <c r="E735" s="1" t="n">
        <v>46315</v>
      </c>
      <c r="F735" t="inlineStr">
        <is>
          <t>SÖDERMANLANDS LÄN</t>
        </is>
      </c>
      <c r="G735" t="inlineStr">
        <is>
          <t>NYKÖPING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31034-2025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45831</v>
      </c>
      <c r="E736" s="1" t="n">
        <v>46315</v>
      </c>
      <c r="F736" t="inlineStr">
        <is>
          <t>SÖDERMANLANDS LÄN</t>
        </is>
      </c>
      <c r="G736" t="inlineStr">
        <is>
          <t>NYKÖPING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45831</v>
      </c>
      <c r="E737" s="1" t="n">
        <v>46315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Sveaskog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31923-2025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45834</v>
      </c>
      <c r="E738" s="1" t="n">
        <v>46315</v>
      </c>
      <c r="F738" t="inlineStr">
        <is>
          <t>SÖDERMANLANDS LÄN</t>
        </is>
      </c>
      <c r="G738" t="inlineStr">
        <is>
          <t>NYKÖPING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31929-2025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45834</v>
      </c>
      <c r="E739" s="1" t="n">
        <v>46315</v>
      </c>
      <c r="F739" t="inlineStr">
        <is>
          <t>SÖDERMANLANDS LÄN</t>
        </is>
      </c>
      <c r="G739" t="inlineStr">
        <is>
          <t>NYKÖPING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31922-2025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45834</v>
      </c>
      <c r="E740" s="1" t="n">
        <v>46315</v>
      </c>
      <c r="F740" t="inlineStr">
        <is>
          <t>SÖDERMANLANDS LÄN</t>
        </is>
      </c>
      <c r="G740" t="inlineStr">
        <is>
          <t>NYKÖPING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45834</v>
      </c>
      <c r="E741" s="1" t="n">
        <v>46315</v>
      </c>
      <c r="F741" t="inlineStr">
        <is>
          <t>SÖDERMANLANDS LÄN</t>
        </is>
      </c>
      <c r="G741" t="inlineStr">
        <is>
          <t>NYKÖPING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58685-2025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45986</v>
      </c>
      <c r="E742" s="1" t="n">
        <v>46315</v>
      </c>
      <c r="F742" t="inlineStr">
        <is>
          <t>SÖDERMANLANDS LÄN</t>
        </is>
      </c>
      <c r="G742" t="inlineStr">
        <is>
          <t>NYKÖPING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33767-2025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45842</v>
      </c>
      <c r="E743" s="1" t="n">
        <v>46315</v>
      </c>
      <c r="F743" t="inlineStr">
        <is>
          <t>SÖDERMANLANDS LÄN</t>
        </is>
      </c>
      <c r="G743" t="inlineStr">
        <is>
          <t>NYKÖPING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33773-2025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45842</v>
      </c>
      <c r="E744" s="1" t="n">
        <v>46315</v>
      </c>
      <c r="F744" t="inlineStr">
        <is>
          <t>SÖDERMANLANDS LÄN</t>
        </is>
      </c>
      <c r="G744" t="inlineStr">
        <is>
          <t>NYKÖPING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33382-2025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45841</v>
      </c>
      <c r="E745" s="1" t="n">
        <v>46315</v>
      </c>
      <c r="F745" t="inlineStr">
        <is>
          <t>SÖDERMANLANDS LÄN</t>
        </is>
      </c>
      <c r="G745" t="inlineStr">
        <is>
          <t>NYKÖPING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33762-2025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45842</v>
      </c>
      <c r="E746" s="1" t="n">
        <v>46315</v>
      </c>
      <c r="F746" t="inlineStr">
        <is>
          <t>SÖDERMANLANDS LÄN</t>
        </is>
      </c>
      <c r="G746" t="inlineStr">
        <is>
          <t>NYKÖPING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45842</v>
      </c>
      <c r="E747" s="1" t="n">
        <v>46315</v>
      </c>
      <c r="F747" t="inlineStr">
        <is>
          <t>SÖDERMANLANDS LÄN</t>
        </is>
      </c>
      <c r="G747" t="inlineStr">
        <is>
          <t>NYKÖPING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45844</v>
      </c>
      <c r="E748" s="1" t="n">
        <v>46315</v>
      </c>
      <c r="F748" t="inlineStr">
        <is>
          <t>SÖDERMANLANDS LÄN</t>
        </is>
      </c>
      <c r="G748" t="inlineStr">
        <is>
          <t>NYKÖPING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13763-2025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45737</v>
      </c>
      <c r="E749" s="1" t="n">
        <v>46315</v>
      </c>
      <c r="F749" t="inlineStr">
        <is>
          <t>SÖDERMANLANDS LÄN</t>
        </is>
      </c>
      <c r="G749" t="inlineStr">
        <is>
          <t>NYKÖPING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35732-2025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45860</v>
      </c>
      <c r="E750" s="1" t="n">
        <v>46315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44944</v>
      </c>
      <c r="E751" s="1" t="n">
        <v>46315</v>
      </c>
      <c r="F751" t="inlineStr">
        <is>
          <t>SÖDERMANLANDS LÄN</t>
        </is>
      </c>
      <c r="G751" t="inlineStr">
        <is>
          <t>NYKÖPING</t>
        </is>
      </c>
      <c r="I751" t="n">
        <v>14.9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1999-2020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44092</v>
      </c>
      <c r="E752" s="1" t="n">
        <v>46315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Kommuner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1573-2020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44013</v>
      </c>
      <c r="E753" s="1" t="n">
        <v>46315</v>
      </c>
      <c r="F753" t="inlineStr">
        <is>
          <t>SÖDERMANLANDS LÄN</t>
        </is>
      </c>
      <c r="G753" t="inlineStr">
        <is>
          <t>NYKÖPING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2311-2022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44684</v>
      </c>
      <c r="E754" s="1" t="n">
        <v>46315</v>
      </c>
      <c r="F754" t="inlineStr">
        <is>
          <t>SÖDERMANLANDS LÄN</t>
        </is>
      </c>
      <c r="G754" t="inlineStr">
        <is>
          <t>NYKÖPING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3579-2022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44735</v>
      </c>
      <c r="E755" s="1" t="n">
        <v>46315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3783-2023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45223</v>
      </c>
      <c r="E756" s="1" t="n">
        <v>46315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46315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1224-2023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45029</v>
      </c>
      <c r="E758" s="1" t="n">
        <v>46315</v>
      </c>
      <c r="F758" t="inlineStr">
        <is>
          <t>SÖDERMANLANDS LÄN</t>
        </is>
      </c>
      <c r="G758" t="inlineStr">
        <is>
          <t>NYKÖPING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633-2025</t>
        </is>
      </c>
      <c r="B759" t="inlineStr">
        <is>
          <t>samrådsanmälan</t>
        </is>
      </c>
      <c r="C759" t="inlineStr">
        <is>
          <t>Skogsgödsling</t>
        </is>
      </c>
      <c r="D759" s="1" t="n">
        <v>45714</v>
      </c>
      <c r="E759" s="1" t="n">
        <v>46315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39.6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3071-2024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45517</v>
      </c>
      <c r="E760" s="1" t="n">
        <v>46315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2818-2025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45939</v>
      </c>
      <c r="E761" s="1" t="n">
        <v>46315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641-2026</t>
        </is>
      </c>
      <c r="B762" t="inlineStr">
        <is>
          <t>samrådsanmälan</t>
        </is>
      </c>
      <c r="C762" t="inlineStr">
        <is>
          <t>Skogsgödsling</t>
        </is>
      </c>
      <c r="D762" s="1" t="n">
        <v>46090</v>
      </c>
      <c r="E762" s="1" t="n">
        <v>46315</v>
      </c>
      <c r="F762" t="inlineStr">
        <is>
          <t>SÖDERMANLANDS LÄN</t>
        </is>
      </c>
      <c r="G762" t="inlineStr">
        <is>
          <t>NYKÖPING</t>
        </is>
      </c>
      <c r="I762" t="n">
        <v>46.2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>
      <c r="A763" t="inlineStr">
        <is>
          <t>S 248-2026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46050</v>
      </c>
      <c r="E763" s="1" t="n">
        <v>46315</v>
      </c>
      <c r="F763" t="inlineStr">
        <is>
          <t>SÖDERMANLANDS LÄN</t>
        </is>
      </c>
      <c r="G763" t="inlineStr">
        <is>
          <t>NYKÖPING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2026-10-20T01:51:12Z</dcterms:created>
  <dcterms:modified xmlns:dcterms="http://purl.org/dc/terms/" xmlns:xsi="http://www.w3.org/2001/XMLSchema-instance" xsi:type="dcterms:W3CDTF">2026-10-20T01:51:13Z</dcterms:modified>
</cp:coreProperties>
</file>