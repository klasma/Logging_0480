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46286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46286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46286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46286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46286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46286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46286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46286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46286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46286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46286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46286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46286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46286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46286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46286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S 3837-2022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44746</v>
      </c>
      <c r="E21" s="1" t="n">
        <v>46286</v>
      </c>
      <c r="F21" t="inlineStr">
        <is>
          <t>SÖDERMANLANDS LÄN</t>
        </is>
      </c>
      <c r="G21" t="inlineStr">
        <is>
          <t>NYKÖPING</t>
        </is>
      </c>
      <c r="I21" t="n">
        <v>3.1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3837-2022 artfynd.xlsx", "S 3837-2022")</f>
        <v/>
      </c>
      <c r="X21">
        <f>HYPERLINK("https://klasma.github.io/Logging_0480/kartor/S 3837-2022 karta.png", "S 3837-2022")</f>
        <v/>
      </c>
      <c r="Y21">
        <f>HYPERLINK("https://klasma.github.io/Logging_0480/kartor_geotiff/S 3837-2022 georefererad karta.tif", "S 3837-2022")</f>
        <v/>
      </c>
      <c r="AA21">
        <f>HYPERLINK("https://klasma.github.io/Logging_0480/klagomål/S 3837-2022 FSC-klagomål.docx", "S 3837-2022")</f>
        <v/>
      </c>
      <c r="AB21">
        <f>HYPERLINK("https://klasma.github.io/Logging_0480/klagomålsmail/S 3837-2022 FSC-klagomål mail.docx", "S 3837-2022")</f>
        <v/>
      </c>
      <c r="AC21">
        <f>HYPERLINK("https://klasma.github.io/Logging_0480/tillsyn/S 3837-2022 tillsynsbegäran.docx", "S 3837-2022")</f>
        <v/>
      </c>
      <c r="AD21">
        <f>HYPERLINK("https://klasma.github.io/Logging_0480/tillsynsmail/S 3837-2022 tillsynsbegäran mail.docx", "S 3837-2022")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46286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46286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46286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14855-2026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46286</v>
      </c>
      <c r="F25" t="inlineStr">
        <is>
          <t>SÖDERMANLANDS LÄN</t>
        </is>
      </c>
      <c r="G25" t="inlineStr">
        <is>
          <t>NYKÖPING</t>
        </is>
      </c>
      <c r="I25" t="n">
        <v>3.5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1</v>
      </c>
      <c r="V25" s="2" t="inlineStr">
        <is>
          <t>Dropptaggsvamp
Phellodon aquiloniniger
Grönpyrola
Vanlig padda</t>
        </is>
      </c>
      <c r="W25">
        <f>HYPERLINK("https://klasma.github.io/Logging_0480/artfynd/A 14855-2026 artfynd.xlsx", "A 14855-2026")</f>
        <v/>
      </c>
      <c r="X25">
        <f>HYPERLINK("https://klasma.github.io/Logging_0480/kartor/A 14855-2026 karta.png", "A 14855-2026")</f>
        <v/>
      </c>
      <c r="Y25">
        <f>HYPERLINK("https://klasma.github.io/Logging_0480/kartor_geotiff/A 14855-2026 georefererad karta.tif", "A 14855-2026")</f>
        <v/>
      </c>
      <c r="AA25">
        <f>HYPERLINK("https://klasma.github.io/Logging_0480/klagomål/A 14855-2026 FSC-klagomål.docx", "A 14855-2026")</f>
        <v/>
      </c>
      <c r="AB25">
        <f>HYPERLINK("https://klasma.github.io/Logging_0480/klagomålsmail/A 14855-2026 FSC-klagomål mail.docx", "A 14855-2026")</f>
        <v/>
      </c>
      <c r="AC25">
        <f>HYPERLINK("https://klasma.github.io/Logging_0480/tillsyn/A 14855-2026 tillsynsbegäran.docx", "A 14855-2026")</f>
        <v/>
      </c>
      <c r="AD25">
        <f>HYPERLINK("https://klasma.github.io/Logging_0480/tillsynsmail/A 14855-2026 tillsynsbegäran mail.docx", "A 14855-2026")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46286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24273-2026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46169</v>
      </c>
      <c r="E27" s="1" t="n">
        <v>46286</v>
      </c>
      <c r="F27" t="inlineStr">
        <is>
          <t>SÖDERMANLANDS LÄN</t>
        </is>
      </c>
      <c r="G27" t="inlineStr">
        <is>
          <t>NYKÖPING</t>
        </is>
      </c>
      <c r="I27" t="n">
        <v>4.5</v>
      </c>
      <c r="J27" t="n">
        <v>3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Grönsångare
Svinrot
Spillkråka
Ärtsångare</t>
        </is>
      </c>
      <c r="W27">
        <f>HYPERLINK("https://klasma.github.io/Logging_0480/artfynd/A 24273-2026 artfynd.xlsx", "A 24273-2026")</f>
        <v/>
      </c>
      <c r="X27">
        <f>HYPERLINK("https://klasma.github.io/Logging_0480/kartor/A 24273-2026 karta.png", "A 24273-2026")</f>
        <v/>
      </c>
      <c r="Y27">
        <f>HYPERLINK("https://klasma.github.io/Logging_0480/kartor_geotiff/A 24273-2026 georefererad karta.tif", "A 24273-2026")</f>
        <v/>
      </c>
      <c r="AA27">
        <f>HYPERLINK("https://klasma.github.io/Logging_0480/klagomål/A 24273-2026 FSC-klagomål.docx", "A 24273-2026")</f>
        <v/>
      </c>
      <c r="AB27">
        <f>HYPERLINK("https://klasma.github.io/Logging_0480/klagomålsmail/A 24273-2026 FSC-klagomål mail.docx", "A 24273-2026")</f>
        <v/>
      </c>
      <c r="AC27">
        <f>HYPERLINK("https://klasma.github.io/Logging_0480/tillsyn/A 24273-2026 tillsynsbegäran.docx", "A 24273-2026")</f>
        <v/>
      </c>
      <c r="AD27">
        <f>HYPERLINK("https://klasma.github.io/Logging_0480/tillsynsmail/A 24273-2026 tillsynsbegäran mail.docx", "A 24273-2026")</f>
        <v/>
      </c>
      <c r="AE27">
        <f>HYPERLINK("https://klasma.github.io/Logging_0480/fåglar/A 24273-2026 prioriterade fågelarter.docx", "A 24273-2026")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46286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46286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46286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44937</v>
      </c>
      <c r="E31" s="1" t="n">
        <v>46286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6.3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6</v>
      </c>
      <c r="U31" t="n">
        <v>4</v>
      </c>
      <c r="V31" s="2" t="inlineStr">
        <is>
          <t>Skogsklocka
Skorpgelélav
Aspvedgnagare
Stor aspticka</t>
        </is>
      </c>
      <c r="W31">
        <f>HYPERLINK("https://klasma.github.io/Logging_0480/artfynd/A 1509-2023 artfynd.xlsx", "A 1509-2023")</f>
        <v/>
      </c>
      <c r="X31">
        <f>HYPERLINK("https://klasma.github.io/Logging_0480/kartor/A 1509-2023 karta.png", "A 1509-2023")</f>
        <v/>
      </c>
      <c r="Y31">
        <f>HYPERLINK("https://klasma.github.io/Logging_0480/kartor_geotiff/A 1509-2023 georefererad karta.tif", "A 1509-2023")</f>
        <v/>
      </c>
      <c r="AA31">
        <f>HYPERLINK("https://klasma.github.io/Logging_0480/klagomål/A 1509-2023 FSC-klagomål.docx", "A 1509-2023")</f>
        <v/>
      </c>
      <c r="AB31">
        <f>HYPERLINK("https://klasma.github.io/Logging_0480/klagomålsmail/A 1509-2023 FSC-klagomål mail.docx", "A 1509-2023")</f>
        <v/>
      </c>
      <c r="AC31">
        <f>HYPERLINK("https://klasma.github.io/Logging_0480/tillsyn/A 1509-2023 tillsynsbegäran.docx", "A 1509-2023")</f>
        <v/>
      </c>
      <c r="AD31">
        <f>HYPERLINK("https://klasma.github.io/Logging_0480/tillsynsmail/A 1509-2023 tillsynsbegäran mail.docx", "A 1509-2023")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46286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46286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45328</v>
      </c>
      <c r="E34" s="1" t="n">
        <v>46286</v>
      </c>
      <c r="F34" t="inlineStr">
        <is>
          <t>SÖDERMANLANDS LÄN</t>
        </is>
      </c>
      <c r="G34" t="inlineStr">
        <is>
          <t>NYKÖPING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Ask
Blåsippa
Grönvit nattviol</t>
        </is>
      </c>
      <c r="W34">
        <f>HYPERLINK("https://klasma.github.io/Logging_0480/artfynd/A 4710-2024 artfynd.xlsx", "A 4710-2024")</f>
        <v/>
      </c>
      <c r="X34">
        <f>HYPERLINK("https://klasma.github.io/Logging_0480/kartor/A 4710-2024 karta.png", "A 4710-2024")</f>
        <v/>
      </c>
      <c r="Y34">
        <f>HYPERLINK("https://klasma.github.io/Logging_0480/kartor_geotiff/A 4710-2024 georefererad karta.tif", "A 4710-2024")</f>
        <v/>
      </c>
      <c r="AA34">
        <f>HYPERLINK("https://klasma.github.io/Logging_0480/klagomål/A 4710-2024 FSC-klagomål.docx", "A 4710-2024")</f>
        <v/>
      </c>
      <c r="AB34">
        <f>HYPERLINK("https://klasma.github.io/Logging_0480/klagomålsmail/A 4710-2024 FSC-klagomål mail.docx", "A 4710-2024")</f>
        <v/>
      </c>
      <c r="AC34">
        <f>HYPERLINK("https://klasma.github.io/Logging_0480/tillsyn/A 4710-2024 tillsynsbegäran.docx", "A 4710-2024")</f>
        <v/>
      </c>
      <c r="AD34">
        <f>HYPERLINK("https://klasma.github.io/Logging_0480/tillsynsmail/A 4710-2024 tillsynsbegäran mail.docx", "A 4710-2024")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46286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46286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46286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46286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46286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58783-2025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46286</v>
      </c>
      <c r="F40" t="inlineStr">
        <is>
          <t>SÖDERMANLANDS LÄN</t>
        </is>
      </c>
      <c r="G40" t="inlineStr">
        <is>
          <t>NYKÖPING</t>
        </is>
      </c>
      <c r="H40" t="inlineStr">
        <is>
          <t>Sveaskog</t>
        </is>
      </c>
      <c r="I40" t="n">
        <v>1.3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Skogshare
Nattskärra
Revlummer</t>
        </is>
      </c>
      <c r="W40">
        <f>HYPERLINK("https://klasma.github.io/Logging_0480/artfynd/A 58783-2025 artfynd.xlsx", "A 58783-2025")</f>
        <v/>
      </c>
      <c r="X40">
        <f>HYPERLINK("https://klasma.github.io/Logging_0480/kartor/A 58783-2025 karta.png", "A 58783-2025")</f>
        <v/>
      </c>
      <c r="Y40">
        <f>HYPERLINK("https://klasma.github.io/Logging_0480/kartor_geotiff/A 58783-2025 georefererad karta.tif", "A 58783-2025")</f>
        <v/>
      </c>
      <c r="AA40">
        <f>HYPERLINK("https://klasma.github.io/Logging_0480/klagomål/A 58783-2025 FSC-klagomål.docx", "A 58783-2025")</f>
        <v/>
      </c>
      <c r="AB40">
        <f>HYPERLINK("https://klasma.github.io/Logging_0480/klagomålsmail/A 58783-2025 FSC-klagomål mail.docx", "A 58783-2025")</f>
        <v/>
      </c>
      <c r="AC40">
        <f>HYPERLINK("https://klasma.github.io/Logging_0480/tillsyn/A 58783-2025 tillsynsbegäran.docx", "A 58783-2025")</f>
        <v/>
      </c>
      <c r="AD40">
        <f>HYPERLINK("https://klasma.github.io/Logging_0480/tillsynsmail/A 58783-2025 tillsynsbegäran mail.docx", "A 58783-2025")</f>
        <v/>
      </c>
      <c r="AE40">
        <f>HYPERLINK("https://klasma.github.io/Logging_0480/fåglar/A 58783-2025 prioriterade fågelarter.docx", "A 58783-2025")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46286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46286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53573-2022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46286</v>
      </c>
      <c r="F43" t="inlineStr">
        <is>
          <t>SÖDERMANLANDS LÄN</t>
        </is>
      </c>
      <c r="G43" t="inlineStr">
        <is>
          <t>NYKÖPING</t>
        </is>
      </c>
      <c r="H43" t="inlineStr">
        <is>
          <t>Övriga Aktiebolag</t>
        </is>
      </c>
      <c r="I43" t="n">
        <v>9.199999999999999</v>
      </c>
      <c r="J43" t="n">
        <v>0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Dofttaggsvamp
Fjällig taggsvamp s.str.
Sotvaxskivling</t>
        </is>
      </c>
      <c r="W43">
        <f>HYPERLINK("https://klasma.github.io/Logging_0480/artfynd/A 53573-2022 artfynd.xlsx", "A 53573-2022")</f>
        <v/>
      </c>
      <c r="X43">
        <f>HYPERLINK("https://klasma.github.io/Logging_0480/kartor/A 53573-2022 karta.png", "A 53573-2022")</f>
        <v/>
      </c>
      <c r="Y43">
        <f>HYPERLINK("https://klasma.github.io/Logging_0480/kartor_geotiff/A 53573-2022 georefererad karta.tif", "A 53573-2022")</f>
        <v/>
      </c>
      <c r="AA43">
        <f>HYPERLINK("https://klasma.github.io/Logging_0480/klagomål/A 53573-2022 FSC-klagomål.docx", "A 53573-2022")</f>
        <v/>
      </c>
      <c r="AB43">
        <f>HYPERLINK("https://klasma.github.io/Logging_0480/klagomålsmail/A 53573-2022 FSC-klagomål mail.docx", "A 53573-2022")</f>
        <v/>
      </c>
      <c r="AC43">
        <f>HYPERLINK("https://klasma.github.io/Logging_0480/tillsyn/A 53573-2022 tillsynsbegäran.docx", "A 53573-2022")</f>
        <v/>
      </c>
      <c r="AD43">
        <f>HYPERLINK("https://klasma.github.io/Logging_0480/tillsynsmail/A 53573-2022 tillsynsbegäran mail.docx", "A 53573-2022")</f>
        <v/>
      </c>
    </row>
    <row r="44" ht="15" customHeight="1">
      <c r="A44" t="inlineStr">
        <is>
          <t>A 38203-2022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46286</v>
      </c>
      <c r="F44" t="inlineStr">
        <is>
          <t>SÖDERMANLANDS LÄN</t>
        </is>
      </c>
      <c r="G44" t="inlineStr">
        <is>
          <t>NYKÖPING</t>
        </is>
      </c>
      <c r="I44" t="n">
        <v>1.9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Gulsparv
Kösa
Linmåra/småsnärjmåra</t>
        </is>
      </c>
      <c r="W44">
        <f>HYPERLINK("https://klasma.github.io/Logging_0480/artfynd/A 38203-2022 artfynd.xlsx", "A 38203-2022")</f>
        <v/>
      </c>
      <c r="X44">
        <f>HYPERLINK("https://klasma.github.io/Logging_0480/kartor/A 38203-2022 karta.png", "A 38203-2022")</f>
        <v/>
      </c>
      <c r="Y44">
        <f>HYPERLINK("https://klasma.github.io/Logging_0480/kartor_geotiff/A 38203-2022 georefererad karta.tif", "A 38203-2022")</f>
        <v/>
      </c>
      <c r="AA44">
        <f>HYPERLINK("https://klasma.github.io/Logging_0480/klagomål/A 38203-2022 FSC-klagomål.docx", "A 38203-2022")</f>
        <v/>
      </c>
      <c r="AB44">
        <f>HYPERLINK("https://klasma.github.io/Logging_0480/klagomålsmail/A 38203-2022 FSC-klagomål mail.docx", "A 38203-2022")</f>
        <v/>
      </c>
      <c r="AC44">
        <f>HYPERLINK("https://klasma.github.io/Logging_0480/tillsyn/A 38203-2022 tillsynsbegäran.docx", "A 38203-2022")</f>
        <v/>
      </c>
      <c r="AD44">
        <f>HYPERLINK("https://klasma.github.io/Logging_0480/tillsynsmail/A 38203-2022 tillsynsbegäran mail.docx", "A 38203-2022")</f>
        <v/>
      </c>
      <c r="AE44">
        <f>HYPERLINK("https://klasma.github.io/Logging_0480/fåglar/A 38203-2022 prioriterade fågelarter.docx", "A 38203-2022")</f>
        <v/>
      </c>
    </row>
    <row r="45" ht="15" customHeight="1">
      <c r="A45" t="inlineStr">
        <is>
          <t>A 48153-2023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46286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Nötkråka
Havsörn</t>
        </is>
      </c>
      <c r="W45">
        <f>HYPERLINK("https://klasma.github.io/Logging_0480/artfynd/A 48153-2023 artfynd.xlsx", "A 48153-2023")</f>
        <v/>
      </c>
      <c r="X45">
        <f>HYPERLINK("https://klasma.github.io/Logging_0480/kartor/A 48153-2023 karta.png", "A 48153-2023")</f>
        <v/>
      </c>
      <c r="Y45">
        <f>HYPERLINK("https://klasma.github.io/Logging_0480/kartor_geotiff/A 48153-2023 georefererad karta.tif", "A 48153-2023")</f>
        <v/>
      </c>
      <c r="AA45">
        <f>HYPERLINK("https://klasma.github.io/Logging_0480/klagomål/A 48153-2023 FSC-klagomål.docx", "A 48153-2023")</f>
        <v/>
      </c>
      <c r="AB45">
        <f>HYPERLINK("https://klasma.github.io/Logging_0480/klagomålsmail/A 48153-2023 FSC-klagomål mail.docx", "A 48153-2023")</f>
        <v/>
      </c>
      <c r="AC45">
        <f>HYPERLINK("https://klasma.github.io/Logging_0480/tillsyn/A 48153-2023 tillsynsbegäran.docx", "A 48153-2023")</f>
        <v/>
      </c>
      <c r="AD45">
        <f>HYPERLINK("https://klasma.github.io/Logging_0480/tillsynsmail/A 48153-2023 tillsynsbegäran mail.docx", "A 48153-2023")</f>
        <v/>
      </c>
      <c r="AE45">
        <f>HYPERLINK("https://klasma.github.io/Logging_0480/fåglar/A 48153-2023 prioriterade fågelarter.docx", "A 48153-2023")</f>
        <v/>
      </c>
    </row>
    <row r="46" ht="15" customHeight="1">
      <c r="A46" t="inlineStr">
        <is>
          <t>A 16078-2023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46286</v>
      </c>
      <c r="F46" t="inlineStr">
        <is>
          <t>SÖDERMANLANDS LÄN</t>
        </is>
      </c>
      <c r="G46" t="inlineStr">
        <is>
          <t>NYKÖPING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Rödlånke
Fläcknycklar</t>
        </is>
      </c>
      <c r="W46">
        <f>HYPERLINK("https://klasma.github.io/Logging_0480/artfynd/A 16078-2023 artfynd.xlsx", "A 16078-2023")</f>
        <v/>
      </c>
      <c r="X46">
        <f>HYPERLINK("https://klasma.github.io/Logging_0480/kartor/A 16078-2023 karta.png", "A 16078-2023")</f>
        <v/>
      </c>
      <c r="Y46">
        <f>HYPERLINK("https://klasma.github.io/Logging_0480/kartor_geotiff/A 16078-2023 georefererad karta.tif", "A 16078-2023")</f>
        <v/>
      </c>
      <c r="AA46">
        <f>HYPERLINK("https://klasma.github.io/Logging_0480/klagomål/A 16078-2023 FSC-klagomål.docx", "A 16078-2023")</f>
        <v/>
      </c>
      <c r="AB46">
        <f>HYPERLINK("https://klasma.github.io/Logging_0480/klagomålsmail/A 16078-2023 FSC-klagomål mail.docx", "A 16078-2023")</f>
        <v/>
      </c>
      <c r="AC46">
        <f>HYPERLINK("https://klasma.github.io/Logging_0480/tillsyn/A 16078-2023 tillsynsbegäran.docx", "A 16078-2023")</f>
        <v/>
      </c>
      <c r="AD46">
        <f>HYPERLINK("https://klasma.github.io/Logging_0480/tillsynsmail/A 16078-2023 tillsynsbegäran mail.docx", "A 16078-2023")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46286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46286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46286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46286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60518-2022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44904</v>
      </c>
      <c r="E51" s="1" t="n">
        <v>46286</v>
      </c>
      <c r="F51" t="inlineStr">
        <is>
          <t>SÖDERMANLANDS LÄN</t>
        </is>
      </c>
      <c r="G51" t="inlineStr">
        <is>
          <t>NYKÖPING</t>
        </is>
      </c>
      <c r="I51" t="n">
        <v>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Gullklöver
Gullviva</t>
        </is>
      </c>
      <c r="W51">
        <f>HYPERLINK("https://klasma.github.io/Logging_0480/artfynd/A 60518-2022 artfynd.xlsx", "A 60518-2022")</f>
        <v/>
      </c>
      <c r="X51">
        <f>HYPERLINK("https://klasma.github.io/Logging_0480/kartor/A 60518-2022 karta.png", "A 60518-2022")</f>
        <v/>
      </c>
      <c r="Y51">
        <f>HYPERLINK("https://klasma.github.io/Logging_0480/kartor_geotiff/A 60518-2022 georefererad karta.tif", "A 60518-2022")</f>
        <v/>
      </c>
      <c r="AA51">
        <f>HYPERLINK("https://klasma.github.io/Logging_0480/klagomål/A 60518-2022 FSC-klagomål.docx", "A 60518-2022")</f>
        <v/>
      </c>
      <c r="AB51">
        <f>HYPERLINK("https://klasma.github.io/Logging_0480/klagomålsmail/A 60518-2022 FSC-klagomål mail.docx", "A 60518-2022")</f>
        <v/>
      </c>
      <c r="AC51">
        <f>HYPERLINK("https://klasma.github.io/Logging_0480/tillsyn/A 60518-2022 tillsynsbegäran.docx", "A 60518-2022")</f>
        <v/>
      </c>
      <c r="AD51">
        <f>HYPERLINK("https://klasma.github.io/Logging_0480/tillsynsmail/A 60518-2022 tillsynsbegäran mail.docx", "A 60518-2022")</f>
        <v/>
      </c>
    </row>
    <row r="52" ht="15" customHeight="1">
      <c r="A52" t="inlineStr">
        <is>
          <t>A 5857-2024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46286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Törnskata
Revlummer</t>
        </is>
      </c>
      <c r="W52">
        <f>HYPERLINK("https://klasma.github.io/Logging_0480/artfynd/A 5857-2024 artfynd.xlsx", "A 5857-2024")</f>
        <v/>
      </c>
      <c r="X52">
        <f>HYPERLINK("https://klasma.github.io/Logging_0480/kartor/A 5857-2024 karta.png", "A 5857-2024")</f>
        <v/>
      </c>
      <c r="Y52">
        <f>HYPERLINK("https://klasma.github.io/Logging_0480/kartor_geotiff/A 5857-2024 georefererad karta.tif", "A 5857-2024")</f>
        <v/>
      </c>
      <c r="AA52">
        <f>HYPERLINK("https://klasma.github.io/Logging_0480/klagomål/A 5857-2024 FSC-klagomål.docx", "A 5857-2024")</f>
        <v/>
      </c>
      <c r="AB52">
        <f>HYPERLINK("https://klasma.github.io/Logging_0480/klagomålsmail/A 5857-2024 FSC-klagomål mail.docx", "A 5857-2024")</f>
        <v/>
      </c>
      <c r="AC52">
        <f>HYPERLINK("https://klasma.github.io/Logging_0480/tillsyn/A 5857-2024 tillsynsbegäran.docx", "A 5857-2024")</f>
        <v/>
      </c>
      <c r="AD52">
        <f>HYPERLINK("https://klasma.github.io/Logging_0480/tillsynsmail/A 5857-2024 tillsynsbegäran mail.docx", "A 5857-2024")</f>
        <v/>
      </c>
      <c r="AE52">
        <f>HYPERLINK("https://klasma.github.io/Logging_0480/fåglar/A 5857-2024 prioriterade fågelarter.docx", "A 5857-2024")</f>
        <v/>
      </c>
    </row>
    <row r="53" ht="15" customHeight="1">
      <c r="A53" t="inlineStr">
        <is>
          <t>A 60460-2022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44911</v>
      </c>
      <c r="E53" s="1" t="n">
        <v>46286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1.7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Barkticka
Blåsippa</t>
        </is>
      </c>
      <c r="W53">
        <f>HYPERLINK("https://klasma.github.io/Logging_0480/artfynd/A 60460-2022 artfynd.xlsx", "A 60460-2022")</f>
        <v/>
      </c>
      <c r="X53">
        <f>HYPERLINK("https://klasma.github.io/Logging_0480/kartor/A 60460-2022 karta.png", "A 60460-2022")</f>
        <v/>
      </c>
      <c r="Y53">
        <f>HYPERLINK("https://klasma.github.io/Logging_0480/kartor_geotiff/A 60460-2022 georefererad karta.tif", "A 60460-2022")</f>
        <v/>
      </c>
      <c r="AA53">
        <f>HYPERLINK("https://klasma.github.io/Logging_0480/klagomål/A 60460-2022 FSC-klagomål.docx", "A 60460-2022")</f>
        <v/>
      </c>
      <c r="AB53">
        <f>HYPERLINK("https://klasma.github.io/Logging_0480/klagomålsmail/A 60460-2022 FSC-klagomål mail.docx", "A 60460-2022")</f>
        <v/>
      </c>
      <c r="AC53">
        <f>HYPERLINK("https://klasma.github.io/Logging_0480/tillsyn/A 60460-2022 tillsynsbegäran.docx", "A 60460-2022")</f>
        <v/>
      </c>
      <c r="AD53">
        <f>HYPERLINK("https://klasma.github.io/Logging_0480/tillsynsmail/A 60460-2022 tillsynsbegäran mail.docx", "A 60460-2022")</f>
        <v/>
      </c>
    </row>
    <row r="54" ht="15" customHeight="1">
      <c r="A54" t="inlineStr">
        <is>
          <t>A 1037-2026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46286</v>
      </c>
      <c r="F54" t="inlineStr">
        <is>
          <t>SÖDERMANLANDS LÄN</t>
        </is>
      </c>
      <c r="G54" t="inlineStr">
        <is>
          <t>NYKÖPING</t>
        </is>
      </c>
      <c r="I54" t="n">
        <v>11.6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Talltita
Spillkråka</t>
        </is>
      </c>
      <c r="W54">
        <f>HYPERLINK("https://klasma.github.io/Logging_0480/artfynd/A 1037-2026 artfynd.xlsx", "A 1037-2026")</f>
        <v/>
      </c>
      <c r="X54">
        <f>HYPERLINK("https://klasma.github.io/Logging_0480/kartor/A 1037-2026 karta.png", "A 1037-2026")</f>
        <v/>
      </c>
      <c r="Y54">
        <f>HYPERLINK("https://klasma.github.io/Logging_0480/kartor_geotiff/A 1037-2026 georefererad karta.tif", "A 1037-2026")</f>
        <v/>
      </c>
      <c r="AA54">
        <f>HYPERLINK("https://klasma.github.io/Logging_0480/klagomål/A 1037-2026 FSC-klagomål.docx", "A 1037-2026")</f>
        <v/>
      </c>
      <c r="AB54">
        <f>HYPERLINK("https://klasma.github.io/Logging_0480/klagomålsmail/A 1037-2026 FSC-klagomål mail.docx", "A 1037-2026")</f>
        <v/>
      </c>
      <c r="AC54">
        <f>HYPERLINK("https://klasma.github.io/Logging_0480/tillsyn/A 1037-2026 tillsynsbegäran.docx", "A 1037-2026")</f>
        <v/>
      </c>
      <c r="AD54">
        <f>HYPERLINK("https://klasma.github.io/Logging_0480/tillsynsmail/A 1037-2026 tillsynsbegäran mail.docx", "A 1037-2026")</f>
        <v/>
      </c>
      <c r="AE54">
        <f>HYPERLINK("https://klasma.github.io/Logging_0480/fåglar/A 1037-2026 prioriterade fågelarter.docx", "A 1037-2026")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46286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46286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46286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6276-2026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46286</v>
      </c>
      <c r="F58" t="inlineStr">
        <is>
          <t>SÖDERMANLANDS LÄN</t>
        </is>
      </c>
      <c r="G58" t="inlineStr">
        <is>
          <t>NYKÖPING</t>
        </is>
      </c>
      <c r="I58" t="n">
        <v>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Granbarkgnagare</t>
        </is>
      </c>
      <c r="W58">
        <f>HYPERLINK("https://klasma.github.io/Logging_0480/artfynd/A 6276-2026 artfynd.xlsx", "A 6276-2026")</f>
        <v/>
      </c>
      <c r="X58">
        <f>HYPERLINK("https://klasma.github.io/Logging_0480/kartor/A 6276-2026 karta.png", "A 6276-2026")</f>
        <v/>
      </c>
      <c r="Y58">
        <f>HYPERLINK("https://klasma.github.io/Logging_0480/kartor_geotiff/A 6276-2026 georefererad karta.tif", "A 6276-2026")</f>
        <v/>
      </c>
      <c r="AA58">
        <f>HYPERLINK("https://klasma.github.io/Logging_0480/klagomål/A 6276-2026 FSC-klagomål.docx", "A 6276-2026")</f>
        <v/>
      </c>
      <c r="AB58">
        <f>HYPERLINK("https://klasma.github.io/Logging_0480/klagomålsmail/A 6276-2026 FSC-klagomål mail.docx", "A 6276-2026")</f>
        <v/>
      </c>
      <c r="AC58">
        <f>HYPERLINK("https://klasma.github.io/Logging_0480/tillsyn/A 6276-2026 tillsynsbegäran.docx", "A 6276-2026")</f>
        <v/>
      </c>
      <c r="AD58">
        <f>HYPERLINK("https://klasma.github.io/Logging_0480/tillsynsmail/A 6276-2026 tillsynsbegäran mail.docx", "A 6276-2026")</f>
        <v/>
      </c>
      <c r="AE58">
        <f>HYPERLINK("https://klasma.github.io/Logging_0480/fåglar/A 6276-2026 prioriterade fågelarter.docx", "A 6276-2026")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46286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46286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56560-2022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46286</v>
      </c>
      <c r="F61" t="inlineStr">
        <is>
          <t>SÖDERMANLANDS LÄN</t>
        </is>
      </c>
      <c r="G61" t="inlineStr">
        <is>
          <t>NYKÖPING</t>
        </is>
      </c>
      <c r="H61" t="inlineStr">
        <is>
          <t>Övriga Aktiebolag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Fjällvråk
Kråka</t>
        </is>
      </c>
      <c r="W61">
        <f>HYPERLINK("https://klasma.github.io/Logging_0480/artfynd/A 56560-2022 artfynd.xlsx", "A 56560-2022")</f>
        <v/>
      </c>
      <c r="X61">
        <f>HYPERLINK("https://klasma.github.io/Logging_0480/kartor/A 56560-2022 karta.png", "A 56560-2022")</f>
        <v/>
      </c>
      <c r="Y61">
        <f>HYPERLINK("https://klasma.github.io/Logging_0480/kartor_geotiff/A 56560-2022 georefererad karta.tif", "A 56560-2022")</f>
        <v/>
      </c>
      <c r="AA61">
        <f>HYPERLINK("https://klasma.github.io/Logging_0480/klagomål/A 56560-2022 FSC-klagomål.docx", "A 56560-2022")</f>
        <v/>
      </c>
      <c r="AB61">
        <f>HYPERLINK("https://klasma.github.io/Logging_0480/klagomålsmail/A 56560-2022 FSC-klagomål mail.docx", "A 56560-2022")</f>
        <v/>
      </c>
      <c r="AC61">
        <f>HYPERLINK("https://klasma.github.io/Logging_0480/tillsyn/A 56560-2022 tillsynsbegäran.docx", "A 56560-2022")</f>
        <v/>
      </c>
      <c r="AD61">
        <f>HYPERLINK("https://klasma.github.io/Logging_0480/tillsynsmail/A 56560-2022 tillsynsbegäran mail.docx", "A 56560-2022")</f>
        <v/>
      </c>
      <c r="AE61">
        <f>HYPERLINK("https://klasma.github.io/Logging_0480/fåglar/A 56560-2022 prioriterade fågelarter.docx", "A 56560-2022")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46286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38923-2024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45547</v>
      </c>
      <c r="E63" s="1" t="n">
        <v>46286</v>
      </c>
      <c r="F63" t="inlineStr">
        <is>
          <t>SÖDERMANLANDS LÄN</t>
        </is>
      </c>
      <c r="G63" t="inlineStr">
        <is>
          <t>NYKÖPING</t>
        </is>
      </c>
      <c r="I63" t="n">
        <v>18.9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4</v>
      </c>
      <c r="U63" t="n">
        <v>1</v>
      </c>
      <c r="V63" s="2" t="inlineStr">
        <is>
          <t>Tallticka
Blodticka</t>
        </is>
      </c>
      <c r="W63">
        <f>HYPERLINK("https://klasma.github.io/Logging_0480/artfynd/A 38923-2024 artfynd.xlsx", "A 38923-2024")</f>
        <v/>
      </c>
      <c r="X63">
        <f>HYPERLINK("https://klasma.github.io/Logging_0480/kartor/A 38923-2024 karta.png", "A 38923-2024")</f>
        <v/>
      </c>
      <c r="Y63">
        <f>HYPERLINK("https://klasma.github.io/Logging_0480/kartor_geotiff/A 38923-2024 georefererad karta.tif", "A 38923-2024")</f>
        <v/>
      </c>
      <c r="AA63">
        <f>HYPERLINK("https://klasma.github.io/Logging_0480/klagomål/A 38923-2024 FSC-klagomål.docx", "A 38923-2024")</f>
        <v/>
      </c>
      <c r="AB63">
        <f>HYPERLINK("https://klasma.github.io/Logging_0480/klagomålsmail/A 38923-2024 FSC-klagomål mail.docx", "A 38923-2024")</f>
        <v/>
      </c>
      <c r="AC63">
        <f>HYPERLINK("https://klasma.github.io/Logging_0480/tillsyn/A 38923-2024 tillsynsbegäran.docx", "A 38923-2024")</f>
        <v/>
      </c>
      <c r="AD63">
        <f>HYPERLINK("https://klasma.github.io/Logging_0480/tillsynsmail/A 38923-2024 tillsynsbegäran mail.docx", "A 38923-2024")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46286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55945-2025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46286</v>
      </c>
      <c r="F65" t="inlineStr">
        <is>
          <t>SÖDERMANLANDS LÄN</t>
        </is>
      </c>
      <c r="G65" t="inlineStr">
        <is>
          <t>NYKÖPING</t>
        </is>
      </c>
      <c r="I65" t="n">
        <v>9.1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Blanksvart spiklav
Motaggsvamp</t>
        </is>
      </c>
      <c r="W65">
        <f>HYPERLINK("https://klasma.github.io/Logging_0480/artfynd/A 55945-2025 artfynd.xlsx", "A 55945-2025")</f>
        <v/>
      </c>
      <c r="X65">
        <f>HYPERLINK("https://klasma.github.io/Logging_0480/kartor/A 55945-2025 karta.png", "A 55945-2025")</f>
        <v/>
      </c>
      <c r="Y65">
        <f>HYPERLINK("https://klasma.github.io/Logging_0480/kartor_geotiff/A 55945-2025 georefererad karta.tif", "A 55945-2025")</f>
        <v/>
      </c>
      <c r="AA65">
        <f>HYPERLINK("https://klasma.github.io/Logging_0480/klagomål/A 55945-2025 FSC-klagomål.docx", "A 55945-2025")</f>
        <v/>
      </c>
      <c r="AB65">
        <f>HYPERLINK("https://klasma.github.io/Logging_0480/klagomålsmail/A 55945-2025 FSC-klagomål mail.docx", "A 55945-2025")</f>
        <v/>
      </c>
      <c r="AC65">
        <f>HYPERLINK("https://klasma.github.io/Logging_0480/tillsyn/A 55945-2025 tillsynsbegäran.docx", "A 55945-2025")</f>
        <v/>
      </c>
      <c r="AD65">
        <f>HYPERLINK("https://klasma.github.io/Logging_0480/tillsynsmail/A 55945-2025 tillsynsbegäran mail.docx", "A 55945-2025")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46286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46286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46286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46286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46286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46286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46286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46286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46286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65889-2021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46286</v>
      </c>
      <c r="F75" t="inlineStr">
        <is>
          <t>SÖDERMANLANDS LÄN</t>
        </is>
      </c>
      <c r="G75" t="inlineStr">
        <is>
          <t>NYKÖPING</t>
        </is>
      </c>
      <c r="I75" t="n">
        <v>4.8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Backstarr</t>
        </is>
      </c>
      <c r="W75">
        <f>HYPERLINK("https://klasma.github.io/Logging_0480/artfynd/A 65889-2021 artfynd.xlsx", "A 65889-2021")</f>
        <v/>
      </c>
      <c r="X75">
        <f>HYPERLINK("https://klasma.github.io/Logging_0480/kartor/A 65889-2021 karta.png", "A 65889-2021")</f>
        <v/>
      </c>
      <c r="Y75">
        <f>HYPERLINK("https://klasma.github.io/Logging_0480/kartor_geotiff/A 65889-2021 georefererad karta.tif", "A 65889-2021")</f>
        <v/>
      </c>
      <c r="AA75">
        <f>HYPERLINK("https://klasma.github.io/Logging_0480/klagomål/A 65889-2021 FSC-klagomål.docx", "A 65889-2021")</f>
        <v/>
      </c>
      <c r="AB75">
        <f>HYPERLINK("https://klasma.github.io/Logging_0480/klagomålsmail/A 65889-2021 FSC-klagomål mail.docx", "A 65889-2021")</f>
        <v/>
      </c>
      <c r="AC75">
        <f>HYPERLINK("https://klasma.github.io/Logging_0480/tillsyn/A 65889-2021 tillsynsbegäran.docx", "A 65889-2021")</f>
        <v/>
      </c>
      <c r="AD75">
        <f>HYPERLINK("https://klasma.github.io/Logging_0480/tillsynsmail/A 65889-2021 tillsynsbegäran mail.docx", "A 65889-2021")</f>
        <v/>
      </c>
    </row>
    <row r="76" ht="15" customHeight="1">
      <c r="A76" t="inlineStr">
        <is>
          <t>A 18500-2024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45424</v>
      </c>
      <c r="E76" s="1" t="n">
        <v>46286</v>
      </c>
      <c r="F76" t="inlineStr">
        <is>
          <t>SÖDERMANLANDS LÄN</t>
        </is>
      </c>
      <c r="G76" t="inlineStr">
        <is>
          <t>NYKÖPING</t>
        </is>
      </c>
      <c r="I76" t="n">
        <v>2.4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Tornseglare</t>
        </is>
      </c>
      <c r="W76">
        <f>HYPERLINK("https://klasma.github.io/Logging_0480/artfynd/A 18500-2024 artfynd.xlsx", "A 18500-2024")</f>
        <v/>
      </c>
      <c r="X76">
        <f>HYPERLINK("https://klasma.github.io/Logging_0480/kartor/A 18500-2024 karta.png", "A 18500-2024")</f>
        <v/>
      </c>
      <c r="Y76">
        <f>HYPERLINK("https://klasma.github.io/Logging_0480/kartor_geotiff/A 18500-2024 georefererad karta.tif", "A 18500-2024")</f>
        <v/>
      </c>
      <c r="AA76">
        <f>HYPERLINK("https://klasma.github.io/Logging_0480/klagomål/A 18500-2024 FSC-klagomål.docx", "A 18500-2024")</f>
        <v/>
      </c>
      <c r="AB76">
        <f>HYPERLINK("https://klasma.github.io/Logging_0480/klagomålsmail/A 18500-2024 FSC-klagomål mail.docx", "A 18500-2024")</f>
        <v/>
      </c>
      <c r="AC76">
        <f>HYPERLINK("https://klasma.github.io/Logging_0480/tillsyn/A 18500-2024 tillsynsbegäran.docx", "A 18500-2024")</f>
        <v/>
      </c>
      <c r="AD76">
        <f>HYPERLINK("https://klasma.github.io/Logging_0480/tillsynsmail/A 18500-2024 tillsynsbegäran mail.docx", "A 18500-2024")</f>
        <v/>
      </c>
      <c r="AE76">
        <f>HYPERLINK("https://klasma.github.io/Logging_0480/fåglar/A 18500-2024 prioriterade fågelarter.docx", "A 18500-2024")</f>
        <v/>
      </c>
    </row>
    <row r="77" ht="15" customHeight="1">
      <c r="A77" t="inlineStr">
        <is>
          <t>A 21129-2024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45440</v>
      </c>
      <c r="E77" s="1" t="n">
        <v>46286</v>
      </c>
      <c r="F77" t="inlineStr">
        <is>
          <t>SÖDERMANLANDS LÄN</t>
        </is>
      </c>
      <c r="G77" t="inlineStr">
        <is>
          <t>NYKÖPING</t>
        </is>
      </c>
      <c r="H77" t="inlineStr">
        <is>
          <t>Kommuner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Liljekonvalj</t>
        </is>
      </c>
      <c r="W77">
        <f>HYPERLINK("https://klasma.github.io/Logging_0480/artfynd/A 21129-2024 artfynd.xlsx", "A 21129-2024")</f>
        <v/>
      </c>
      <c r="X77">
        <f>HYPERLINK("https://klasma.github.io/Logging_0480/kartor/A 21129-2024 karta.png", "A 21129-2024")</f>
        <v/>
      </c>
      <c r="Y77">
        <f>HYPERLINK("https://klasma.github.io/Logging_0480/kartor_geotiff/A 21129-2024 georefererad karta.tif", "A 21129-2024")</f>
        <v/>
      </c>
      <c r="AA77">
        <f>HYPERLINK("https://klasma.github.io/Logging_0480/klagomål/A 21129-2024 FSC-klagomål.docx", "A 21129-2024")</f>
        <v/>
      </c>
      <c r="AB77">
        <f>HYPERLINK("https://klasma.github.io/Logging_0480/klagomålsmail/A 21129-2024 FSC-klagomål mail.docx", "A 21129-2024")</f>
        <v/>
      </c>
      <c r="AC77">
        <f>HYPERLINK("https://klasma.github.io/Logging_0480/tillsyn/A 21129-2024 tillsynsbegäran.docx", "A 21129-2024")</f>
        <v/>
      </c>
      <c r="AD77">
        <f>HYPERLINK("https://klasma.github.io/Logging_0480/tillsynsmail/A 21129-2024 tillsynsbegäran mail.docx", "A 21129-2024")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46286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46286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21021-2026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46145</v>
      </c>
      <c r="E80" s="1" t="n">
        <v>46286</v>
      </c>
      <c r="F80" t="inlineStr">
        <is>
          <t>SÖDERMANLANDS LÄN</t>
        </is>
      </c>
      <c r="G80" t="inlineStr">
        <is>
          <t>NYKÖPING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HYPERLINK("https://klasma.github.io/Logging_0480/artfynd/A 21021-2026 artfynd.xlsx", "A 21021-2026")</f>
        <v/>
      </c>
      <c r="X80">
        <f>HYPERLINK("https://klasma.github.io/Logging_0480/kartor/A 21021-2026 karta.png", "A 21021-2026")</f>
        <v/>
      </c>
      <c r="Y80">
        <f>HYPERLINK("https://klasma.github.io/Logging_0480/kartor_geotiff/A 21021-2026 georefererad karta.tif", "A 21021-2026")</f>
        <v/>
      </c>
      <c r="AA80">
        <f>HYPERLINK("https://klasma.github.io/Logging_0480/klagomål/A 21021-2026 FSC-klagomål.docx", "A 21021-2026")</f>
        <v/>
      </c>
      <c r="AB80">
        <f>HYPERLINK("https://klasma.github.io/Logging_0480/klagomålsmail/A 21021-2026 FSC-klagomål mail.docx", "A 21021-2026")</f>
        <v/>
      </c>
      <c r="AC80">
        <f>HYPERLINK("https://klasma.github.io/Logging_0480/tillsyn/A 21021-2026 tillsynsbegäran.docx", "A 21021-2026")</f>
        <v/>
      </c>
      <c r="AD80">
        <f>HYPERLINK("https://klasma.github.io/Logging_0480/tillsynsmail/A 21021-2026 tillsynsbegäran mail.docx", "A 21021-2026")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46286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8387-2024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46286</v>
      </c>
      <c r="F82" t="inlineStr">
        <is>
          <t>SÖDERMANLANDS LÄN</t>
        </is>
      </c>
      <c r="G82" t="inlineStr">
        <is>
          <t>NYKÖPING</t>
        </is>
      </c>
      <c r="H82" t="inlineStr">
        <is>
          <t>Sveaskog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HYPERLINK("https://klasma.github.io/Logging_0480/artfynd/A 8387-2024 artfynd.xlsx", "A 8387-2024")</f>
        <v/>
      </c>
      <c r="X82">
        <f>HYPERLINK("https://klasma.github.io/Logging_0480/kartor/A 8387-2024 karta.png", "A 8387-2024")</f>
        <v/>
      </c>
      <c r="Y82">
        <f>HYPERLINK("https://klasma.github.io/Logging_0480/kartor_geotiff/A 8387-2024 georefererad karta.tif", "A 8387-2024")</f>
        <v/>
      </c>
      <c r="AA82">
        <f>HYPERLINK("https://klasma.github.io/Logging_0480/klagomål/A 8387-2024 FSC-klagomål.docx", "A 8387-2024")</f>
        <v/>
      </c>
      <c r="AB82">
        <f>HYPERLINK("https://klasma.github.io/Logging_0480/klagomålsmail/A 8387-2024 FSC-klagomål mail.docx", "A 8387-2024")</f>
        <v/>
      </c>
      <c r="AC82">
        <f>HYPERLINK("https://klasma.github.io/Logging_0480/tillsyn/A 8387-2024 tillsynsbegäran.docx", "A 8387-2024")</f>
        <v/>
      </c>
      <c r="AD82">
        <f>HYPERLINK("https://klasma.github.io/Logging_0480/tillsynsmail/A 8387-2024 tillsynsbegäran mail.docx", "A 8387-2024")</f>
        <v/>
      </c>
      <c r="AE82">
        <f>HYPERLINK("https://klasma.github.io/Logging_0480/fåglar/A 8387-2024 prioriterade fågelarter.docx", "A 8387-2024")</f>
        <v/>
      </c>
    </row>
    <row r="83" ht="15" customHeight="1">
      <c r="A83" t="inlineStr">
        <is>
          <t>A 52684-2021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46286</v>
      </c>
      <c r="F83" t="inlineStr">
        <is>
          <t>SÖDERMANLANDS LÄN</t>
        </is>
      </c>
      <c r="G83" t="inlineStr">
        <is>
          <t>NYKÖPING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Kråka</t>
        </is>
      </c>
      <c r="W83">
        <f>HYPERLINK("https://klasma.github.io/Logging_0480/artfynd/A 52684-2021 artfynd.xlsx", "A 52684-2021")</f>
        <v/>
      </c>
      <c r="X83">
        <f>HYPERLINK("https://klasma.github.io/Logging_0480/kartor/A 52684-2021 karta.png", "A 52684-2021")</f>
        <v/>
      </c>
      <c r="Y83">
        <f>HYPERLINK("https://klasma.github.io/Logging_0480/kartor_geotiff/A 52684-2021 georefererad karta.tif", "A 52684-2021")</f>
        <v/>
      </c>
      <c r="AA83">
        <f>HYPERLINK("https://klasma.github.io/Logging_0480/klagomål/A 52684-2021 FSC-klagomål.docx", "A 52684-2021")</f>
        <v/>
      </c>
      <c r="AB83">
        <f>HYPERLINK("https://klasma.github.io/Logging_0480/klagomålsmail/A 52684-2021 FSC-klagomål mail.docx", "A 52684-2021")</f>
        <v/>
      </c>
      <c r="AC83">
        <f>HYPERLINK("https://klasma.github.io/Logging_0480/tillsyn/A 52684-2021 tillsynsbegäran.docx", "A 52684-2021")</f>
        <v/>
      </c>
      <c r="AD83">
        <f>HYPERLINK("https://klasma.github.io/Logging_0480/tillsynsmail/A 52684-2021 tillsynsbegäran mail.docx", "A 52684-2021")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46286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46286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4903-2022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46286</v>
      </c>
      <c r="F86" t="inlineStr">
        <is>
          <t>SÖDERMANLANDS LÄN</t>
        </is>
      </c>
      <c r="G86" t="inlineStr">
        <is>
          <t>NYKÖPING</t>
        </is>
      </c>
      <c r="I86" t="n">
        <v>2.7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HYPERLINK("https://klasma.github.io/Logging_0480/artfynd/A 4903-2022 artfynd.xlsx", "A 4903-2022")</f>
        <v/>
      </c>
      <c r="X86">
        <f>HYPERLINK("https://klasma.github.io/Logging_0480/kartor/A 4903-2022 karta.png", "A 4903-2022")</f>
        <v/>
      </c>
      <c r="Y86">
        <f>HYPERLINK("https://klasma.github.io/Logging_0480/kartor_geotiff/A 4903-2022 georefererad karta.tif", "A 4903-2022")</f>
        <v/>
      </c>
      <c r="Z86">
        <f>HYPERLINK("https://klasma.github.io/Logging_0480/knärot/A 4903-2022 karta knärot.png", "A 4903-2022")</f>
        <v/>
      </c>
      <c r="AA86">
        <f>HYPERLINK("https://klasma.github.io/Logging_0480/klagomål/A 4903-2022 FSC-klagomål.docx", "A 4903-2022")</f>
        <v/>
      </c>
      <c r="AB86">
        <f>HYPERLINK("https://klasma.github.io/Logging_0480/klagomålsmail/A 4903-2022 FSC-klagomål mail.docx", "A 4903-2022")</f>
        <v/>
      </c>
      <c r="AC86">
        <f>HYPERLINK("https://klasma.github.io/Logging_0480/tillsyn/A 4903-2022 tillsynsbegäran.docx", "A 4903-2022")</f>
        <v/>
      </c>
      <c r="AD86">
        <f>HYPERLINK("https://klasma.github.io/Logging_0480/tillsynsmail/A 4903-2022 tillsynsbegäran mail.docx", "A 4903-2022")</f>
        <v/>
      </c>
    </row>
    <row r="87" ht="15" customHeight="1">
      <c r="A87" t="inlineStr">
        <is>
          <t>A 22495-2026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46286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2.6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Vedticka</t>
        </is>
      </c>
      <c r="W87">
        <f>HYPERLINK("https://klasma.github.io/Logging_0480/artfynd/A 22495-2026 artfynd.xlsx", "A 22495-2026")</f>
        <v/>
      </c>
      <c r="X87">
        <f>HYPERLINK("https://klasma.github.io/Logging_0480/kartor/A 22495-2026 karta.png", "A 22495-2026")</f>
        <v/>
      </c>
      <c r="Y87">
        <f>HYPERLINK("https://klasma.github.io/Logging_0480/kartor_geotiff/A 22495-2026 georefererad karta.tif", "A 22495-2026")</f>
        <v/>
      </c>
      <c r="AA87">
        <f>HYPERLINK("https://klasma.github.io/Logging_0480/klagomål/A 22495-2026 FSC-klagomål.docx", "A 22495-2026")</f>
        <v/>
      </c>
      <c r="AB87">
        <f>HYPERLINK("https://klasma.github.io/Logging_0480/klagomålsmail/A 22495-2026 FSC-klagomål mail.docx", "A 22495-2026")</f>
        <v/>
      </c>
      <c r="AC87">
        <f>HYPERLINK("https://klasma.github.io/Logging_0480/tillsyn/A 22495-2026 tillsynsbegäran.docx", "A 22495-2026")</f>
        <v/>
      </c>
      <c r="AD87">
        <f>HYPERLINK("https://klasma.github.io/Logging_0480/tillsynsmail/A 22495-2026 tillsynsbegäran mail.docx", "A 22495-2026")</f>
        <v/>
      </c>
    </row>
    <row r="88" ht="15" customHeight="1">
      <c r="A88" t="inlineStr">
        <is>
          <t>A 50554-2023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46286</v>
      </c>
      <c r="F88" t="inlineStr">
        <is>
          <t>SÖDERMANLANDS LÄN</t>
        </is>
      </c>
      <c r="G88" t="inlineStr">
        <is>
          <t>NYKÖPING</t>
        </is>
      </c>
      <c r="I88" t="n">
        <v>10.9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HYPERLINK("https://klasma.github.io/Logging_0480/artfynd/A 50554-2023 artfynd.xlsx", "A 50554-2023")</f>
        <v/>
      </c>
      <c r="X88">
        <f>HYPERLINK("https://klasma.github.io/Logging_0480/kartor/A 50554-2023 karta.png", "A 50554-2023")</f>
        <v/>
      </c>
      <c r="Y88">
        <f>HYPERLINK("https://klasma.github.io/Logging_0480/kartor_geotiff/A 50554-2023 georefererad karta.tif", "A 50554-2023")</f>
        <v/>
      </c>
      <c r="AA88">
        <f>HYPERLINK("https://klasma.github.io/Logging_0480/klagomål/A 50554-2023 FSC-klagomål.docx", "A 50554-2023")</f>
        <v/>
      </c>
      <c r="AB88">
        <f>HYPERLINK("https://klasma.github.io/Logging_0480/klagomålsmail/A 50554-2023 FSC-klagomål mail.docx", "A 50554-2023")</f>
        <v/>
      </c>
      <c r="AC88">
        <f>HYPERLINK("https://klasma.github.io/Logging_0480/tillsyn/A 50554-2023 tillsynsbegäran.docx", "A 50554-2023")</f>
        <v/>
      </c>
      <c r="AD88">
        <f>HYPERLINK("https://klasma.github.io/Logging_0480/tillsynsmail/A 50554-2023 tillsynsbegäran mail.docx", "A 50554-2023")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46286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46286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20415-2024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46286</v>
      </c>
      <c r="F91" t="inlineStr">
        <is>
          <t>SÖDERMANLANDS LÄN</t>
        </is>
      </c>
      <c r="G91" t="inlineStr">
        <is>
          <t>NYKÖPING</t>
        </is>
      </c>
      <c r="H91" t="inlineStr">
        <is>
          <t>Kommuner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20415-2024 artfynd.xlsx", "A 20415-2024")</f>
        <v/>
      </c>
      <c r="X91">
        <f>HYPERLINK("https://klasma.github.io/Logging_0480/kartor/A 20415-2024 karta.png", "A 20415-2024")</f>
        <v/>
      </c>
      <c r="Y91">
        <f>HYPERLINK("https://klasma.github.io/Logging_0480/kartor_geotiff/A 20415-2024 georefererad karta.tif", "A 20415-2024")</f>
        <v/>
      </c>
      <c r="AA91">
        <f>HYPERLINK("https://klasma.github.io/Logging_0480/klagomål/A 20415-2024 FSC-klagomål.docx", "A 20415-2024")</f>
        <v/>
      </c>
      <c r="AB91">
        <f>HYPERLINK("https://klasma.github.io/Logging_0480/klagomålsmail/A 20415-2024 FSC-klagomål mail.docx", "A 20415-2024")</f>
        <v/>
      </c>
      <c r="AC91">
        <f>HYPERLINK("https://klasma.github.io/Logging_0480/tillsyn/A 20415-2024 tillsynsbegäran.docx", "A 20415-2024")</f>
        <v/>
      </c>
      <c r="AD91">
        <f>HYPERLINK("https://klasma.github.io/Logging_0480/tillsynsmail/A 20415-2024 tillsynsbegäran mail.docx", "A 20415-2024")</f>
        <v/>
      </c>
      <c r="AE91">
        <f>HYPERLINK("https://klasma.github.io/Logging_0480/fåglar/A 20415-2024 prioriterade fågelarter.docx", "A 20415-2024")</f>
        <v/>
      </c>
    </row>
    <row r="92" ht="15" customHeight="1">
      <c r="A92" t="inlineStr">
        <is>
          <t>A 20425-2024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46286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Skogsalm</t>
        </is>
      </c>
      <c r="W92">
        <f>HYPERLINK("https://klasma.github.io/Logging_0480/artfynd/A 20425-2024 artfynd.xlsx", "A 20425-2024")</f>
        <v/>
      </c>
      <c r="X92">
        <f>HYPERLINK("https://klasma.github.io/Logging_0480/kartor/A 20425-2024 karta.png", "A 20425-2024")</f>
        <v/>
      </c>
      <c r="Y92">
        <f>HYPERLINK("https://klasma.github.io/Logging_0480/kartor_geotiff/A 20425-2024 georefererad karta.tif", "A 20425-2024")</f>
        <v/>
      </c>
      <c r="AA92">
        <f>HYPERLINK("https://klasma.github.io/Logging_0480/klagomål/A 20425-2024 FSC-klagomål.docx", "A 20425-2024")</f>
        <v/>
      </c>
      <c r="AB92">
        <f>HYPERLINK("https://klasma.github.io/Logging_0480/klagomålsmail/A 20425-2024 FSC-klagomål mail.docx", "A 20425-2024")</f>
        <v/>
      </c>
      <c r="AC92">
        <f>HYPERLINK("https://klasma.github.io/Logging_0480/tillsyn/A 20425-2024 tillsynsbegäran.docx", "A 20425-2024")</f>
        <v/>
      </c>
      <c r="AD92">
        <f>HYPERLINK("https://klasma.github.io/Logging_0480/tillsynsmail/A 20425-2024 tillsynsbegäran mail.docx", "A 20425-2024")</f>
        <v/>
      </c>
    </row>
    <row r="93" ht="15" customHeight="1">
      <c r="A93" t="inlineStr">
        <is>
          <t>A 63423-2025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46286</v>
      </c>
      <c r="F93" t="inlineStr">
        <is>
          <t>SÖDERMANLANDS LÄN</t>
        </is>
      </c>
      <c r="G93" t="inlineStr">
        <is>
          <t>NYKÖPING</t>
        </is>
      </c>
      <c r="I93" t="n">
        <v>7.4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HYPERLINK("https://klasma.github.io/Logging_0480/artfynd/A 63423-2025 artfynd.xlsx", "A 63423-2025")</f>
        <v/>
      </c>
      <c r="X93">
        <f>HYPERLINK("https://klasma.github.io/Logging_0480/kartor/A 63423-2025 karta.png", "A 63423-2025")</f>
        <v/>
      </c>
      <c r="Y93">
        <f>HYPERLINK("https://klasma.github.io/Logging_0480/kartor_geotiff/A 63423-2025 georefererad karta.tif", "A 63423-2025")</f>
        <v/>
      </c>
      <c r="AA93">
        <f>HYPERLINK("https://klasma.github.io/Logging_0480/klagomål/A 63423-2025 FSC-klagomål.docx", "A 63423-2025")</f>
        <v/>
      </c>
      <c r="AB93">
        <f>HYPERLINK("https://klasma.github.io/Logging_0480/klagomålsmail/A 63423-2025 FSC-klagomål mail.docx", "A 63423-2025")</f>
        <v/>
      </c>
      <c r="AC93">
        <f>HYPERLINK("https://klasma.github.io/Logging_0480/tillsyn/A 63423-2025 tillsynsbegäran.docx", "A 63423-2025")</f>
        <v/>
      </c>
      <c r="AD93">
        <f>HYPERLINK("https://klasma.github.io/Logging_0480/tillsynsmail/A 63423-2025 tillsynsbegäran mail.docx", "A 63423-2025")</f>
        <v/>
      </c>
    </row>
    <row r="94" ht="15" customHeight="1">
      <c r="A94" t="inlineStr">
        <is>
          <t>A 13724-2024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46286</v>
      </c>
      <c r="F94" t="inlineStr">
        <is>
          <t>SÖDERMANLANDS LÄN</t>
        </is>
      </c>
      <c r="G94" t="inlineStr">
        <is>
          <t>NYKÖPING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Dropptaggsvamp</t>
        </is>
      </c>
      <c r="W94">
        <f>HYPERLINK("https://klasma.github.io/Logging_0480/artfynd/A 13724-2024 artfynd.xlsx", "A 13724-2024")</f>
        <v/>
      </c>
      <c r="X94">
        <f>HYPERLINK("https://klasma.github.io/Logging_0480/kartor/A 13724-2024 karta.png", "A 13724-2024")</f>
        <v/>
      </c>
      <c r="Y94">
        <f>HYPERLINK("https://klasma.github.io/Logging_0480/kartor_geotiff/A 13724-2024 georefererad karta.tif", "A 13724-2024")</f>
        <v/>
      </c>
      <c r="AA94">
        <f>HYPERLINK("https://klasma.github.io/Logging_0480/klagomål/A 13724-2024 FSC-klagomål.docx", "A 13724-2024")</f>
        <v/>
      </c>
      <c r="AB94">
        <f>HYPERLINK("https://klasma.github.io/Logging_0480/klagomålsmail/A 13724-2024 FSC-klagomål mail.docx", "A 13724-2024")</f>
        <v/>
      </c>
      <c r="AC94">
        <f>HYPERLINK("https://klasma.github.io/Logging_0480/tillsyn/A 13724-2024 tillsynsbegäran.docx", "A 13724-2024")</f>
        <v/>
      </c>
      <c r="AD94">
        <f>HYPERLINK("https://klasma.github.io/Logging_0480/tillsynsmail/A 13724-2024 tillsynsbegäran mail.docx", "A 13724-2024")</f>
        <v/>
      </c>
    </row>
    <row r="95" ht="15" customHeight="1">
      <c r="A95" t="inlineStr">
        <is>
          <t>A 2837-2025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46286</v>
      </c>
      <c r="F95" t="inlineStr">
        <is>
          <t>SÖDERMANLANDS LÄN</t>
        </is>
      </c>
      <c r="G95" t="inlineStr">
        <is>
          <t>NYKÖPING</t>
        </is>
      </c>
      <c r="I95" t="n">
        <v>5.2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4</v>
      </c>
      <c r="U95" t="n">
        <v>0</v>
      </c>
      <c r="V95" s="2" t="inlineStr">
        <is>
          <t>Hasselticka</t>
        </is>
      </c>
      <c r="W95">
        <f>HYPERLINK("https://klasma.github.io/Logging_0480/artfynd/A 2837-2025 artfynd.xlsx", "A 2837-2025")</f>
        <v/>
      </c>
      <c r="X95">
        <f>HYPERLINK("https://klasma.github.io/Logging_0480/kartor/A 2837-2025 karta.png", "A 2837-2025")</f>
        <v/>
      </c>
      <c r="Y95">
        <f>HYPERLINK("https://klasma.github.io/Logging_0480/kartor_geotiff/A 2837-2025 georefererad karta.tif", "A 2837-2025")</f>
        <v/>
      </c>
      <c r="AA95">
        <f>HYPERLINK("https://klasma.github.io/Logging_0480/klagomål/A 2837-2025 FSC-klagomål.docx", "A 2837-2025")</f>
        <v/>
      </c>
      <c r="AB95">
        <f>HYPERLINK("https://klasma.github.io/Logging_0480/klagomålsmail/A 2837-2025 FSC-klagomål mail.docx", "A 2837-2025")</f>
        <v/>
      </c>
      <c r="AC95">
        <f>HYPERLINK("https://klasma.github.io/Logging_0480/tillsyn/A 2837-2025 tillsynsbegäran.docx", "A 2837-2025")</f>
        <v/>
      </c>
      <c r="AD95">
        <f>HYPERLINK("https://klasma.github.io/Logging_0480/tillsynsmail/A 2837-2025 tillsynsbegäran mail.docx", "A 2837-2025")</f>
        <v/>
      </c>
    </row>
    <row r="96" ht="15" customHeight="1">
      <c r="A96" t="inlineStr">
        <is>
          <t>A 35318-2024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46286</v>
      </c>
      <c r="F96" t="inlineStr">
        <is>
          <t>SÖDERMANLANDS LÄN</t>
        </is>
      </c>
      <c r="G96" t="inlineStr">
        <is>
          <t>NYKÖPING</t>
        </is>
      </c>
      <c r="I96" t="n">
        <v>7.6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Gullviva</t>
        </is>
      </c>
      <c r="W96">
        <f>HYPERLINK("https://klasma.github.io/Logging_0480/artfynd/A 35318-2024 artfynd.xlsx", "A 35318-2024")</f>
        <v/>
      </c>
      <c r="X96">
        <f>HYPERLINK("https://klasma.github.io/Logging_0480/kartor/A 35318-2024 karta.png", "A 35318-2024")</f>
        <v/>
      </c>
      <c r="Y96">
        <f>HYPERLINK("https://klasma.github.io/Logging_0480/kartor_geotiff/A 35318-2024 georefererad karta.tif", "A 35318-2024")</f>
        <v/>
      </c>
      <c r="AA96">
        <f>HYPERLINK("https://klasma.github.io/Logging_0480/klagomål/A 35318-2024 FSC-klagomål.docx", "A 35318-2024")</f>
        <v/>
      </c>
      <c r="AB96">
        <f>HYPERLINK("https://klasma.github.io/Logging_0480/klagomålsmail/A 35318-2024 FSC-klagomål mail.docx", "A 35318-2024")</f>
        <v/>
      </c>
      <c r="AC96">
        <f>HYPERLINK("https://klasma.github.io/Logging_0480/tillsyn/A 35318-2024 tillsynsbegäran.docx", "A 35318-2024")</f>
        <v/>
      </c>
      <c r="AD96">
        <f>HYPERLINK("https://klasma.github.io/Logging_0480/tillsynsmail/A 35318-2024 tillsynsbegäran mail.docx", "A 35318-2024")</f>
        <v/>
      </c>
    </row>
    <row r="97" ht="15" customHeight="1">
      <c r="A97" t="inlineStr">
        <is>
          <t>A 4305-2026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46286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Tallticka</t>
        </is>
      </c>
      <c r="W97">
        <f>HYPERLINK("https://klasma.github.io/Logging_0480/artfynd/A 4305-2026 artfynd.xlsx", "A 4305-2026")</f>
        <v/>
      </c>
      <c r="X97">
        <f>HYPERLINK("https://klasma.github.io/Logging_0480/kartor/A 4305-2026 karta.png", "A 4305-2026")</f>
        <v/>
      </c>
      <c r="Y97">
        <f>HYPERLINK("https://klasma.github.io/Logging_0480/kartor_geotiff/A 4305-2026 georefererad karta.tif", "A 4305-2026")</f>
        <v/>
      </c>
      <c r="AA97">
        <f>HYPERLINK("https://klasma.github.io/Logging_0480/klagomål/A 4305-2026 FSC-klagomål.docx", "A 4305-2026")</f>
        <v/>
      </c>
      <c r="AB97">
        <f>HYPERLINK("https://klasma.github.io/Logging_0480/klagomålsmail/A 4305-2026 FSC-klagomål mail.docx", "A 4305-2026")</f>
        <v/>
      </c>
      <c r="AC97">
        <f>HYPERLINK("https://klasma.github.io/Logging_0480/tillsyn/A 4305-2026 tillsynsbegäran.docx", "A 4305-2026")</f>
        <v/>
      </c>
      <c r="AD97">
        <f>HYPERLINK("https://klasma.github.io/Logging_0480/tillsynsmail/A 4305-2026 tillsynsbegäran mail.docx", "A 4305-2026")</f>
        <v/>
      </c>
    </row>
    <row r="98" ht="15" customHeight="1">
      <c r="A98" t="inlineStr">
        <is>
          <t>A 28542-2023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46286</v>
      </c>
      <c r="F98" t="inlineStr">
        <is>
          <t>SÖDERMANLANDS LÄN</t>
        </is>
      </c>
      <c r="G98" t="inlineStr">
        <is>
          <t>NYKÖPING</t>
        </is>
      </c>
      <c r="I98" t="n">
        <v>2.8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HYPERLINK("https://klasma.github.io/Logging_0480/artfynd/A 28542-2023 artfynd.xlsx", "A 28542-2023")</f>
        <v/>
      </c>
      <c r="X98">
        <f>HYPERLINK("https://klasma.github.io/Logging_0480/kartor/A 28542-2023 karta.png", "A 28542-2023")</f>
        <v/>
      </c>
      <c r="Y98">
        <f>HYPERLINK("https://klasma.github.io/Logging_0480/kartor_geotiff/A 28542-2023 georefererad karta.tif", "A 28542-2023")</f>
        <v/>
      </c>
      <c r="Z98">
        <f>HYPERLINK("https://klasma.github.io/Logging_0480/knärot/A 28542-2023 karta knärot.png", "A 28542-2023")</f>
        <v/>
      </c>
      <c r="AA98">
        <f>HYPERLINK("https://klasma.github.io/Logging_0480/klagomål/A 28542-2023 FSC-klagomål.docx", "A 28542-2023")</f>
        <v/>
      </c>
      <c r="AB98">
        <f>HYPERLINK("https://klasma.github.io/Logging_0480/klagomålsmail/A 28542-2023 FSC-klagomål mail.docx", "A 28542-2023")</f>
        <v/>
      </c>
      <c r="AC98">
        <f>HYPERLINK("https://klasma.github.io/Logging_0480/tillsyn/A 28542-2023 tillsynsbegäran.docx", "A 28542-2023")</f>
        <v/>
      </c>
      <c r="AD98">
        <f>HYPERLINK("https://klasma.github.io/Logging_0480/tillsynsmail/A 28542-2023 tillsynsbegäran mail.docx", "A 28542-2023")</f>
        <v/>
      </c>
    </row>
    <row r="99" ht="15" customHeight="1">
      <c r="A99" t="inlineStr">
        <is>
          <t>A 10886-2026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46286</v>
      </c>
      <c r="F99" t="inlineStr">
        <is>
          <t>SÖDERMANLANDS LÄN</t>
        </is>
      </c>
      <c r="G99" t="inlineStr">
        <is>
          <t>NYKÖPING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Tibast</t>
        </is>
      </c>
      <c r="W99">
        <f>HYPERLINK("https://klasma.github.io/Logging_0480/artfynd/A 10886-2026 artfynd.xlsx", "A 10886-2026")</f>
        <v/>
      </c>
      <c r="X99">
        <f>HYPERLINK("https://klasma.github.io/Logging_0480/kartor/A 10886-2026 karta.png", "A 10886-2026")</f>
        <v/>
      </c>
      <c r="Y99">
        <f>HYPERLINK("https://klasma.github.io/Logging_0480/kartor_geotiff/A 10886-2026 georefererad karta.tif", "A 10886-2026")</f>
        <v/>
      </c>
      <c r="AA99">
        <f>HYPERLINK("https://klasma.github.io/Logging_0480/klagomål/A 10886-2026 FSC-klagomål.docx", "A 10886-2026")</f>
        <v/>
      </c>
      <c r="AB99">
        <f>HYPERLINK("https://klasma.github.io/Logging_0480/klagomålsmail/A 10886-2026 FSC-klagomål mail.docx", "A 10886-2026")</f>
        <v/>
      </c>
      <c r="AC99">
        <f>HYPERLINK("https://klasma.github.io/Logging_0480/tillsyn/A 10886-2026 tillsynsbegäran.docx", "A 10886-2026")</f>
        <v/>
      </c>
      <c r="AD99">
        <f>HYPERLINK("https://klasma.github.io/Logging_0480/tillsynsmail/A 10886-2026 tillsynsbegäran mail.docx", "A 10886-2026")</f>
        <v/>
      </c>
    </row>
    <row r="100" ht="15" customHeight="1">
      <c r="A100" t="inlineStr">
        <is>
          <t>A 20325-2023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46286</v>
      </c>
      <c r="F100" t="inlineStr">
        <is>
          <t>SÖDERMANLANDS LÄN</t>
        </is>
      </c>
      <c r="G100" t="inlineStr">
        <is>
          <t>NYKÖPING</t>
        </is>
      </c>
      <c r="I100" t="n">
        <v>0.2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Kamjordstjärna</t>
        </is>
      </c>
      <c r="W100">
        <f>HYPERLINK("https://klasma.github.io/Logging_0480/artfynd/A 20325-2023 artfynd.xlsx", "A 20325-2023")</f>
        <v/>
      </c>
      <c r="X100">
        <f>HYPERLINK("https://klasma.github.io/Logging_0480/kartor/A 20325-2023 karta.png", "A 20325-2023")</f>
        <v/>
      </c>
      <c r="Y100">
        <f>HYPERLINK("https://klasma.github.io/Logging_0480/kartor_geotiff/A 20325-2023 georefererad karta.tif", "A 20325-2023")</f>
        <v/>
      </c>
      <c r="AA100">
        <f>HYPERLINK("https://klasma.github.io/Logging_0480/klagomål/A 20325-2023 FSC-klagomål.docx", "A 20325-2023")</f>
        <v/>
      </c>
      <c r="AB100">
        <f>HYPERLINK("https://klasma.github.io/Logging_0480/klagomålsmail/A 20325-2023 FSC-klagomål mail.docx", "A 20325-2023")</f>
        <v/>
      </c>
      <c r="AC100">
        <f>HYPERLINK("https://klasma.github.io/Logging_0480/tillsyn/A 20325-2023 tillsynsbegäran.docx", "A 20325-2023")</f>
        <v/>
      </c>
      <c r="AD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9973-2022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46286</v>
      </c>
      <c r="F101" t="inlineStr">
        <is>
          <t>SÖDERMANLANDS LÄN</t>
        </is>
      </c>
      <c r="G101" t="inlineStr">
        <is>
          <t>NYKÖPING</t>
        </is>
      </c>
      <c r="I101" t="n">
        <v>18.3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 sköldmossa</t>
        </is>
      </c>
      <c r="W101">
        <f>HYPERLINK("https://klasma.github.io/Logging_0480/artfynd/A 9973-2022 artfynd.xlsx", "A 9973-2022")</f>
        <v/>
      </c>
      <c r="X101">
        <f>HYPERLINK("https://klasma.github.io/Logging_0480/kartor/A 9973-2022 karta.png", "A 9973-2022")</f>
        <v/>
      </c>
      <c r="Y101">
        <f>HYPERLINK("https://klasma.github.io/Logging_0480/kartor_geotiff/A 9973-2022 georefererad karta.tif", "A 9973-2022")</f>
        <v/>
      </c>
      <c r="AA101">
        <f>HYPERLINK("https://klasma.github.io/Logging_0480/klagomål/A 9973-2022 FSC-klagomål.docx", "A 9973-2022")</f>
        <v/>
      </c>
      <c r="AB101">
        <f>HYPERLINK("https://klasma.github.io/Logging_0480/klagomålsmail/A 9973-2022 FSC-klagomål mail.docx", "A 9973-2022")</f>
        <v/>
      </c>
      <c r="AC101">
        <f>HYPERLINK("https://klasma.github.io/Logging_0480/tillsyn/A 9973-2022 tillsynsbegäran.docx", "A 9973-2022")</f>
        <v/>
      </c>
      <c r="AD101">
        <f>HYPERLINK("https://klasma.github.io/Logging_0480/tillsynsmail/A 9973-2022 tillsynsbegäran mail.docx", "A 9973-2022")</f>
        <v/>
      </c>
    </row>
    <row r="102" ht="15" customHeight="1">
      <c r="A102" t="inlineStr">
        <is>
          <t>A 13038-2024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46286</v>
      </c>
      <c r="F102" t="inlineStr">
        <is>
          <t>SÖDERMANLANDS LÄN</t>
        </is>
      </c>
      <c r="G102" t="inlineStr">
        <is>
          <t>NYKÖPING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Knärot</t>
        </is>
      </c>
      <c r="W102">
        <f>HYPERLINK("https://klasma.github.io/Logging_0480/artfynd/A 13038-2024 artfynd.xlsx", "A 13038-2024")</f>
        <v/>
      </c>
      <c r="X102">
        <f>HYPERLINK("https://klasma.github.io/Logging_0480/kartor/A 13038-2024 karta.png", "A 13038-2024")</f>
        <v/>
      </c>
      <c r="Y102">
        <f>HYPERLINK("https://klasma.github.io/Logging_0480/kartor_geotiff/A 13038-2024 georefererad karta.tif", "A 13038-2024")</f>
        <v/>
      </c>
      <c r="Z102">
        <f>HYPERLINK("https://klasma.github.io/Logging_0480/knärot/A 13038-2024 karta knärot.png", "A 13038-2024")</f>
        <v/>
      </c>
      <c r="AA102">
        <f>HYPERLINK("https://klasma.github.io/Logging_0480/klagomål/A 13038-2024 FSC-klagomål.docx", "A 13038-2024")</f>
        <v/>
      </c>
      <c r="AB102">
        <f>HYPERLINK("https://klasma.github.io/Logging_0480/klagomålsmail/A 13038-2024 FSC-klagomål mail.docx", "A 13038-2024")</f>
        <v/>
      </c>
      <c r="AC102">
        <f>HYPERLINK("https://klasma.github.io/Logging_0480/tillsyn/A 13038-2024 tillsynsbegäran.docx", "A 13038-2024")</f>
        <v/>
      </c>
      <c r="AD102">
        <f>HYPERLINK("https://klasma.github.io/Logging_0480/tillsynsmail/A 13038-2024 tillsynsbegäran mail.docx", "A 13038-2024")</f>
        <v/>
      </c>
    </row>
    <row r="103" ht="15" customHeight="1">
      <c r="A103" t="inlineStr">
        <is>
          <t>A 51258-2024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46286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2.6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51258-2024 artfynd.xlsx", "A 51258-2024")</f>
        <v/>
      </c>
      <c r="X103">
        <f>HYPERLINK("https://klasma.github.io/Logging_0480/kartor/A 51258-2024 karta.png", "A 51258-2024")</f>
        <v/>
      </c>
      <c r="Y103">
        <f>HYPERLINK("https://klasma.github.io/Logging_0480/kartor_geotiff/A 51258-2024 georefererad karta.tif", "A 51258-2024")</f>
        <v/>
      </c>
      <c r="AA103">
        <f>HYPERLINK("https://klasma.github.io/Logging_0480/klagomål/A 51258-2024 FSC-klagomål.docx", "A 51258-2024")</f>
        <v/>
      </c>
      <c r="AB103">
        <f>HYPERLINK("https://klasma.github.io/Logging_0480/klagomålsmail/A 51258-2024 FSC-klagomål mail.docx", "A 51258-2024")</f>
        <v/>
      </c>
      <c r="AC103">
        <f>HYPERLINK("https://klasma.github.io/Logging_0480/tillsyn/A 51258-2024 tillsynsbegäran.docx", "A 51258-2024")</f>
        <v/>
      </c>
      <c r="AD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5385-2026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46050</v>
      </c>
      <c r="E104" s="1" t="n">
        <v>46286</v>
      </c>
      <c r="F104" t="inlineStr">
        <is>
          <t>SÖDERMANLANDS LÄN</t>
        </is>
      </c>
      <c r="G104" t="inlineStr">
        <is>
          <t>NYKÖPING</t>
        </is>
      </c>
      <c r="I104" t="n">
        <v>3.5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HYPERLINK("https://klasma.github.io/Logging_0480/artfynd/A 5385-2026 artfynd.xlsx", "A 5385-2026")</f>
        <v/>
      </c>
      <c r="X104">
        <f>HYPERLINK("https://klasma.github.io/Logging_0480/kartor/A 5385-2026 karta.png", "A 5385-2026")</f>
        <v/>
      </c>
      <c r="Y104">
        <f>HYPERLINK("https://klasma.github.io/Logging_0480/kartor_geotiff/A 5385-2026 georefererad karta.tif", "A 5385-2026")</f>
        <v/>
      </c>
      <c r="AA104">
        <f>HYPERLINK("https://klasma.github.io/Logging_0480/klagomål/A 5385-2026 FSC-klagomål.docx", "A 5385-2026")</f>
        <v/>
      </c>
      <c r="AB104">
        <f>HYPERLINK("https://klasma.github.io/Logging_0480/klagomålsmail/A 5385-2026 FSC-klagomål mail.docx", "A 5385-2026")</f>
        <v/>
      </c>
      <c r="AC104">
        <f>HYPERLINK("https://klasma.github.io/Logging_0480/tillsyn/A 5385-2026 tillsynsbegäran.docx", "A 5385-2026")</f>
        <v/>
      </c>
      <c r="AD104">
        <f>HYPERLINK("https://klasma.github.io/Logging_0480/tillsynsmail/A 5385-2026 tillsynsbegäran mail.docx", "A 5385-2026")</f>
        <v/>
      </c>
      <c r="AE104">
        <f>HYPERLINK("https://klasma.github.io/Logging_0480/fåglar/A 5385-2026 prioriterade fågelarter.docx", "A 5385-2026")</f>
        <v/>
      </c>
    </row>
    <row r="105" ht="15" customHeight="1">
      <c r="A105" t="inlineStr">
        <is>
          <t>A 35122-2023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46286</v>
      </c>
      <c r="F105" t="inlineStr">
        <is>
          <t>SÖDERMANLANDS LÄN</t>
        </is>
      </c>
      <c r="G105" t="inlineStr">
        <is>
          <t>NYKÖPING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HYPERLINK("https://klasma.github.io/Logging_0480/artfynd/A 35122-2023 artfynd.xlsx", "A 35122-2023")</f>
        <v/>
      </c>
      <c r="X105">
        <f>HYPERLINK("https://klasma.github.io/Logging_0480/kartor/A 35122-2023 karta.png", "A 35122-2023")</f>
        <v/>
      </c>
      <c r="Y105">
        <f>HYPERLINK("https://klasma.github.io/Logging_0480/kartor_geotiff/A 35122-2023 georefererad karta.tif", "A 35122-2023")</f>
        <v/>
      </c>
      <c r="AA105">
        <f>HYPERLINK("https://klasma.github.io/Logging_0480/klagomål/A 35122-2023 FSC-klagomål.docx", "A 35122-2023")</f>
        <v/>
      </c>
      <c r="AB105">
        <f>HYPERLINK("https://klasma.github.io/Logging_0480/klagomålsmail/A 35122-2023 FSC-klagomål mail.docx", "A 35122-2023")</f>
        <v/>
      </c>
      <c r="AC105">
        <f>HYPERLINK("https://klasma.github.io/Logging_0480/tillsyn/A 35122-2023 tillsynsbegäran.docx", "A 35122-2023")</f>
        <v/>
      </c>
      <c r="AD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31182-2026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46217</v>
      </c>
      <c r="E106" s="1" t="n">
        <v>46286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HYPERLINK("https://klasma.github.io/Logging_0480/artfynd/A 31182-2026 artfynd.xlsx", "A 31182-2026")</f>
        <v/>
      </c>
      <c r="X106">
        <f>HYPERLINK("https://klasma.github.io/Logging_0480/kartor/A 31182-2026 karta.png", "A 31182-2026")</f>
        <v/>
      </c>
      <c r="Y106">
        <f>HYPERLINK("https://klasma.github.io/Logging_0480/kartor_geotiff/A 31182-2026 georefererad karta.tif", "A 31182-2026")</f>
        <v/>
      </c>
      <c r="AA106">
        <f>HYPERLINK("https://klasma.github.io/Logging_0480/klagomål/A 31182-2026 FSC-klagomål.docx", "A 31182-2026")</f>
        <v/>
      </c>
      <c r="AB106">
        <f>HYPERLINK("https://klasma.github.io/Logging_0480/klagomålsmail/A 31182-2026 FSC-klagomål mail.docx", "A 31182-2026")</f>
        <v/>
      </c>
      <c r="AC106">
        <f>HYPERLINK("https://klasma.github.io/Logging_0480/tillsyn/A 31182-2026 tillsynsbegäran.docx", "A 31182-2026")</f>
        <v/>
      </c>
      <c r="AD106">
        <f>HYPERLINK("https://klasma.github.io/Logging_0480/tillsynsmail/A 31182-2026 tillsynsbegäran mail.docx", "A 31182-2026")</f>
        <v/>
      </c>
    </row>
    <row r="107" ht="15" customHeight="1">
      <c r="A107" t="inlineStr">
        <is>
          <t>A 31998-2026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46232</v>
      </c>
      <c r="E107" s="1" t="n">
        <v>46286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12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31998-2026 artfynd.xlsx", "A 31998-2026")</f>
        <v/>
      </c>
      <c r="X107">
        <f>HYPERLINK("https://klasma.github.io/Logging_0480/kartor/A 31998-2026 karta.png", "A 31998-2026")</f>
        <v/>
      </c>
      <c r="Y107">
        <f>HYPERLINK("https://klasma.github.io/Logging_0480/kartor_geotiff/A 31998-2026 georefererad karta.tif", "A 31998-2026")</f>
        <v/>
      </c>
      <c r="AA107">
        <f>HYPERLINK("https://klasma.github.io/Logging_0480/klagomål/A 31998-2026 FSC-klagomål.docx", "A 31998-2026")</f>
        <v/>
      </c>
      <c r="AB107">
        <f>HYPERLINK("https://klasma.github.io/Logging_0480/klagomålsmail/A 31998-2026 FSC-klagomål mail.docx", "A 31998-2026")</f>
        <v/>
      </c>
      <c r="AC107">
        <f>HYPERLINK("https://klasma.github.io/Logging_0480/tillsyn/A 31998-2026 tillsynsbegäran.docx", "A 31998-2026")</f>
        <v/>
      </c>
      <c r="AD107">
        <f>HYPERLINK("https://klasma.github.io/Logging_0480/tillsynsmail/A 31998-2026 tillsynsbegäran mail.docx", "A 31998-2026")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46286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32627-2026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46286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HYPERLINK("https://klasma.github.io/Logging_0480/artfynd/A 32627-2026 artfynd.xlsx", "A 32627-2026")</f>
        <v/>
      </c>
      <c r="X109">
        <f>HYPERLINK("https://klasma.github.io/Logging_0480/kartor/A 32627-2026 karta.png", "A 32627-2026")</f>
        <v/>
      </c>
      <c r="Y109">
        <f>HYPERLINK("https://klasma.github.io/Logging_0480/kartor_geotiff/A 32627-2026 georefererad karta.tif", "A 32627-2026")</f>
        <v/>
      </c>
      <c r="AA109">
        <f>HYPERLINK("https://klasma.github.io/Logging_0480/klagomål/A 32627-2026 FSC-klagomål.docx", "A 32627-2026")</f>
        <v/>
      </c>
      <c r="AB109">
        <f>HYPERLINK("https://klasma.github.io/Logging_0480/klagomålsmail/A 32627-2026 FSC-klagomål mail.docx", "A 32627-2026")</f>
        <v/>
      </c>
      <c r="AC109">
        <f>HYPERLINK("https://klasma.github.io/Logging_0480/tillsyn/A 32627-2026 tillsynsbegäran.docx", "A 32627-2026")</f>
        <v/>
      </c>
      <c r="AD109">
        <f>HYPERLINK("https://klasma.github.io/Logging_0480/tillsynsmail/A 32627-2026 tillsynsbegäran mail.docx", "A 32627-2026")</f>
        <v/>
      </c>
    </row>
    <row r="110" ht="15" customHeight="1">
      <c r="A110" t="inlineStr">
        <is>
          <t>A 28704-2025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46286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Tallticka</t>
        </is>
      </c>
      <c r="W110">
        <f>HYPERLINK("https://klasma.github.io/Logging_0480/artfynd/A 28704-2025 artfynd.xlsx", "A 28704-2025")</f>
        <v/>
      </c>
      <c r="X110">
        <f>HYPERLINK("https://klasma.github.io/Logging_0480/kartor/A 28704-2025 karta.png", "A 28704-2025")</f>
        <v/>
      </c>
      <c r="Y110">
        <f>HYPERLINK("https://klasma.github.io/Logging_0480/kartor_geotiff/A 28704-2025 georefererad karta.tif", "A 28704-2025")</f>
        <v/>
      </c>
      <c r="AA110">
        <f>HYPERLINK("https://klasma.github.io/Logging_0480/klagomål/A 28704-2025 FSC-klagomål.docx", "A 28704-2025")</f>
        <v/>
      </c>
      <c r="AB110">
        <f>HYPERLINK("https://klasma.github.io/Logging_0480/klagomålsmail/A 28704-2025 FSC-klagomål mail.docx", "A 28704-2025")</f>
        <v/>
      </c>
      <c r="AC110">
        <f>HYPERLINK("https://klasma.github.io/Logging_0480/tillsyn/A 28704-2025 tillsynsbegäran.docx", "A 28704-2025")</f>
        <v/>
      </c>
      <c r="AD110">
        <f>HYPERLINK("https://klasma.github.io/Logging_0480/tillsynsmail/A 28704-2025 tillsynsbegäran mail.docx", "A 28704-2025")</f>
        <v/>
      </c>
    </row>
    <row r="111" ht="15" customHeight="1">
      <c r="A111" t="inlineStr">
        <is>
          <t>A 7270-2025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45702</v>
      </c>
      <c r="E111" s="1" t="n">
        <v>46286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Övriga Aktiebolag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Järpe</t>
        </is>
      </c>
      <c r="W111">
        <f>HYPERLINK("https://klasma.github.io/Logging_0480/artfynd/A 7270-2025 artfynd.xlsx", "A 7270-2025")</f>
        <v/>
      </c>
      <c r="X111">
        <f>HYPERLINK("https://klasma.github.io/Logging_0480/kartor/A 7270-2025 karta.png", "A 7270-2025")</f>
        <v/>
      </c>
      <c r="Y111">
        <f>HYPERLINK("https://klasma.github.io/Logging_0480/kartor_geotiff/A 7270-2025 georefererad karta.tif", "A 7270-2025")</f>
        <v/>
      </c>
      <c r="AA111">
        <f>HYPERLINK("https://klasma.github.io/Logging_0480/klagomål/A 7270-2025 FSC-klagomål.docx", "A 7270-2025")</f>
        <v/>
      </c>
      <c r="AB111">
        <f>HYPERLINK("https://klasma.github.io/Logging_0480/klagomålsmail/A 7270-2025 FSC-klagomål mail.docx", "A 7270-2025")</f>
        <v/>
      </c>
      <c r="AC111">
        <f>HYPERLINK("https://klasma.github.io/Logging_0480/tillsyn/A 7270-2025 tillsynsbegäran.docx", "A 7270-2025")</f>
        <v/>
      </c>
      <c r="AD111">
        <f>HYPERLINK("https://klasma.github.io/Logging_0480/tillsynsmail/A 7270-2025 tillsynsbegäran mail.docx", "A 7270-2025")</f>
        <v/>
      </c>
      <c r="AE111">
        <f>HYPERLINK("https://klasma.github.io/Logging_0480/fåglar/A 7270-2025 prioriterade fågelarter.docx", "A 7270-2025")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46286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46286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46286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46286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46286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46286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46286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46286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46286</v>
      </c>
      <c r="F120" t="inlineStr">
        <is>
          <t>SÖDERMANLANDS LÄN</t>
        </is>
      </c>
      <c r="G120" t="inlineStr">
        <is>
          <t>NYKÖPING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46286</v>
      </c>
      <c r="F121" t="inlineStr">
        <is>
          <t>SÖDERMANLANDS LÄN</t>
        </is>
      </c>
      <c r="G121" t="inlineStr">
        <is>
          <t>NYKÖPING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46286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46286</v>
      </c>
      <c r="F123" t="inlineStr">
        <is>
          <t>SÖDERMANLANDS LÄN</t>
        </is>
      </c>
      <c r="G123" t="inlineStr">
        <is>
          <t>NYKÖPING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46286</v>
      </c>
      <c r="F124" t="inlineStr">
        <is>
          <t>SÖDERMANLANDS LÄN</t>
        </is>
      </c>
      <c r="G124" t="inlineStr">
        <is>
          <t>NYKÖPING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46286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46286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46286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46286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46286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46286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46286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46286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46286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46286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46286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46286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46286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46286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46286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46286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46286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46286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46286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46286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46286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46286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46286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46286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46286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46286</v>
      </c>
      <c r="F150" t="inlineStr">
        <is>
          <t>SÖDERMANLANDS LÄN</t>
        </is>
      </c>
      <c r="G150" t="inlineStr">
        <is>
          <t>NYKÖPING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46286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46286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46286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46286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46286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46286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46286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46286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46286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46286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46286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46286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46286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46286</v>
      </c>
      <c r="F164" t="inlineStr">
        <is>
          <t>SÖDERMANLANDS LÄN</t>
        </is>
      </c>
      <c r="G164" t="inlineStr">
        <is>
          <t>NYKÖPING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46286</v>
      </c>
      <c r="F165" t="inlineStr">
        <is>
          <t>SÖDERMANLANDS LÄN</t>
        </is>
      </c>
      <c r="G165" t="inlineStr">
        <is>
          <t>NYKÖPING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46286</v>
      </c>
      <c r="F166" t="inlineStr">
        <is>
          <t>SÖDERMANLANDS LÄN</t>
        </is>
      </c>
      <c r="G166" t="inlineStr">
        <is>
          <t>NYKÖPING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46286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46286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46286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46286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46286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46286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46286</v>
      </c>
      <c r="F173" t="inlineStr">
        <is>
          <t>SÖDERMANLANDS LÄN</t>
        </is>
      </c>
      <c r="G173" t="inlineStr">
        <is>
          <t>NYKÖPING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46286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46286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46286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46286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46286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46286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46286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46286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44652</v>
      </c>
      <c r="E182" s="1" t="n">
        <v>46286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46286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46286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46286</v>
      </c>
      <c r="F185" t="inlineStr">
        <is>
          <t>SÖDERMANLANDS LÄN</t>
        </is>
      </c>
      <c r="G185" t="inlineStr">
        <is>
          <t>NYKÖPING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46286</v>
      </c>
      <c r="F186" t="inlineStr">
        <is>
          <t>SÖDERMANLANDS LÄN</t>
        </is>
      </c>
      <c r="G186" t="inlineStr">
        <is>
          <t>NYKÖPING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46286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46286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46286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46286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44748</v>
      </c>
      <c r="E191" s="1" t="n">
        <v>46286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Holmen skog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44719</v>
      </c>
      <c r="E192" s="1" t="n">
        <v>46286</v>
      </c>
      <c r="F192" t="inlineStr">
        <is>
          <t>SÖDERMANLANDS LÄN</t>
        </is>
      </c>
      <c r="G192" t="inlineStr">
        <is>
          <t>NYKÖPING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46286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46286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46286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46286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46286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46286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46286</v>
      </c>
      <c r="F199" t="inlineStr">
        <is>
          <t>SÖDERMANLANDS LÄN</t>
        </is>
      </c>
      <c r="G199" t="inlineStr">
        <is>
          <t>NYKÖPING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46286</v>
      </c>
      <c r="F200" t="inlineStr">
        <is>
          <t>SÖDERMANLANDS LÄN</t>
        </is>
      </c>
      <c r="G200" t="inlineStr">
        <is>
          <t>NYKÖPING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46286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44505</v>
      </c>
      <c r="E202" s="1" t="n">
        <v>46286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44627</v>
      </c>
      <c r="E203" s="1" t="n">
        <v>46286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52045-2021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46286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52055-2021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44462</v>
      </c>
      <c r="E205" s="1" t="n">
        <v>46286</v>
      </c>
      <c r="F205" t="inlineStr">
        <is>
          <t>SÖDERMANLANDS LÄN</t>
        </is>
      </c>
      <c r="G205" t="inlineStr">
        <is>
          <t>NYKÖPING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46286</v>
      </c>
      <c r="F206" t="inlineStr">
        <is>
          <t>SÖDERMANLANDS LÄN</t>
        </is>
      </c>
      <c r="G206" t="inlineStr">
        <is>
          <t>NYKÖPING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44774</v>
      </c>
      <c r="E207" s="1" t="n">
        <v>46286</v>
      </c>
      <c r="F207" t="inlineStr">
        <is>
          <t>SÖDERMANLANDS LÄN</t>
        </is>
      </c>
      <c r="G207" t="inlineStr">
        <is>
          <t>NYKÖPING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45268</v>
      </c>
      <c r="E208" s="1" t="n">
        <v>46286</v>
      </c>
      <c r="F208" t="inlineStr">
        <is>
          <t>SÖDERMANLANDS LÄN</t>
        </is>
      </c>
      <c r="G208" t="inlineStr">
        <is>
          <t>NYKÖPING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45370</v>
      </c>
      <c r="E209" s="1" t="n">
        <v>46286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Kommuner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45424</v>
      </c>
      <c r="E210" s="1" t="n">
        <v>46286</v>
      </c>
      <c r="F210" t="inlineStr">
        <is>
          <t>SÖDERMANLANDS LÄN</t>
        </is>
      </c>
      <c r="G210" t="inlineStr">
        <is>
          <t>NYKÖPING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65109-2021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44515</v>
      </c>
      <c r="E211" s="1" t="n">
        <v>46286</v>
      </c>
      <c r="F211" t="inlineStr">
        <is>
          <t>SÖDERMANLANDS LÄN</t>
        </is>
      </c>
      <c r="G211" t="inlineStr">
        <is>
          <t>NYKÖPING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46286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44491</v>
      </c>
      <c r="E213" s="1" t="n">
        <v>46286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46286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64099-2021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44509</v>
      </c>
      <c r="E215" s="1" t="n">
        <v>46286</v>
      </c>
      <c r="F215" t="inlineStr">
        <is>
          <t>SÖDERMANLANDS LÄN</t>
        </is>
      </c>
      <c r="G215" t="inlineStr">
        <is>
          <t>NYKÖPING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46286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46286</v>
      </c>
      <c r="F217" t="inlineStr">
        <is>
          <t>SÖDERMANLANDS LÄN</t>
        </is>
      </c>
      <c r="G217" t="inlineStr">
        <is>
          <t>NYKÖPING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46286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46286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45143</v>
      </c>
      <c r="E220" s="1" t="n">
        <v>46286</v>
      </c>
      <c r="F220" t="inlineStr">
        <is>
          <t>SÖDERMANLANDS LÄN</t>
        </is>
      </c>
      <c r="G220" t="inlineStr">
        <is>
          <t>NYKÖPING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46286</v>
      </c>
      <c r="F221" t="inlineStr">
        <is>
          <t>SÖDERMANLANDS LÄN</t>
        </is>
      </c>
      <c r="G221" t="inlineStr">
        <is>
          <t>NYKÖPING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44579</v>
      </c>
      <c r="E222" s="1" t="n">
        <v>46286</v>
      </c>
      <c r="F222" t="inlineStr">
        <is>
          <t>SÖDERMANLANDS LÄN</t>
        </is>
      </c>
      <c r="G222" t="inlineStr">
        <is>
          <t>NYKÖPING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44837</v>
      </c>
      <c r="E223" s="1" t="n">
        <v>46286</v>
      </c>
      <c r="F223" t="inlineStr">
        <is>
          <t>SÖDERMANLANDS LÄN</t>
        </is>
      </c>
      <c r="G223" t="inlineStr">
        <is>
          <t>NYKÖPING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46286</v>
      </c>
      <c r="F224" t="inlineStr">
        <is>
          <t>SÖDERMANLANDS LÄN</t>
        </is>
      </c>
      <c r="G224" t="inlineStr">
        <is>
          <t>NYKÖPING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44620</v>
      </c>
      <c r="E225" s="1" t="n">
        <v>46286</v>
      </c>
      <c r="F225" t="inlineStr">
        <is>
          <t>SÖDERMANLANDS LÄN</t>
        </is>
      </c>
      <c r="G225" t="inlineStr">
        <is>
          <t>NYKÖPING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44582</v>
      </c>
      <c r="E226" s="1" t="n">
        <v>46286</v>
      </c>
      <c r="F226" t="inlineStr">
        <is>
          <t>SÖDERMANLANDS LÄN</t>
        </is>
      </c>
      <c r="G226" t="inlineStr">
        <is>
          <t>NYKÖPING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46286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46286</v>
      </c>
      <c r="F228" t="inlineStr">
        <is>
          <t>SÖDERMANLANDS LÄN</t>
        </is>
      </c>
      <c r="G228" t="inlineStr">
        <is>
          <t>NYKÖPING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46286</v>
      </c>
      <c r="F229" t="inlineStr">
        <is>
          <t>SÖDERMANLANDS LÄN</t>
        </is>
      </c>
      <c r="G229" t="inlineStr">
        <is>
          <t>NYKÖPING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46286</v>
      </c>
      <c r="F230" t="inlineStr">
        <is>
          <t>SÖDERMANLANDS LÄN</t>
        </is>
      </c>
      <c r="G230" t="inlineStr">
        <is>
          <t>NYKÖPING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46286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44191-2022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44839</v>
      </c>
      <c r="E232" s="1" t="n">
        <v>46286</v>
      </c>
      <c r="F232" t="inlineStr">
        <is>
          <t>SÖDERMANLANDS LÄN</t>
        </is>
      </c>
      <c r="G232" t="inlineStr">
        <is>
          <t>NYKÖPING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45037</v>
      </c>
      <c r="E233" s="1" t="n">
        <v>46286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45419</v>
      </c>
      <c r="E234" s="1" t="n">
        <v>46286</v>
      </c>
      <c r="F234" t="inlineStr">
        <is>
          <t>SÖDERMANLANDS LÄN</t>
        </is>
      </c>
      <c r="G234" t="inlineStr">
        <is>
          <t>NYKÖPING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45419</v>
      </c>
      <c r="E235" s="1" t="n">
        <v>46286</v>
      </c>
      <c r="F235" t="inlineStr">
        <is>
          <t>SÖDERMANLANDS LÄN</t>
        </is>
      </c>
      <c r="G235" t="inlineStr">
        <is>
          <t>NYKÖPING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46286</v>
      </c>
      <c r="F236" t="inlineStr">
        <is>
          <t>SÖDERMANLANDS LÄN</t>
        </is>
      </c>
      <c r="G236" t="inlineStr">
        <is>
          <t>NYKÖPING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45044</v>
      </c>
      <c r="E237" s="1" t="n">
        <v>46286</v>
      </c>
      <c r="F237" t="inlineStr">
        <is>
          <t>SÖDERMANLANDS LÄN</t>
        </is>
      </c>
      <c r="G237" t="inlineStr">
        <is>
          <t>NYKÖPING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46286</v>
      </c>
      <c r="F238" t="inlineStr">
        <is>
          <t>SÖDERMANLANDS LÄN</t>
        </is>
      </c>
      <c r="G238" t="inlineStr">
        <is>
          <t>NYKÖPING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45424</v>
      </c>
      <c r="E239" s="1" t="n">
        <v>46286</v>
      </c>
      <c r="F239" t="inlineStr">
        <is>
          <t>SÖDERMANLANDS LÄN</t>
        </is>
      </c>
      <c r="G239" t="inlineStr">
        <is>
          <t>NYKÖPING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46286</v>
      </c>
      <c r="F240" t="inlineStr">
        <is>
          <t>SÖDERMANLANDS LÄN</t>
        </is>
      </c>
      <c r="G240" t="inlineStr">
        <is>
          <t>NYKÖPING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44733</v>
      </c>
      <c r="E241" s="1" t="n">
        <v>46286</v>
      </c>
      <c r="F241" t="inlineStr">
        <is>
          <t>SÖDERMANLANDS LÄN</t>
        </is>
      </c>
      <c r="G241" t="inlineStr">
        <is>
          <t>NYKÖPING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46286</v>
      </c>
      <c r="F242" t="inlineStr">
        <is>
          <t>SÖDERMANLANDS LÄN</t>
        </is>
      </c>
      <c r="G242" t="inlineStr">
        <is>
          <t>NYKÖPING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46286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46286</v>
      </c>
      <c r="F244" t="inlineStr">
        <is>
          <t>SÖDERMANLANDS LÄN</t>
        </is>
      </c>
      <c r="G244" t="inlineStr">
        <is>
          <t>NYKÖPING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44844</v>
      </c>
      <c r="E245" s="1" t="n">
        <v>46286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46286</v>
      </c>
      <c r="F246" t="inlineStr">
        <is>
          <t>SÖDERMANLANDS LÄN</t>
        </is>
      </c>
      <c r="G246" t="inlineStr">
        <is>
          <t>NYKÖPING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45146</v>
      </c>
      <c r="E247" s="1" t="n">
        <v>46286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46286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46286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Övriga Aktiebolag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45443</v>
      </c>
      <c r="E250" s="1" t="n">
        <v>46286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46286</v>
      </c>
      <c r="F251" t="inlineStr">
        <is>
          <t>SÖDERMANLANDS LÄN</t>
        </is>
      </c>
      <c r="G251" t="inlineStr">
        <is>
          <t>NYKÖPING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46286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46286</v>
      </c>
      <c r="F253" t="inlineStr">
        <is>
          <t>SÖDERMANLANDS LÄN</t>
        </is>
      </c>
      <c r="G253" t="inlineStr">
        <is>
          <t>NYKÖPING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46286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46286</v>
      </c>
      <c r="F255" t="inlineStr">
        <is>
          <t>SÖDERMANLANDS LÄN</t>
        </is>
      </c>
      <c r="G255" t="inlineStr">
        <is>
          <t>NYKÖPING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44990</v>
      </c>
      <c r="E256" s="1" t="n">
        <v>46286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Allmännings- och besparingsskogar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72117-2021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44543</v>
      </c>
      <c r="E257" s="1" t="n">
        <v>46286</v>
      </c>
      <c r="F257" t="inlineStr">
        <is>
          <t>SÖDERMANLANDS LÄN</t>
        </is>
      </c>
      <c r="G257" t="inlineStr">
        <is>
          <t>NYKÖPING</t>
        </is>
      </c>
      <c r="I257" t="n">
        <v>14.9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67736-2021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44525</v>
      </c>
      <c r="E258" s="1" t="n">
        <v>46286</v>
      </c>
      <c r="F258" t="inlineStr">
        <is>
          <t>SÖDERMANLANDS LÄN</t>
        </is>
      </c>
      <c r="G258" t="inlineStr">
        <is>
          <t>NYKÖPING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46286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Kommuner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37361-2024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46286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44825</v>
      </c>
      <c r="E261" s="1" t="n">
        <v>46286</v>
      </c>
      <c r="F261" t="inlineStr">
        <is>
          <t>SÖDERMANLANDS LÄN</t>
        </is>
      </c>
      <c r="G261" t="inlineStr">
        <is>
          <t>NYKÖPING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44965</v>
      </c>
      <c r="E262" s="1" t="n">
        <v>46286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46286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Kommuner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38149-2024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45545</v>
      </c>
      <c r="E264" s="1" t="n">
        <v>46286</v>
      </c>
      <c r="F264" t="inlineStr">
        <is>
          <t>SÖDERMANLANDS LÄN</t>
        </is>
      </c>
      <c r="G264" t="inlineStr">
        <is>
          <t>NYKÖPING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46286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44879</v>
      </c>
      <c r="E266" s="1" t="n">
        <v>46286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Övriga Aktiebolag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46286</v>
      </c>
      <c r="F267" t="inlineStr">
        <is>
          <t>SÖDERMANLANDS LÄN</t>
        </is>
      </c>
      <c r="G267" t="inlineStr">
        <is>
          <t>NYKÖPING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44623</v>
      </c>
      <c r="E268" s="1" t="n">
        <v>46286</v>
      </c>
      <c r="F268" t="inlineStr">
        <is>
          <t>SÖDERMANLANDS LÄN</t>
        </is>
      </c>
      <c r="G268" t="inlineStr">
        <is>
          <t>NYKÖPING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46286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46286</v>
      </c>
      <c r="F270" t="inlineStr">
        <is>
          <t>SÖDERMANLANDS LÄN</t>
        </is>
      </c>
      <c r="G270" t="inlineStr">
        <is>
          <t>NYKÖPING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46286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44649</v>
      </c>
      <c r="E272" s="1" t="n">
        <v>46286</v>
      </c>
      <c r="F272" t="inlineStr">
        <is>
          <t>SÖDERMANLANDS LÄN</t>
        </is>
      </c>
      <c r="G272" t="inlineStr">
        <is>
          <t>NYKÖPING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44744</v>
      </c>
      <c r="E273" s="1" t="n">
        <v>46286</v>
      </c>
      <c r="F273" t="inlineStr">
        <is>
          <t>SÖDERMANLANDS LÄN</t>
        </is>
      </c>
      <c r="G273" t="inlineStr">
        <is>
          <t>NYKÖPING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45315</v>
      </c>
      <c r="E274" s="1" t="n">
        <v>46286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Kyrkan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16981-2023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45033</v>
      </c>
      <c r="E275" s="1" t="n">
        <v>46286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46286</v>
      </c>
      <c r="F276" t="inlineStr">
        <is>
          <t>SÖDERMANLANDS LÄN</t>
        </is>
      </c>
      <c r="G276" t="inlineStr">
        <is>
          <t>NYKÖPING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45603</v>
      </c>
      <c r="E277" s="1" t="n">
        <v>46286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46286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53335-2023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45229</v>
      </c>
      <c r="E279" s="1" t="n">
        <v>46286</v>
      </c>
      <c r="F279" t="inlineStr">
        <is>
          <t>SÖDERMANLANDS LÄN</t>
        </is>
      </c>
      <c r="G279" t="inlineStr">
        <is>
          <t>NYKÖPING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46286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46286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46286</v>
      </c>
      <c r="F282" t="inlineStr">
        <is>
          <t>SÖDERMANLANDS LÄN</t>
        </is>
      </c>
      <c r="G282" t="inlineStr">
        <is>
          <t>NYKÖPING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45160</v>
      </c>
      <c r="E283" s="1" t="n">
        <v>46286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Kommuner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46286</v>
      </c>
      <c r="F284" t="inlineStr">
        <is>
          <t>SÖDERMANLANDS LÄN</t>
        </is>
      </c>
      <c r="G284" t="inlineStr">
        <is>
          <t>NYKÖPING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63882-2023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45278</v>
      </c>
      <c r="E285" s="1" t="n">
        <v>46286</v>
      </c>
      <c r="F285" t="inlineStr">
        <is>
          <t>SÖDERMANLANDS LÄN</t>
        </is>
      </c>
      <c r="G285" t="inlineStr">
        <is>
          <t>NYKÖPING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45518</v>
      </c>
      <c r="E286" s="1" t="n">
        <v>46286</v>
      </c>
      <c r="F286" t="inlineStr">
        <is>
          <t>SÖDERMANLANDS LÄN</t>
        </is>
      </c>
      <c r="G286" t="inlineStr">
        <is>
          <t>NYKÖPING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44830</v>
      </c>
      <c r="E287" s="1" t="n">
        <v>46286</v>
      </c>
      <c r="F287" t="inlineStr">
        <is>
          <t>SÖDERMANLANDS LÄN</t>
        </is>
      </c>
      <c r="G287" t="inlineStr">
        <is>
          <t>NYKÖPING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46286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46286</v>
      </c>
      <c r="F289" t="inlineStr">
        <is>
          <t>SÖDERMANLANDS LÄN</t>
        </is>
      </c>
      <c r="G289" t="inlineStr">
        <is>
          <t>NYKÖPING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44976</v>
      </c>
      <c r="E290" s="1" t="n">
        <v>46286</v>
      </c>
      <c r="F290" t="inlineStr">
        <is>
          <t>SÖDERMANLANDS LÄN</t>
        </is>
      </c>
      <c r="G290" t="inlineStr">
        <is>
          <t>NYKÖPING</t>
        </is>
      </c>
      <c r="I290" t="n">
        <v>11.1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44867</v>
      </c>
      <c r="E291" s="1" t="n">
        <v>46286</v>
      </c>
      <c r="F291" t="inlineStr">
        <is>
          <t>SÖDERMANLANDS LÄN</t>
        </is>
      </c>
      <c r="G291" t="inlineStr">
        <is>
          <t>NYKÖPING</t>
        </is>
      </c>
      <c r="I291" t="n">
        <v>13.4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45216</v>
      </c>
      <c r="E292" s="1" t="n">
        <v>46286</v>
      </c>
      <c r="F292" t="inlineStr">
        <is>
          <t>SÖDERMANLANDS LÄN</t>
        </is>
      </c>
      <c r="G292" t="inlineStr">
        <is>
          <t>NYKÖPING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18604-2023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45043</v>
      </c>
      <c r="E293" s="1" t="n">
        <v>46286</v>
      </c>
      <c r="F293" t="inlineStr">
        <is>
          <t>SÖDERMANLANDS LÄN</t>
        </is>
      </c>
      <c r="G293" t="inlineStr">
        <is>
          <t>NYKÖPING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46286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Kommuner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46286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45329</v>
      </c>
      <c r="E296" s="1" t="n">
        <v>46286</v>
      </c>
      <c r="F296" t="inlineStr">
        <is>
          <t>SÖDERMANLANDS LÄN</t>
        </is>
      </c>
      <c r="G296" t="inlineStr">
        <is>
          <t>NYKÖPING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46286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Övriga Aktiebolag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44510</v>
      </c>
      <c r="E298" s="1" t="n">
        <v>46286</v>
      </c>
      <c r="F298" t="inlineStr">
        <is>
          <t>SÖDERMANLANDS LÄN</t>
        </is>
      </c>
      <c r="G298" t="inlineStr">
        <is>
          <t>NYKÖPING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46286</v>
      </c>
      <c r="F299" t="inlineStr">
        <is>
          <t>SÖDERMANLANDS LÄN</t>
        </is>
      </c>
      <c r="G299" t="inlineStr">
        <is>
          <t>NYKÖPING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17234-2022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44678</v>
      </c>
      <c r="E300" s="1" t="n">
        <v>46286</v>
      </c>
      <c r="F300" t="inlineStr">
        <is>
          <t>SÖDERMANLANDS LÄN</t>
        </is>
      </c>
      <c r="G300" t="inlineStr">
        <is>
          <t>NYKÖPING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43306-2023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46286</v>
      </c>
      <c r="F301" t="inlineStr">
        <is>
          <t>SÖDERMANLANDS LÄN</t>
        </is>
      </c>
      <c r="G301" t="inlineStr">
        <is>
          <t>NYKÖPING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46286</v>
      </c>
      <c r="F302" t="inlineStr">
        <is>
          <t>SÖDERMANLANDS LÄN</t>
        </is>
      </c>
      <c r="G302" t="inlineStr">
        <is>
          <t>NYKÖPING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46286</v>
      </c>
      <c r="F303" t="inlineStr">
        <is>
          <t>SÖDERMANLANDS LÄN</t>
        </is>
      </c>
      <c r="G303" t="inlineStr">
        <is>
          <t>NYKÖPING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44579</v>
      </c>
      <c r="E304" s="1" t="n">
        <v>46286</v>
      </c>
      <c r="F304" t="inlineStr">
        <is>
          <t>SÖDERMANLANDS LÄN</t>
        </is>
      </c>
      <c r="G304" t="inlineStr">
        <is>
          <t>NYKÖPING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45082</v>
      </c>
      <c r="E305" s="1" t="n">
        <v>46286</v>
      </c>
      <c r="F305" t="inlineStr">
        <is>
          <t>SÖDERMANLANDS LÄN</t>
        </is>
      </c>
      <c r="G305" t="inlineStr">
        <is>
          <t>NYKÖPING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46286</v>
      </c>
      <c r="F306" t="inlineStr">
        <is>
          <t>SÖDERMANLANDS LÄN</t>
        </is>
      </c>
      <c r="G306" t="inlineStr">
        <is>
          <t>NYKÖPING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45379</v>
      </c>
      <c r="E307" s="1" t="n">
        <v>46286</v>
      </c>
      <c r="F307" t="inlineStr">
        <is>
          <t>SÖDERMANLANDS LÄN</t>
        </is>
      </c>
      <c r="G307" t="inlineStr">
        <is>
          <t>NYKÖPING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44810</v>
      </c>
      <c r="E308" s="1" t="n">
        <v>46286</v>
      </c>
      <c r="F308" t="inlineStr">
        <is>
          <t>SÖDERMANLANDS LÄN</t>
        </is>
      </c>
      <c r="G308" t="inlineStr">
        <is>
          <t>NYKÖPING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9842-2022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44620</v>
      </c>
      <c r="E309" s="1" t="n">
        <v>46286</v>
      </c>
      <c r="F309" t="inlineStr">
        <is>
          <t>SÖDERMANLANDS LÄN</t>
        </is>
      </c>
      <c r="G309" t="inlineStr">
        <is>
          <t>NYKÖPING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45001</v>
      </c>
      <c r="E310" s="1" t="n">
        <v>46286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Kyrkan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46286</v>
      </c>
      <c r="F311" t="inlineStr">
        <is>
          <t>SÖDERMANLANDS LÄN</t>
        </is>
      </c>
      <c r="G311" t="inlineStr">
        <is>
          <t>NYKÖPING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37907-2022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46286</v>
      </c>
      <c r="F312" t="inlineStr">
        <is>
          <t>SÖDERMANLANDS LÄN</t>
        </is>
      </c>
      <c r="G312" t="inlineStr">
        <is>
          <t>NYKÖPING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46286</v>
      </c>
      <c r="F313" t="inlineStr">
        <is>
          <t>SÖDERMANLANDS LÄN</t>
        </is>
      </c>
      <c r="G313" t="inlineStr">
        <is>
          <t>NYKÖPING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46286</v>
      </c>
      <c r="F314" t="inlineStr">
        <is>
          <t>SÖDERMANLANDS LÄN</t>
        </is>
      </c>
      <c r="G314" t="inlineStr">
        <is>
          <t>NYKÖPING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6392-2023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44965</v>
      </c>
      <c r="E315" s="1" t="n">
        <v>46286</v>
      </c>
      <c r="F315" t="inlineStr">
        <is>
          <t>SÖDERMANLANDS LÄN</t>
        </is>
      </c>
      <c r="G315" t="inlineStr">
        <is>
          <t>NYKÖPING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31392-2022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44774</v>
      </c>
      <c r="E316" s="1" t="n">
        <v>46286</v>
      </c>
      <c r="F316" t="inlineStr">
        <is>
          <t>SÖDERMANLANDS LÄN</t>
        </is>
      </c>
      <c r="G316" t="inlineStr">
        <is>
          <t>NYKÖPING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56268-2022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44890</v>
      </c>
      <c r="E317" s="1" t="n">
        <v>46286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45729</v>
      </c>
      <c r="E318" s="1" t="n">
        <v>46286</v>
      </c>
      <c r="F318" t="inlineStr">
        <is>
          <t>SÖDERMANLANDS LÄN</t>
        </is>
      </c>
      <c r="G318" t="inlineStr">
        <is>
          <t>NYKÖPING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45729</v>
      </c>
      <c r="E319" s="1" t="n">
        <v>46286</v>
      </c>
      <c r="F319" t="inlineStr">
        <is>
          <t>SÖDERMANLANDS LÄN</t>
        </is>
      </c>
      <c r="G319" t="inlineStr">
        <is>
          <t>NYKÖPING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44838</v>
      </c>
      <c r="E320" s="1" t="n">
        <v>46286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44820-2022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46286</v>
      </c>
      <c r="F321" t="inlineStr">
        <is>
          <t>SÖDERMANLANDS LÄN</t>
        </is>
      </c>
      <c r="G321" t="inlineStr">
        <is>
          <t>NYKÖPING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44840</v>
      </c>
      <c r="E322" s="1" t="n">
        <v>46286</v>
      </c>
      <c r="F322" t="inlineStr">
        <is>
          <t>SÖDERMANLANDS LÄN</t>
        </is>
      </c>
      <c r="G322" t="inlineStr">
        <is>
          <t>NYKÖPING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39120-2022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46286</v>
      </c>
      <c r="F323" t="inlineStr">
        <is>
          <t>SÖDERMANLANDS LÄN</t>
        </is>
      </c>
      <c r="G323" t="inlineStr">
        <is>
          <t>NYKÖPING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44711</v>
      </c>
      <c r="E324" s="1" t="n">
        <v>46286</v>
      </c>
      <c r="F324" t="inlineStr">
        <is>
          <t>SÖDERMANLANDS LÄN</t>
        </is>
      </c>
      <c r="G324" t="inlineStr">
        <is>
          <t>NYKÖPING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46286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Kyrkan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10283-2024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45365</v>
      </c>
      <c r="E326" s="1" t="n">
        <v>46286</v>
      </c>
      <c r="F326" t="inlineStr">
        <is>
          <t>SÖDERMANLANDS LÄN</t>
        </is>
      </c>
      <c r="G326" t="inlineStr">
        <is>
          <t>NYKÖPING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6976-2023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44967</v>
      </c>
      <c r="E327" s="1" t="n">
        <v>46286</v>
      </c>
      <c r="F327" t="inlineStr">
        <is>
          <t>SÖDERMANLANDS LÄN</t>
        </is>
      </c>
      <c r="G327" t="inlineStr">
        <is>
          <t>NYKÖPING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46286</v>
      </c>
      <c r="F328" t="inlineStr">
        <is>
          <t>SÖDERMANLANDS LÄN</t>
        </is>
      </c>
      <c r="G328" t="inlineStr">
        <is>
          <t>NYKÖPING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46286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46286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44960</v>
      </c>
      <c r="E331" s="1" t="n">
        <v>46286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46286</v>
      </c>
      <c r="F332" t="inlineStr">
        <is>
          <t>SÖDERMANLANDS LÄN</t>
        </is>
      </c>
      <c r="G332" t="inlineStr">
        <is>
          <t>NYKÖPING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68401-2021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44529</v>
      </c>
      <c r="E333" s="1" t="n">
        <v>46286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Övriga Aktiebolag</t>
        </is>
      </c>
      <c r="I333" t="n">
        <v>16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34218-2024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45524</v>
      </c>
      <c r="E334" s="1" t="n">
        <v>46286</v>
      </c>
      <c r="F334" t="inlineStr">
        <is>
          <t>SÖDERMANLANDS LÄN</t>
        </is>
      </c>
      <c r="G334" t="inlineStr">
        <is>
          <t>NYKÖPING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46286</v>
      </c>
      <c r="F335" t="inlineStr">
        <is>
          <t>SÖDERMANLANDS LÄN</t>
        </is>
      </c>
      <c r="G335" t="inlineStr">
        <is>
          <t>NYKÖPING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47370-2022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44853</v>
      </c>
      <c r="E336" s="1" t="n">
        <v>46286</v>
      </c>
      <c r="F336" t="inlineStr">
        <is>
          <t>SÖDERMANLANDS LÄN</t>
        </is>
      </c>
      <c r="G336" t="inlineStr">
        <is>
          <t>NYKÖPING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44880</v>
      </c>
      <c r="E337" s="1" t="n">
        <v>46286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46286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39068-2025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46286</v>
      </c>
      <c r="F339" t="inlineStr">
        <is>
          <t>SÖDERMANLANDS LÄN</t>
        </is>
      </c>
      <c r="G339" t="inlineStr">
        <is>
          <t>NYKÖPING</t>
        </is>
      </c>
      <c r="I339" t="n">
        <v>15.2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46286</v>
      </c>
      <c r="F340" t="inlineStr">
        <is>
          <t>SÖDERMANLANDS LÄN</t>
        </is>
      </c>
      <c r="G340" t="inlineStr">
        <is>
          <t>NYKÖPING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44690</v>
      </c>
      <c r="E341" s="1" t="n">
        <v>46286</v>
      </c>
      <c r="F341" t="inlineStr">
        <is>
          <t>SÖDERMANLANDS LÄN</t>
        </is>
      </c>
      <c r="G341" t="inlineStr">
        <is>
          <t>NYKÖPING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28973-2023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46286</v>
      </c>
      <c r="F342" t="inlineStr">
        <is>
          <t>SÖDERMANLANDS LÄN</t>
        </is>
      </c>
      <c r="G342" t="inlineStr">
        <is>
          <t>NYKÖPING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70092-2021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46286</v>
      </c>
      <c r="F343" t="inlineStr">
        <is>
          <t>SÖDERMANLANDS LÄN</t>
        </is>
      </c>
      <c r="G343" t="inlineStr">
        <is>
          <t>NYKÖPING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45702</v>
      </c>
      <c r="E344" s="1" t="n">
        <v>46286</v>
      </c>
      <c r="F344" t="inlineStr">
        <is>
          <t>SÖDERMANLANDS LÄN</t>
        </is>
      </c>
      <c r="G344" t="inlineStr">
        <is>
          <t>NYKÖPING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45559</v>
      </c>
      <c r="E345" s="1" t="n">
        <v>46286</v>
      </c>
      <c r="F345" t="inlineStr">
        <is>
          <t>SÖDERMANLANDS LÄN</t>
        </is>
      </c>
      <c r="G345" t="inlineStr">
        <is>
          <t>NYKÖPING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44767</v>
      </c>
      <c r="E346" s="1" t="n">
        <v>46286</v>
      </c>
      <c r="F346" t="inlineStr">
        <is>
          <t>SÖDERMANLANDS LÄN</t>
        </is>
      </c>
      <c r="G346" t="inlineStr">
        <is>
          <t>NYKÖPING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45187</v>
      </c>
      <c r="E347" s="1" t="n">
        <v>46286</v>
      </c>
      <c r="F347" t="inlineStr">
        <is>
          <t>SÖDERMANLANDS LÄN</t>
        </is>
      </c>
      <c r="G347" t="inlineStr">
        <is>
          <t>NYKÖPING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44676</v>
      </c>
      <c r="E348" s="1" t="n">
        <v>46286</v>
      </c>
      <c r="F348" t="inlineStr">
        <is>
          <t>SÖDERMANLANDS LÄN</t>
        </is>
      </c>
      <c r="G348" t="inlineStr">
        <is>
          <t>NYKÖPING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45854</v>
      </c>
      <c r="E349" s="1" t="n">
        <v>46286</v>
      </c>
      <c r="F349" t="inlineStr">
        <is>
          <t>SÖDERMANLANDS LÄN</t>
        </is>
      </c>
      <c r="G349" t="inlineStr">
        <is>
          <t>NYKÖPING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46286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46286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Kommuner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32836-2022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44784</v>
      </c>
      <c r="E352" s="1" t="n">
        <v>46286</v>
      </c>
      <c r="F352" t="inlineStr">
        <is>
          <t>SÖDERMANLANDS LÄN</t>
        </is>
      </c>
      <c r="G352" t="inlineStr">
        <is>
          <t>NYKÖPING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73877-2021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44553</v>
      </c>
      <c r="E353" s="1" t="n">
        <v>46286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46286</v>
      </c>
      <c r="F354" t="inlineStr">
        <is>
          <t>SÖDERMANLANDS LÄN</t>
        </is>
      </c>
      <c r="G354" t="inlineStr">
        <is>
          <t>NYKÖPING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46286</v>
      </c>
      <c r="F355" t="inlineStr">
        <is>
          <t>SÖDERMANLANDS LÄN</t>
        </is>
      </c>
      <c r="G355" t="inlineStr">
        <is>
          <t>NYKÖPING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46286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44825</v>
      </c>
      <c r="E357" s="1" t="n">
        <v>46286</v>
      </c>
      <c r="F357" t="inlineStr">
        <is>
          <t>SÖDERMANLANDS LÄN</t>
        </is>
      </c>
      <c r="G357" t="inlineStr">
        <is>
          <t>NYKÖPING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44988</v>
      </c>
      <c r="E358" s="1" t="n">
        <v>46286</v>
      </c>
      <c r="F358" t="inlineStr">
        <is>
          <t>SÖDERMANLANDS LÄN</t>
        </is>
      </c>
      <c r="G358" t="inlineStr">
        <is>
          <t>NYKÖPING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46286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47390-2025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45930</v>
      </c>
      <c r="E360" s="1" t="n">
        <v>46286</v>
      </c>
      <c r="F360" t="inlineStr">
        <is>
          <t>SÖDERMANLANDS LÄN</t>
        </is>
      </c>
      <c r="G360" t="inlineStr">
        <is>
          <t>NYKÖPING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46286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45216</v>
      </c>
      <c r="E362" s="1" t="n">
        <v>46286</v>
      </c>
      <c r="F362" t="inlineStr">
        <is>
          <t>SÖDERMANLANDS LÄN</t>
        </is>
      </c>
      <c r="G362" t="inlineStr">
        <is>
          <t>NYKÖPING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46286</v>
      </c>
      <c r="F363" t="inlineStr">
        <is>
          <t>SÖDERMANLANDS LÄN</t>
        </is>
      </c>
      <c r="G363" t="inlineStr">
        <is>
          <t>NYKÖPING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46286</v>
      </c>
      <c r="F364" t="inlineStr">
        <is>
          <t>SÖDERMANLANDS LÄN</t>
        </is>
      </c>
      <c r="G364" t="inlineStr">
        <is>
          <t>NYKÖPING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46286</v>
      </c>
      <c r="F365" t="inlineStr">
        <is>
          <t>SÖDERMANLANDS LÄN</t>
        </is>
      </c>
      <c r="G365" t="inlineStr">
        <is>
          <t>NYKÖPING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44995</v>
      </c>
      <c r="E366" s="1" t="n">
        <v>46286</v>
      </c>
      <c r="F366" t="inlineStr">
        <is>
          <t>SÖDERMANLANDS LÄN</t>
        </is>
      </c>
      <c r="G366" t="inlineStr">
        <is>
          <t>NYKÖPING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46286</v>
      </c>
      <c r="F367" t="inlineStr">
        <is>
          <t>SÖDERMANLANDS LÄN</t>
        </is>
      </c>
      <c r="G367" t="inlineStr">
        <is>
          <t>NYKÖPING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46286</v>
      </c>
      <c r="F368" t="inlineStr">
        <is>
          <t>SÖDERMANLANDS LÄN</t>
        </is>
      </c>
      <c r="G368" t="inlineStr">
        <is>
          <t>NYKÖPING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46286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44634</v>
      </c>
      <c r="E370" s="1" t="n">
        <v>46286</v>
      </c>
      <c r="F370" t="inlineStr">
        <is>
          <t>SÖDERMANLANDS LÄN</t>
        </is>
      </c>
      <c r="G370" t="inlineStr">
        <is>
          <t>NYKÖPING</t>
        </is>
      </c>
      <c r="I370" t="n">
        <v>11.4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45076</v>
      </c>
      <c r="E371" s="1" t="n">
        <v>46286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Övriga Aktiebolag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46286</v>
      </c>
      <c r="F372" t="inlineStr">
        <is>
          <t>SÖDERMANLANDS LÄN</t>
        </is>
      </c>
      <c r="G372" t="inlineStr">
        <is>
          <t>NYKÖPING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45072</v>
      </c>
      <c r="E373" s="1" t="n">
        <v>46286</v>
      </c>
      <c r="F373" t="inlineStr">
        <is>
          <t>SÖDERMANLANDS LÄN</t>
        </is>
      </c>
      <c r="G373" t="inlineStr">
        <is>
          <t>NYKÖPING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45123-2025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46286</v>
      </c>
      <c r="F374" t="inlineStr">
        <is>
          <t>SÖDERMANLANDS LÄN</t>
        </is>
      </c>
      <c r="G374" t="inlineStr">
        <is>
          <t>NYKÖPING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49223-2022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46286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Övriga statliga verk och myndigheter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45350</v>
      </c>
      <c r="E376" s="1" t="n">
        <v>46286</v>
      </c>
      <c r="F376" t="inlineStr">
        <is>
          <t>SÖDERMANLANDS LÄN</t>
        </is>
      </c>
      <c r="G376" t="inlineStr">
        <is>
          <t>NYKÖPING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46286</v>
      </c>
      <c r="F377" t="inlineStr">
        <is>
          <t>SÖDERMANLANDS LÄN</t>
        </is>
      </c>
      <c r="G377" t="inlineStr">
        <is>
          <t>NYKÖPING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46286</v>
      </c>
      <c r="F378" t="inlineStr">
        <is>
          <t>SÖDERMANLANDS LÄN</t>
        </is>
      </c>
      <c r="G378" t="inlineStr">
        <is>
          <t>NYKÖPING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45855</v>
      </c>
      <c r="E379" s="1" t="n">
        <v>46286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46286</v>
      </c>
      <c r="F380" t="inlineStr">
        <is>
          <t>SÖDERMANLANDS LÄN</t>
        </is>
      </c>
      <c r="G380" t="inlineStr">
        <is>
          <t>NYKÖPING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45027</v>
      </c>
      <c r="E381" s="1" t="n">
        <v>46286</v>
      </c>
      <c r="F381" t="inlineStr">
        <is>
          <t>SÖDERMANLANDS LÄN</t>
        </is>
      </c>
      <c r="G381" t="inlineStr">
        <is>
          <t>NYKÖPING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18204-2025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45761</v>
      </c>
      <c r="E382" s="1" t="n">
        <v>46286</v>
      </c>
      <c r="F382" t="inlineStr">
        <is>
          <t>SÖDERMANLANDS LÄN</t>
        </is>
      </c>
      <c r="G382" t="inlineStr">
        <is>
          <t>NYKÖPING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45343</v>
      </c>
      <c r="E383" s="1" t="n">
        <v>46286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35415-2025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45855</v>
      </c>
      <c r="E384" s="1" t="n">
        <v>46286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46145</v>
      </c>
      <c r="E385" s="1" t="n">
        <v>46286</v>
      </c>
      <c r="F385" t="inlineStr">
        <is>
          <t>SÖDERMANLANDS LÄN</t>
        </is>
      </c>
      <c r="G385" t="inlineStr">
        <is>
          <t>NYKÖPING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44943</v>
      </c>
      <c r="E386" s="1" t="n">
        <v>46286</v>
      </c>
      <c r="F386" t="inlineStr">
        <is>
          <t>SÖDERMANLANDS LÄN</t>
        </is>
      </c>
      <c r="G386" t="inlineStr">
        <is>
          <t>NYKÖPING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44943</v>
      </c>
      <c r="E387" s="1" t="n">
        <v>46286</v>
      </c>
      <c r="F387" t="inlineStr">
        <is>
          <t>SÖDERMANLANDS LÄN</t>
        </is>
      </c>
      <c r="G387" t="inlineStr">
        <is>
          <t>NYKÖPING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45855</v>
      </c>
      <c r="E388" s="1" t="n">
        <v>46286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46286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13963-2022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44650</v>
      </c>
      <c r="E390" s="1" t="n">
        <v>46286</v>
      </c>
      <c r="F390" t="inlineStr">
        <is>
          <t>SÖDERMANLANDS LÄN</t>
        </is>
      </c>
      <c r="G390" t="inlineStr">
        <is>
          <t>NYKÖPING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46286</v>
      </c>
      <c r="F391" t="inlineStr">
        <is>
          <t>SÖDERMANLANDS LÄN</t>
        </is>
      </c>
      <c r="G391" t="inlineStr">
        <is>
          <t>NYKÖPING</t>
        </is>
      </c>
      <c r="I391" t="n">
        <v>13.1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45364</v>
      </c>
      <c r="E392" s="1" t="n">
        <v>46286</v>
      </c>
      <c r="F392" t="inlineStr">
        <is>
          <t>SÖDERMANLANDS LÄN</t>
        </is>
      </c>
      <c r="G392" t="inlineStr">
        <is>
          <t>NYKÖPING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45410</v>
      </c>
      <c r="E393" s="1" t="n">
        <v>46286</v>
      </c>
      <c r="F393" t="inlineStr">
        <is>
          <t>SÖDERMANLANDS LÄN</t>
        </is>
      </c>
      <c r="G393" t="inlineStr">
        <is>
          <t>NYKÖPING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29551-2023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46286</v>
      </c>
      <c r="F394" t="inlineStr">
        <is>
          <t>SÖDERMANLANDS LÄN</t>
        </is>
      </c>
      <c r="G394" t="inlineStr">
        <is>
          <t>NYKÖPING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21020-2026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46145</v>
      </c>
      <c r="E395" s="1" t="n">
        <v>46286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71115-2021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46286</v>
      </c>
      <c r="F396" t="inlineStr">
        <is>
          <t>SÖDERMANLANDS LÄN</t>
        </is>
      </c>
      <c r="G396" t="inlineStr">
        <is>
          <t>NYKÖPING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46286</v>
      </c>
      <c r="F397" t="inlineStr">
        <is>
          <t>SÖDERMANLANDS LÄN</t>
        </is>
      </c>
      <c r="G397" t="inlineStr">
        <is>
          <t>NYKÖPING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46286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32594-2022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46286</v>
      </c>
      <c r="F399" t="inlineStr">
        <is>
          <t>SÖDERMANLANDS LÄN</t>
        </is>
      </c>
      <c r="G399" t="inlineStr">
        <is>
          <t>NYKÖPING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46286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Övriga Aktiebolag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43585-2022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44837</v>
      </c>
      <c r="E401" s="1" t="n">
        <v>46286</v>
      </c>
      <c r="F401" t="inlineStr">
        <is>
          <t>SÖDERMANLANDS LÄN</t>
        </is>
      </c>
      <c r="G401" t="inlineStr">
        <is>
          <t>NYKÖPING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46149</v>
      </c>
      <c r="E402" s="1" t="n">
        <v>46286</v>
      </c>
      <c r="F402" t="inlineStr">
        <is>
          <t>SÖDERMANLANDS LÄN</t>
        </is>
      </c>
      <c r="G402" t="inlineStr">
        <is>
          <t>NYKÖPING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46286</v>
      </c>
      <c r="F403" t="inlineStr">
        <is>
          <t>SÖDERMANLANDS LÄN</t>
        </is>
      </c>
      <c r="G403" t="inlineStr">
        <is>
          <t>NYKÖPING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45352</v>
      </c>
      <c r="E404" s="1" t="n">
        <v>46286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49613-2025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46286</v>
      </c>
      <c r="F405" t="inlineStr">
        <is>
          <t>SÖDERMANLANDS LÄN</t>
        </is>
      </c>
      <c r="G405" t="inlineStr">
        <is>
          <t>NYKÖPING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46286</v>
      </c>
      <c r="F406" t="inlineStr">
        <is>
          <t>SÖDERMANLANDS LÄN</t>
        </is>
      </c>
      <c r="G406" t="inlineStr">
        <is>
          <t>NYKÖPING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44837</v>
      </c>
      <c r="E407" s="1" t="n">
        <v>46286</v>
      </c>
      <c r="F407" t="inlineStr">
        <is>
          <t>SÖDERMANLANDS LÄN</t>
        </is>
      </c>
      <c r="G407" t="inlineStr">
        <is>
          <t>NYKÖPING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43657-2022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44837</v>
      </c>
      <c r="E408" s="1" t="n">
        <v>46286</v>
      </c>
      <c r="F408" t="inlineStr">
        <is>
          <t>SÖDERMANLANDS LÄN</t>
        </is>
      </c>
      <c r="G408" t="inlineStr">
        <is>
          <t>NYKÖPING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44988</v>
      </c>
      <c r="E409" s="1" t="n">
        <v>46286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46286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46286</v>
      </c>
      <c r="F411" t="inlineStr">
        <is>
          <t>SÖDERMANLANDS LÄN</t>
        </is>
      </c>
      <c r="G411" t="inlineStr">
        <is>
          <t>NYKÖPING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45729</v>
      </c>
      <c r="E412" s="1" t="n">
        <v>46286</v>
      </c>
      <c r="F412" t="inlineStr">
        <is>
          <t>SÖDERMANLANDS LÄN</t>
        </is>
      </c>
      <c r="G412" t="inlineStr">
        <is>
          <t>NYKÖPING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46286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46286</v>
      </c>
      <c r="F414" t="inlineStr">
        <is>
          <t>SÖDERMANLANDS LÄN</t>
        </is>
      </c>
      <c r="G414" t="inlineStr">
        <is>
          <t>NYKÖPING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52373-2023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45224</v>
      </c>
      <c r="E415" s="1" t="n">
        <v>46286</v>
      </c>
      <c r="F415" t="inlineStr">
        <is>
          <t>SÖDERMANLANDS LÄN</t>
        </is>
      </c>
      <c r="G415" t="inlineStr">
        <is>
          <t>NYKÖPING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52374-2023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45224</v>
      </c>
      <c r="E416" s="1" t="n">
        <v>46286</v>
      </c>
      <c r="F416" t="inlineStr">
        <is>
          <t>SÖDERMANLANDS LÄN</t>
        </is>
      </c>
      <c r="G416" t="inlineStr">
        <is>
          <t>NYKÖPING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46286</v>
      </c>
      <c r="F417" t="inlineStr">
        <is>
          <t>SÖDERMANLANDS LÄN</t>
        </is>
      </c>
      <c r="G417" t="inlineStr">
        <is>
          <t>NYKÖPING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45945</v>
      </c>
      <c r="E418" s="1" t="n">
        <v>46286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Kyrkan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46286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Kyrkan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46286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45900</v>
      </c>
      <c r="E421" s="1" t="n">
        <v>46286</v>
      </c>
      <c r="F421" t="inlineStr">
        <is>
          <t>SÖDERMANLANDS LÄN</t>
        </is>
      </c>
      <c r="G421" t="inlineStr">
        <is>
          <t>NYKÖPING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45349</v>
      </c>
      <c r="E422" s="1" t="n">
        <v>46286</v>
      </c>
      <c r="F422" t="inlineStr">
        <is>
          <t>SÖDERMANLANDS LÄN</t>
        </is>
      </c>
      <c r="G422" t="inlineStr">
        <is>
          <t>NYKÖPING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68041-2021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44525</v>
      </c>
      <c r="E423" s="1" t="n">
        <v>46286</v>
      </c>
      <c r="F423" t="inlineStr">
        <is>
          <t>SÖDERMANLANDS LÄN</t>
        </is>
      </c>
      <c r="G423" t="inlineStr">
        <is>
          <t>NYKÖPING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45384</v>
      </c>
      <c r="E424" s="1" t="n">
        <v>46286</v>
      </c>
      <c r="F424" t="inlineStr">
        <is>
          <t>SÖDERMANLANDS LÄN</t>
        </is>
      </c>
      <c r="G424" t="inlineStr">
        <is>
          <t>NYKÖPING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44957</v>
      </c>
      <c r="E425" s="1" t="n">
        <v>46286</v>
      </c>
      <c r="F425" t="inlineStr">
        <is>
          <t>SÖDERMANLANDS LÄN</t>
        </is>
      </c>
      <c r="G425" t="inlineStr">
        <is>
          <t>NYKÖPING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45820</v>
      </c>
      <c r="E426" s="1" t="n">
        <v>46286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45954</v>
      </c>
      <c r="E427" s="1" t="n">
        <v>46286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52585-2025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45954</v>
      </c>
      <c r="E428" s="1" t="n">
        <v>46286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44578</v>
      </c>
      <c r="E429" s="1" t="n">
        <v>46286</v>
      </c>
      <c r="F429" t="inlineStr">
        <is>
          <t>SÖDERMANLANDS LÄN</t>
        </is>
      </c>
      <c r="G429" t="inlineStr">
        <is>
          <t>NYKÖPING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45743</v>
      </c>
      <c r="E430" s="1" t="n">
        <v>46286</v>
      </c>
      <c r="F430" t="inlineStr">
        <is>
          <t>SÖDERMANLANDS LÄN</t>
        </is>
      </c>
      <c r="G430" t="inlineStr">
        <is>
          <t>NYKÖPING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46286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46286</v>
      </c>
      <c r="F432" t="inlineStr">
        <is>
          <t>SÖDERMANLANDS LÄN</t>
        </is>
      </c>
      <c r="G432" t="inlineStr">
        <is>
          <t>NYKÖPING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44936</v>
      </c>
      <c r="E433" s="1" t="n">
        <v>46286</v>
      </c>
      <c r="F433" t="inlineStr">
        <is>
          <t>SÖDERMANLANDS LÄN</t>
        </is>
      </c>
      <c r="G433" t="inlineStr">
        <is>
          <t>NYKÖPING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51241-2024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46286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55312-2021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44475</v>
      </c>
      <c r="E435" s="1" t="n">
        <v>46286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44936</v>
      </c>
      <c r="E436" s="1" t="n">
        <v>46286</v>
      </c>
      <c r="F436" t="inlineStr">
        <is>
          <t>SÖDERMANLANDS LÄN</t>
        </is>
      </c>
      <c r="G436" t="inlineStr">
        <is>
          <t>NYKÖPING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45721</v>
      </c>
      <c r="E437" s="1" t="n">
        <v>46286</v>
      </c>
      <c r="F437" t="inlineStr">
        <is>
          <t>SÖDERMANLANDS LÄN</t>
        </is>
      </c>
      <c r="G437" t="inlineStr">
        <is>
          <t>NYKÖPING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45970</v>
      </c>
      <c r="E438" s="1" t="n">
        <v>46286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51556-2024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46286</v>
      </c>
      <c r="F439" t="inlineStr">
        <is>
          <t>SÖDERMANLANDS LÄN</t>
        </is>
      </c>
      <c r="G439" t="inlineStr">
        <is>
          <t>NYKÖPING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46286</v>
      </c>
      <c r="F440" t="inlineStr">
        <is>
          <t>SÖDERMANLANDS LÄN</t>
        </is>
      </c>
      <c r="G440" t="inlineStr">
        <is>
          <t>NYKÖPING</t>
        </is>
      </c>
      <c r="I440" t="n">
        <v>17.8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22475-2026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46155</v>
      </c>
      <c r="E441" s="1" t="n">
        <v>46286</v>
      </c>
      <c r="F441" t="inlineStr">
        <is>
          <t>SÖDERMANLANDS LÄN</t>
        </is>
      </c>
      <c r="G441" t="inlineStr">
        <is>
          <t>NYKÖPING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17315-2024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45414</v>
      </c>
      <c r="E442" s="1" t="n">
        <v>46286</v>
      </c>
      <c r="F442" t="inlineStr">
        <is>
          <t>SÖDERMANLANDS LÄN</t>
        </is>
      </c>
      <c r="G442" t="inlineStr">
        <is>
          <t>NYKÖPING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46286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9469-2022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44616</v>
      </c>
      <c r="E444" s="1" t="n">
        <v>46286</v>
      </c>
      <c r="F444" t="inlineStr">
        <is>
          <t>SÖDERMANLANDS LÄN</t>
        </is>
      </c>
      <c r="G444" t="inlineStr">
        <is>
          <t>NYKÖPING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46286</v>
      </c>
      <c r="F445" t="inlineStr">
        <is>
          <t>SÖDERMANLANDS LÄN</t>
        </is>
      </c>
      <c r="G445" t="inlineStr">
        <is>
          <t>NYKÖPING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13455-2022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44645</v>
      </c>
      <c r="E446" s="1" t="n">
        <v>46286</v>
      </c>
      <c r="F446" t="inlineStr">
        <is>
          <t>SÖDERMANLANDS LÄN</t>
        </is>
      </c>
      <c r="G446" t="inlineStr">
        <is>
          <t>NYKÖPING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53374-2021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44468</v>
      </c>
      <c r="E447" s="1" t="n">
        <v>46286</v>
      </c>
      <c r="F447" t="inlineStr">
        <is>
          <t>SÖDERMANLANDS LÄN</t>
        </is>
      </c>
      <c r="G447" t="inlineStr">
        <is>
          <t>NYKÖPING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57633-2024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45630</v>
      </c>
      <c r="E448" s="1" t="n">
        <v>46286</v>
      </c>
      <c r="F448" t="inlineStr">
        <is>
          <t>SÖDERMANLANDS LÄN</t>
        </is>
      </c>
      <c r="G448" t="inlineStr">
        <is>
          <t>NYKÖPING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8378-2024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45351</v>
      </c>
      <c r="E449" s="1" t="n">
        <v>46286</v>
      </c>
      <c r="F449" t="inlineStr">
        <is>
          <t>SÖDERMANLANDS LÄN</t>
        </is>
      </c>
      <c r="G449" t="inlineStr">
        <is>
          <t>NYKÖPING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46286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45982</v>
      </c>
      <c r="E451" s="1" t="n">
        <v>46286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20131-2022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46286</v>
      </c>
      <c r="F452" t="inlineStr">
        <is>
          <t>SÖDERMANLANDS LÄN</t>
        </is>
      </c>
      <c r="G452" t="inlineStr">
        <is>
          <t>NYKÖPING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46286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44727</v>
      </c>
      <c r="E454" s="1" t="n">
        <v>46286</v>
      </c>
      <c r="F454" t="inlineStr">
        <is>
          <t>SÖDERMANLANDS LÄN</t>
        </is>
      </c>
      <c r="G454" t="inlineStr">
        <is>
          <t>NYKÖPING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72985-2021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44549</v>
      </c>
      <c r="E455" s="1" t="n">
        <v>46286</v>
      </c>
      <c r="F455" t="inlineStr">
        <is>
          <t>SÖDERMANLANDS LÄN</t>
        </is>
      </c>
      <c r="G455" t="inlineStr">
        <is>
          <t>NYKÖPING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46286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45029</v>
      </c>
      <c r="E457" s="1" t="n">
        <v>46286</v>
      </c>
      <c r="F457" t="inlineStr">
        <is>
          <t>SÖDERMANLANDS LÄN</t>
        </is>
      </c>
      <c r="G457" t="inlineStr">
        <is>
          <t>NYKÖPING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45061</v>
      </c>
      <c r="E458" s="1" t="n">
        <v>46286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46286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46286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44579</v>
      </c>
      <c r="E461" s="1" t="n">
        <v>46286</v>
      </c>
      <c r="F461" t="inlineStr">
        <is>
          <t>SÖDERMANLANDS LÄN</t>
        </is>
      </c>
      <c r="G461" t="inlineStr">
        <is>
          <t>NYKÖPING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46286</v>
      </c>
      <c r="F462" t="inlineStr">
        <is>
          <t>SÖDERMANLANDS LÄN</t>
        </is>
      </c>
      <c r="G462" t="inlineStr">
        <is>
          <t>NYKÖPING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65923-2021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44517</v>
      </c>
      <c r="E463" s="1" t="n">
        <v>46286</v>
      </c>
      <c r="F463" t="inlineStr">
        <is>
          <t>SÖDERMANLANDS LÄN</t>
        </is>
      </c>
      <c r="G463" t="inlineStr">
        <is>
          <t>NYKÖPING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46286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59998-2025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46286</v>
      </c>
      <c r="F465" t="inlineStr">
        <is>
          <t>SÖDERMANLANDS LÄN</t>
        </is>
      </c>
      <c r="G465" t="inlineStr">
        <is>
          <t>NYKÖPING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46286</v>
      </c>
      <c r="F466" t="inlineStr">
        <is>
          <t>SÖDERMANLANDS LÄN</t>
        </is>
      </c>
      <c r="G466" t="inlineStr">
        <is>
          <t>NYKÖPING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46286</v>
      </c>
      <c r="F467" t="inlineStr">
        <is>
          <t>SÖDERMANLANDS LÄN</t>
        </is>
      </c>
      <c r="G467" t="inlineStr">
        <is>
          <t>NYKÖPING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46286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46286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Kommuner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11638-2024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46286</v>
      </c>
      <c r="F470" t="inlineStr">
        <is>
          <t>SÖDERMANLANDS LÄN</t>
        </is>
      </c>
      <c r="G470" t="inlineStr">
        <is>
          <t>NYKÖPING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17832-2024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45418</v>
      </c>
      <c r="E471" s="1" t="n">
        <v>46286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51243-2024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46286</v>
      </c>
      <c r="F472" t="inlineStr">
        <is>
          <t>SÖDERMANLANDS LÄN</t>
        </is>
      </c>
      <c r="G472" t="inlineStr">
        <is>
          <t>NYKÖPING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55506-2021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44475</v>
      </c>
      <c r="E473" s="1" t="n">
        <v>46286</v>
      </c>
      <c r="F473" t="inlineStr">
        <is>
          <t>SÖDERMANLANDS LÄN</t>
        </is>
      </c>
      <c r="G473" t="inlineStr">
        <is>
          <t>NYKÖPING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23063-2026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46286</v>
      </c>
      <c r="F474" t="inlineStr">
        <is>
          <t>SÖDERMANLANDS LÄN</t>
        </is>
      </c>
      <c r="G474" t="inlineStr">
        <is>
          <t>NYKÖPING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44579</v>
      </c>
      <c r="E475" s="1" t="n">
        <v>46286</v>
      </c>
      <c r="F475" t="inlineStr">
        <is>
          <t>SÖDERMANLANDS LÄN</t>
        </is>
      </c>
      <c r="G475" t="inlineStr">
        <is>
          <t>NYKÖPING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46286</v>
      </c>
      <c r="F476" t="inlineStr">
        <is>
          <t>SÖDERMANLANDS LÄN</t>
        </is>
      </c>
      <c r="G476" t="inlineStr">
        <is>
          <t>NYKÖPING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45398</v>
      </c>
      <c r="E477" s="1" t="n">
        <v>46286</v>
      </c>
      <c r="F477" t="inlineStr">
        <is>
          <t>SÖDERMANLANDS LÄN</t>
        </is>
      </c>
      <c r="G477" t="inlineStr">
        <is>
          <t>NYKÖPING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35019-2023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45143</v>
      </c>
      <c r="E478" s="1" t="n">
        <v>46286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46286</v>
      </c>
      <c r="F479" t="inlineStr">
        <is>
          <t>SÖDERMANLANDS LÄN</t>
        </is>
      </c>
      <c r="G479" t="inlineStr">
        <is>
          <t>NYKÖPING</t>
        </is>
      </c>
      <c r="I479" t="n">
        <v>10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46286</v>
      </c>
      <c r="F480" t="inlineStr">
        <is>
          <t>SÖDERMANLANDS LÄN</t>
        </is>
      </c>
      <c r="G480" t="inlineStr">
        <is>
          <t>NYKÖPING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46286</v>
      </c>
      <c r="F481" t="inlineStr">
        <is>
          <t>SÖDERMANLANDS LÄN</t>
        </is>
      </c>
      <c r="G481" t="inlineStr">
        <is>
          <t>NYKÖPING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46286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23637-2026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46163</v>
      </c>
      <c r="E483" s="1" t="n">
        <v>46286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Kyrkan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46286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45993</v>
      </c>
      <c r="E485" s="1" t="n">
        <v>46286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46286</v>
      </c>
      <c r="F486" t="inlineStr">
        <is>
          <t>SÖDERMANLANDS LÄN</t>
        </is>
      </c>
      <c r="G486" t="inlineStr">
        <is>
          <t>NYKÖPING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61618-2022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44916</v>
      </c>
      <c r="E487" s="1" t="n">
        <v>46286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46286</v>
      </c>
      <c r="F488" t="inlineStr">
        <is>
          <t>SÖDERMANLANDS LÄN</t>
        </is>
      </c>
      <c r="G488" t="inlineStr">
        <is>
          <t>NYKÖPING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46286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Allmännings- och besparingsskogar</t>
        </is>
      </c>
      <c r="I489" t="n">
        <v>13.5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61254-2025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45999</v>
      </c>
      <c r="E490" s="1" t="n">
        <v>46286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Allmännings- och besparingsskogar</t>
        </is>
      </c>
      <c r="I490" t="n">
        <v>10.6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46286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45348</v>
      </c>
      <c r="E492" s="1" t="n">
        <v>46286</v>
      </c>
      <c r="F492" t="inlineStr">
        <is>
          <t>SÖDERMANLANDS LÄN</t>
        </is>
      </c>
      <c r="G492" t="inlineStr">
        <is>
          <t>NYKÖPING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46286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46286</v>
      </c>
      <c r="F494" t="inlineStr">
        <is>
          <t>SÖDERMANLANDS LÄN</t>
        </is>
      </c>
      <c r="G494" t="inlineStr">
        <is>
          <t>NYKÖPING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44812</v>
      </c>
      <c r="E495" s="1" t="n">
        <v>46286</v>
      </c>
      <c r="F495" t="inlineStr">
        <is>
          <t>SÖDERMANLANDS LÄN</t>
        </is>
      </c>
      <c r="G495" t="inlineStr">
        <is>
          <t>NYKÖPING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64081-2023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45279</v>
      </c>
      <c r="E496" s="1" t="n">
        <v>46286</v>
      </c>
      <c r="F496" t="inlineStr">
        <is>
          <t>SÖDERMANLANDS LÄN</t>
        </is>
      </c>
      <c r="G496" t="inlineStr">
        <is>
          <t>NYKÖPING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46286</v>
      </c>
      <c r="F497" t="inlineStr">
        <is>
          <t>SÖDERMANLANDS LÄN</t>
        </is>
      </c>
      <c r="G497" t="inlineStr">
        <is>
          <t>NYKÖPING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62517-2025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46286</v>
      </c>
      <c r="F498" t="inlineStr">
        <is>
          <t>SÖDERMANLANDS LÄN</t>
        </is>
      </c>
      <c r="G498" t="inlineStr">
        <is>
          <t>NYKÖPING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51558-2024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45604</v>
      </c>
      <c r="E499" s="1" t="n">
        <v>46286</v>
      </c>
      <c r="F499" t="inlineStr">
        <is>
          <t>SÖDERMANLANDS LÄN</t>
        </is>
      </c>
      <c r="G499" t="inlineStr">
        <is>
          <t>NYKÖPING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45630</v>
      </c>
      <c r="E500" s="1" t="n">
        <v>46286</v>
      </c>
      <c r="F500" t="inlineStr">
        <is>
          <t>SÖDERMANLANDS LÄN</t>
        </is>
      </c>
      <c r="G500" t="inlineStr">
        <is>
          <t>NYKÖPING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62492-2025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46007</v>
      </c>
      <c r="E501" s="1" t="n">
        <v>46286</v>
      </c>
      <c r="F501" t="inlineStr">
        <is>
          <t>SÖDERMANLANDS LÄN</t>
        </is>
      </c>
      <c r="G501" t="inlineStr">
        <is>
          <t>NYKÖPING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46006</v>
      </c>
      <c r="E502" s="1" t="n">
        <v>46286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10622-2025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45721</v>
      </c>
      <c r="E503" s="1" t="n">
        <v>46286</v>
      </c>
      <c r="F503" t="inlineStr">
        <is>
          <t>SÖDERMANLANDS LÄN</t>
        </is>
      </c>
      <c r="G503" t="inlineStr">
        <is>
          <t>NYKÖPING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46286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46286</v>
      </c>
      <c r="F505" t="inlineStr">
        <is>
          <t>SÖDERMANLANDS LÄN</t>
        </is>
      </c>
      <c r="G505" t="inlineStr">
        <is>
          <t>NYKÖPING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46286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Kyrkan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46086</v>
      </c>
      <c r="E507" s="1" t="n">
        <v>46286</v>
      </c>
      <c r="F507" t="inlineStr">
        <is>
          <t>SÖDERMANLANDS LÄN</t>
        </is>
      </c>
      <c r="G507" t="inlineStr">
        <is>
          <t>NYKÖPING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46286</v>
      </c>
      <c r="F508" t="inlineStr">
        <is>
          <t>SÖDERMANLANDS LÄN</t>
        </is>
      </c>
      <c r="G508" t="inlineStr">
        <is>
          <t>NYKÖPING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32721-2022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44783</v>
      </c>
      <c r="E509" s="1" t="n">
        <v>46286</v>
      </c>
      <c r="F509" t="inlineStr">
        <is>
          <t>SÖDERMANLANDS LÄN</t>
        </is>
      </c>
      <c r="G509" t="inlineStr">
        <is>
          <t>NYKÖPING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48484-2022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46286</v>
      </c>
      <c r="F510" t="inlineStr">
        <is>
          <t>SÖDERMANLANDS LÄN</t>
        </is>
      </c>
      <c r="G510" t="inlineStr">
        <is>
          <t>NYKÖPING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46286</v>
      </c>
      <c r="F511" t="inlineStr">
        <is>
          <t>SÖDERMANLANDS LÄN</t>
        </is>
      </c>
      <c r="G511" t="inlineStr">
        <is>
          <t>NYKÖPING</t>
        </is>
      </c>
      <c r="I511" t="n">
        <v>21.2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46286</v>
      </c>
      <c r="F512" t="inlineStr">
        <is>
          <t>SÖDERMANLANDS LÄN</t>
        </is>
      </c>
      <c r="G512" t="inlineStr">
        <is>
          <t>NYKÖPING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46286</v>
      </c>
      <c r="F513" t="inlineStr">
        <is>
          <t>SÖDERMANLANDS LÄN</t>
        </is>
      </c>
      <c r="G513" t="inlineStr">
        <is>
          <t>NYKÖPING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44942</v>
      </c>
      <c r="E514" s="1" t="n">
        <v>46286</v>
      </c>
      <c r="F514" t="inlineStr">
        <is>
          <t>SÖDERMANLANDS LÄN</t>
        </is>
      </c>
      <c r="G514" t="inlineStr">
        <is>
          <t>NYKÖPING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46169</v>
      </c>
      <c r="E515" s="1" t="n">
        <v>46286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Kyrkan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20327-2023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45056</v>
      </c>
      <c r="E516" s="1" t="n">
        <v>46286</v>
      </c>
      <c r="F516" t="inlineStr">
        <is>
          <t>SÖDERMANLANDS LÄN</t>
        </is>
      </c>
      <c r="G516" t="inlineStr">
        <is>
          <t>NYKÖPING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60634-2022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44911</v>
      </c>
      <c r="E517" s="1" t="n">
        <v>46286</v>
      </c>
      <c r="F517" t="inlineStr">
        <is>
          <t>SÖDERMANLANDS LÄN</t>
        </is>
      </c>
      <c r="G517" t="inlineStr">
        <is>
          <t>NYKÖPING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45005</v>
      </c>
      <c r="E518" s="1" t="n">
        <v>46286</v>
      </c>
      <c r="F518" t="inlineStr">
        <is>
          <t>SÖDERMANLANDS LÄN</t>
        </is>
      </c>
      <c r="G518" t="inlineStr">
        <is>
          <t>NYKÖPING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69244-2021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44530</v>
      </c>
      <c r="E519" s="1" t="n">
        <v>46286</v>
      </c>
      <c r="F519" t="inlineStr">
        <is>
          <t>SÖDERMANLANDS LÄN</t>
        </is>
      </c>
      <c r="G519" t="inlineStr">
        <is>
          <t>NYKÖPING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46286</v>
      </c>
      <c r="F520" t="inlineStr">
        <is>
          <t>SÖDERMANLANDS LÄN</t>
        </is>
      </c>
      <c r="G520" t="inlineStr">
        <is>
          <t>NYKÖPING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46286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44938</v>
      </c>
      <c r="E522" s="1" t="n">
        <v>46286</v>
      </c>
      <c r="F522" t="inlineStr">
        <is>
          <t>SÖDERMANLANDS LÄN</t>
        </is>
      </c>
      <c r="G522" t="inlineStr">
        <is>
          <t>NYKÖPING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8688-2025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45712</v>
      </c>
      <c r="E523" s="1" t="n">
        <v>46286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Holmen skog AB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46286</v>
      </c>
      <c r="F524" t="inlineStr">
        <is>
          <t>SÖDERMANLANDS LÄN</t>
        </is>
      </c>
      <c r="G524" t="inlineStr">
        <is>
          <t>NYKÖPING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46286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33863-2022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44790</v>
      </c>
      <c r="E526" s="1" t="n">
        <v>46286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46286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46286</v>
      </c>
      <c r="F528" t="inlineStr">
        <is>
          <t>SÖDERMANLANDS LÄN</t>
        </is>
      </c>
      <c r="G528" t="inlineStr">
        <is>
          <t>NYKÖPING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22176-2023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45069</v>
      </c>
      <c r="E529" s="1" t="n">
        <v>46286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27563-2024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45474</v>
      </c>
      <c r="E530" s="1" t="n">
        <v>46286</v>
      </c>
      <c r="F530" t="inlineStr">
        <is>
          <t>SÖDERMANLANDS LÄN</t>
        </is>
      </c>
      <c r="G530" t="inlineStr">
        <is>
          <t>NYKÖPING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56228-2024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45624</v>
      </c>
      <c r="E531" s="1" t="n">
        <v>46286</v>
      </c>
      <c r="F531" t="inlineStr">
        <is>
          <t>SÖDERMANLANDS LÄN</t>
        </is>
      </c>
      <c r="G531" t="inlineStr">
        <is>
          <t>NYKÖPING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46034</v>
      </c>
      <c r="E532" s="1" t="n">
        <v>46286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46036</v>
      </c>
      <c r="E533" s="1" t="n">
        <v>46286</v>
      </c>
      <c r="F533" t="inlineStr">
        <is>
          <t>SÖDERMANLANDS LÄN</t>
        </is>
      </c>
      <c r="G533" t="inlineStr">
        <is>
          <t>NYKÖPING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46286</v>
      </c>
      <c r="F534" t="inlineStr">
        <is>
          <t>SÖDERMANLANDS LÄN</t>
        </is>
      </c>
      <c r="G534" t="inlineStr">
        <is>
          <t>NYKÖPING</t>
        </is>
      </c>
      <c r="I534" t="n">
        <v>10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11753-2023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46286</v>
      </c>
      <c r="F535" t="inlineStr">
        <is>
          <t>SÖDERMANLANDS LÄN</t>
        </is>
      </c>
      <c r="G535" t="inlineStr">
        <is>
          <t>NYKÖPING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46286</v>
      </c>
      <c r="F536" t="inlineStr">
        <is>
          <t>SÖDERMANLANDS LÄN</t>
        </is>
      </c>
      <c r="G536" t="inlineStr">
        <is>
          <t>NYKÖPING</t>
        </is>
      </c>
      <c r="I536" t="n">
        <v>11.7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46286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44798</v>
      </c>
      <c r="E538" s="1" t="n">
        <v>46286</v>
      </c>
      <c r="F538" t="inlineStr">
        <is>
          <t>SÖDERMANLANDS LÄN</t>
        </is>
      </c>
      <c r="G538" t="inlineStr">
        <is>
          <t>NYKÖPING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24798-2022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44728</v>
      </c>
      <c r="E539" s="1" t="n">
        <v>46286</v>
      </c>
      <c r="F539" t="inlineStr">
        <is>
          <t>SÖDERMANLANDS LÄN</t>
        </is>
      </c>
      <c r="G539" t="inlineStr">
        <is>
          <t>NYKÖPING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46286</v>
      </c>
      <c r="F540" t="inlineStr">
        <is>
          <t>SÖDERMANLANDS LÄN</t>
        </is>
      </c>
      <c r="G540" t="inlineStr">
        <is>
          <t>NYKÖPING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45674</v>
      </c>
      <c r="E541" s="1" t="n">
        <v>46286</v>
      </c>
      <c r="F541" t="inlineStr">
        <is>
          <t>SÖDERMANLANDS LÄN</t>
        </is>
      </c>
      <c r="G541" t="inlineStr">
        <is>
          <t>NYKÖPING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35532-2022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44799</v>
      </c>
      <c r="E542" s="1" t="n">
        <v>46286</v>
      </c>
      <c r="F542" t="inlineStr">
        <is>
          <t>SÖDERMANLANDS LÄN</t>
        </is>
      </c>
      <c r="G542" t="inlineStr">
        <is>
          <t>NYKÖPING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46286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46041</v>
      </c>
      <c r="E544" s="1" t="n">
        <v>46286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46286</v>
      </c>
      <c r="F545" t="inlineStr">
        <is>
          <t>SÖDERMANLANDS LÄN</t>
        </is>
      </c>
      <c r="G545" t="inlineStr">
        <is>
          <t>NYKÖPING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45148</v>
      </c>
      <c r="E546" s="1" t="n">
        <v>46286</v>
      </c>
      <c r="F546" t="inlineStr">
        <is>
          <t>SÖDERMANLANDS LÄN</t>
        </is>
      </c>
      <c r="G546" t="inlineStr">
        <is>
          <t>NYKÖPING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68024-2021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44525</v>
      </c>
      <c r="E547" s="1" t="n">
        <v>46286</v>
      </c>
      <c r="F547" t="inlineStr">
        <is>
          <t>SÖDERMANLANDS LÄN</t>
        </is>
      </c>
      <c r="G547" t="inlineStr">
        <is>
          <t>NYKÖPING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68030-2021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44525</v>
      </c>
      <c r="E548" s="1" t="n">
        <v>46286</v>
      </c>
      <c r="F548" t="inlineStr">
        <is>
          <t>SÖDERMANLANDS LÄN</t>
        </is>
      </c>
      <c r="G548" t="inlineStr">
        <is>
          <t>NYKÖPING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46286</v>
      </c>
      <c r="F549" t="inlineStr">
        <is>
          <t>SÖDERMANLANDS LÄN</t>
        </is>
      </c>
      <c r="G549" t="inlineStr">
        <is>
          <t>NYKÖPING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44846</v>
      </c>
      <c r="E550" s="1" t="n">
        <v>46286</v>
      </c>
      <c r="F550" t="inlineStr">
        <is>
          <t>SÖDERMANLANDS LÄN</t>
        </is>
      </c>
      <c r="G550" t="inlineStr">
        <is>
          <t>NYKÖPING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46286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58496-2025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46286</v>
      </c>
      <c r="F552" t="inlineStr">
        <is>
          <t>SÖDERMANLANDS LÄN</t>
        </is>
      </c>
      <c r="G552" t="inlineStr">
        <is>
          <t>NYKÖPING</t>
        </is>
      </c>
      <c r="I552" t="n">
        <v>9.699999999999999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46176</v>
      </c>
      <c r="E553" s="1" t="n">
        <v>46286</v>
      </c>
      <c r="F553" t="inlineStr">
        <is>
          <t>SÖDERMANLANDS LÄN</t>
        </is>
      </c>
      <c r="G553" t="inlineStr">
        <is>
          <t>NYKÖPING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45222</v>
      </c>
      <c r="E554" s="1" t="n">
        <v>46286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46049</v>
      </c>
      <c r="E555" s="1" t="n">
        <v>46286</v>
      </c>
      <c r="F555" t="inlineStr">
        <is>
          <t>SÖDERMANLANDS LÄN</t>
        </is>
      </c>
      <c r="G555" t="inlineStr">
        <is>
          <t>NYKÖPING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46286</v>
      </c>
      <c r="F556" t="inlineStr">
        <is>
          <t>SÖDERMANLANDS LÄN</t>
        </is>
      </c>
      <c r="G556" t="inlineStr">
        <is>
          <t>NYKÖPING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46049</v>
      </c>
      <c r="E557" s="1" t="n">
        <v>46286</v>
      </c>
      <c r="F557" t="inlineStr">
        <is>
          <t>SÖDERMANLANDS LÄN</t>
        </is>
      </c>
      <c r="G557" t="inlineStr">
        <is>
          <t>NYKÖPING</t>
        </is>
      </c>
      <c r="I557" t="n">
        <v>9.5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46049</v>
      </c>
      <c r="E558" s="1" t="n">
        <v>46286</v>
      </c>
      <c r="F558" t="inlineStr">
        <is>
          <t>SÖDERMANLANDS LÄN</t>
        </is>
      </c>
      <c r="G558" t="inlineStr">
        <is>
          <t>NYKÖPING</t>
        </is>
      </c>
      <c r="I558" t="n">
        <v>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44960</v>
      </c>
      <c r="E559" s="1" t="n">
        <v>46286</v>
      </c>
      <c r="F559" t="inlineStr">
        <is>
          <t>SÖDERMANLANDS LÄN</t>
        </is>
      </c>
      <c r="G559" t="inlineStr">
        <is>
          <t>NYKÖPING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44960</v>
      </c>
      <c r="E560" s="1" t="n">
        <v>46286</v>
      </c>
      <c r="F560" t="inlineStr">
        <is>
          <t>SÖDERMANLANDS LÄN</t>
        </is>
      </c>
      <c r="G560" t="inlineStr">
        <is>
          <t>NYKÖPING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44575</v>
      </c>
      <c r="E561" s="1" t="n">
        <v>46286</v>
      </c>
      <c r="F561" t="inlineStr">
        <is>
          <t>SÖDERMANLANDS LÄN</t>
        </is>
      </c>
      <c r="G561" t="inlineStr">
        <is>
          <t>NYKÖPING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46286</v>
      </c>
      <c r="F562" t="inlineStr">
        <is>
          <t>SÖDERMANLANDS LÄN</t>
        </is>
      </c>
      <c r="G562" t="inlineStr">
        <is>
          <t>NYKÖPING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46286</v>
      </c>
      <c r="F563" t="inlineStr">
        <is>
          <t>SÖDERMANLANDS LÄN</t>
        </is>
      </c>
      <c r="G563" t="inlineStr">
        <is>
          <t>NYKÖPING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46286</v>
      </c>
      <c r="F564" t="inlineStr">
        <is>
          <t>SÖDERMANLANDS LÄN</t>
        </is>
      </c>
      <c r="G564" t="inlineStr">
        <is>
          <t>NYKÖPING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38394-2024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45546</v>
      </c>
      <c r="E565" s="1" t="n">
        <v>46286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15397-2023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45019</v>
      </c>
      <c r="E566" s="1" t="n">
        <v>46286</v>
      </c>
      <c r="F566" t="inlineStr">
        <is>
          <t>SÖDERMANLANDS LÄN</t>
        </is>
      </c>
      <c r="G566" t="inlineStr">
        <is>
          <t>NYKÖPING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3193-2022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44582</v>
      </c>
      <c r="E567" s="1" t="n">
        <v>46286</v>
      </c>
      <c r="F567" t="inlineStr">
        <is>
          <t>SÖDERMANLANDS LÄN</t>
        </is>
      </c>
      <c r="G567" t="inlineStr">
        <is>
          <t>NYKÖPING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46286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45146</v>
      </c>
      <c r="E569" s="1" t="n">
        <v>46286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41288-2023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45174</v>
      </c>
      <c r="E570" s="1" t="n">
        <v>46286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45307</v>
      </c>
      <c r="E571" s="1" t="n">
        <v>46286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Kommuner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44938</v>
      </c>
      <c r="E572" s="1" t="n">
        <v>46286</v>
      </c>
      <c r="F572" t="inlineStr">
        <is>
          <t>SÖDERMANLANDS LÄN</t>
        </is>
      </c>
      <c r="G572" t="inlineStr">
        <is>
          <t>NYKÖPING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58650-2025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45986</v>
      </c>
      <c r="E573" s="1" t="n">
        <v>46286</v>
      </c>
      <c r="F573" t="inlineStr">
        <is>
          <t>SÖDERMANLANDS LÄN</t>
        </is>
      </c>
      <c r="G573" t="inlineStr">
        <is>
          <t>NYKÖPING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44938</v>
      </c>
      <c r="E574" s="1" t="n">
        <v>46286</v>
      </c>
      <c r="F574" t="inlineStr">
        <is>
          <t>SÖDERMANLANDS LÄN</t>
        </is>
      </c>
      <c r="G574" t="inlineStr">
        <is>
          <t>NYKÖPING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58653-2025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45986</v>
      </c>
      <c r="E575" s="1" t="n">
        <v>46286</v>
      </c>
      <c r="F575" t="inlineStr">
        <is>
          <t>SÖDERMANLANDS LÄN</t>
        </is>
      </c>
      <c r="G575" t="inlineStr">
        <is>
          <t>NYKÖPING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46286</v>
      </c>
      <c r="F576" t="inlineStr">
        <is>
          <t>SÖDERMANLANDS LÄN</t>
        </is>
      </c>
      <c r="G576" t="inlineStr">
        <is>
          <t>NYKÖPING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9434-2026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46286</v>
      </c>
      <c r="F577" t="inlineStr">
        <is>
          <t>SÖDERMANLANDS LÄN</t>
        </is>
      </c>
      <c r="G577" t="inlineStr">
        <is>
          <t>NYKÖPING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45330</v>
      </c>
      <c r="E578" s="1" t="n">
        <v>46286</v>
      </c>
      <c r="F578" t="inlineStr">
        <is>
          <t>SÖDERMANLANDS LÄN</t>
        </is>
      </c>
      <c r="G578" t="inlineStr">
        <is>
          <t>NYKÖPING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23114-2023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45075</v>
      </c>
      <c r="E579" s="1" t="n">
        <v>46286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46286</v>
      </c>
      <c r="F580" t="inlineStr">
        <is>
          <t>SÖDERMANLANDS LÄN</t>
        </is>
      </c>
      <c r="G580" t="inlineStr">
        <is>
          <t>NYKÖPING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46286</v>
      </c>
      <c r="F581" t="inlineStr">
        <is>
          <t>SÖDERMANLANDS LÄN</t>
        </is>
      </c>
      <c r="G581" t="inlineStr">
        <is>
          <t>NYKÖPING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46286</v>
      </c>
      <c r="F582" t="inlineStr">
        <is>
          <t>SÖDERMANLANDS LÄN</t>
        </is>
      </c>
      <c r="G582" t="inlineStr">
        <is>
          <t>NYKÖPING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24280-2022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44725</v>
      </c>
      <c r="E583" s="1" t="n">
        <v>46286</v>
      </c>
      <c r="F583" t="inlineStr">
        <is>
          <t>SÖDERMANLANDS LÄN</t>
        </is>
      </c>
      <c r="G583" t="inlineStr">
        <is>
          <t>NYKÖPING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7253-2022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44606</v>
      </c>
      <c r="E584" s="1" t="n">
        <v>46286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Allmännings- och besparingsskogar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67857-2021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44525</v>
      </c>
      <c r="E585" s="1" t="n">
        <v>46286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46286</v>
      </c>
      <c r="F586" t="inlineStr">
        <is>
          <t>SÖDERMANLANDS LÄN</t>
        </is>
      </c>
      <c r="G586" t="inlineStr">
        <is>
          <t>NYKÖPING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12812-2025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45733</v>
      </c>
      <c r="E587" s="1" t="n">
        <v>46286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46131</v>
      </c>
      <c r="E588" s="1" t="n">
        <v>46286</v>
      </c>
      <c r="F588" t="inlineStr">
        <is>
          <t>SÖDERMANLANDS LÄN</t>
        </is>
      </c>
      <c r="G588" t="inlineStr">
        <is>
          <t>NYKÖPING</t>
        </is>
      </c>
      <c r="I588" t="n">
        <v>12.4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46286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Sveaskog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44575</v>
      </c>
      <c r="E590" s="1" t="n">
        <v>46286</v>
      </c>
      <c r="F590" t="inlineStr">
        <is>
          <t>SÖDERMANLANDS LÄN</t>
        </is>
      </c>
      <c r="G590" t="inlineStr">
        <is>
          <t>NYKÖPING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53569-2022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44879</v>
      </c>
      <c r="E591" s="1" t="n">
        <v>46286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Övriga Aktiebolag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45096</v>
      </c>
      <c r="E592" s="1" t="n">
        <v>46286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Övriga Aktiebolag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44958</v>
      </c>
      <c r="E593" s="1" t="n">
        <v>46286</v>
      </c>
      <c r="F593" t="inlineStr">
        <is>
          <t>SÖDERMANLANDS LÄN</t>
        </is>
      </c>
      <c r="G593" t="inlineStr">
        <is>
          <t>NYKÖPING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46286</v>
      </c>
      <c r="F594" t="inlineStr">
        <is>
          <t>SÖDERMANLANDS LÄN</t>
        </is>
      </c>
      <c r="G594" t="inlineStr">
        <is>
          <t>NYKÖPING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44946</v>
      </c>
      <c r="E595" s="1" t="n">
        <v>46286</v>
      </c>
      <c r="F595" t="inlineStr">
        <is>
          <t>SÖDERMANLANDS LÄN</t>
        </is>
      </c>
      <c r="G595" t="inlineStr">
        <is>
          <t>NYKÖPING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26643-2026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46286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45166</v>
      </c>
      <c r="E597" s="1" t="n">
        <v>46286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59733-2021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44494</v>
      </c>
      <c r="E598" s="1" t="n">
        <v>46286</v>
      </c>
      <c r="F598" t="inlineStr">
        <is>
          <t>SÖDERMANLANDS LÄN</t>
        </is>
      </c>
      <c r="G598" t="inlineStr">
        <is>
          <t>NYKÖPING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26686-2026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46286</v>
      </c>
      <c r="F599" t="inlineStr">
        <is>
          <t>SÖDERMANLANDS LÄN</t>
        </is>
      </c>
      <c r="G599" t="inlineStr">
        <is>
          <t>NYKÖPING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46286</v>
      </c>
      <c r="F600" t="inlineStr">
        <is>
          <t>SÖDERMANLANDS LÄN</t>
        </is>
      </c>
      <c r="G600" t="inlineStr">
        <is>
          <t>NYKÖPING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46286</v>
      </c>
      <c r="F601" t="inlineStr">
        <is>
          <t>SÖDERMANLANDS LÄN</t>
        </is>
      </c>
      <c r="G601" t="inlineStr">
        <is>
          <t>NYKÖPING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46286</v>
      </c>
      <c r="F602" t="inlineStr">
        <is>
          <t>SÖDERMANLANDS LÄN</t>
        </is>
      </c>
      <c r="G602" t="inlineStr">
        <is>
          <t>NYKÖPING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45110</v>
      </c>
      <c r="E603" s="1" t="n">
        <v>46286</v>
      </c>
      <c r="F603" t="inlineStr">
        <is>
          <t>SÖDERMANLANDS LÄN</t>
        </is>
      </c>
      <c r="G603" t="inlineStr">
        <is>
          <t>NYKÖPING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45114</v>
      </c>
      <c r="E604" s="1" t="n">
        <v>46286</v>
      </c>
      <c r="F604" t="inlineStr">
        <is>
          <t>SÖDERMANLANDS LÄN</t>
        </is>
      </c>
      <c r="G604" t="inlineStr">
        <is>
          <t>NYKÖPING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41222-2023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45170</v>
      </c>
      <c r="E605" s="1" t="n">
        <v>46286</v>
      </c>
      <c r="F605" t="inlineStr">
        <is>
          <t>SÖDERMANLANDS LÄN</t>
        </is>
      </c>
      <c r="G605" t="inlineStr">
        <is>
          <t>NYKÖPING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58281-2022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44901</v>
      </c>
      <c r="E606" s="1" t="n">
        <v>46286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45762</v>
      </c>
      <c r="E607" s="1" t="n">
        <v>46286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46286</v>
      </c>
      <c r="F608" t="inlineStr">
        <is>
          <t>SÖDERMANLANDS LÄN</t>
        </is>
      </c>
      <c r="G608" t="inlineStr">
        <is>
          <t>NYKÖPING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46286</v>
      </c>
      <c r="F609" t="inlineStr">
        <is>
          <t>SÖDERMANLANDS LÄN</t>
        </is>
      </c>
      <c r="G609" t="inlineStr">
        <is>
          <t>NYKÖPING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44649</v>
      </c>
      <c r="E610" s="1" t="n">
        <v>46286</v>
      </c>
      <c r="F610" t="inlineStr">
        <is>
          <t>SÖDERMANLANDS LÄN</t>
        </is>
      </c>
      <c r="G610" t="inlineStr">
        <is>
          <t>NYKÖPING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51725-2021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44462</v>
      </c>
      <c r="E611" s="1" t="n">
        <v>46286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44944</v>
      </c>
      <c r="E612" s="1" t="n">
        <v>46286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Sveaskog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33653-2024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45520</v>
      </c>
      <c r="E613" s="1" t="n">
        <v>46286</v>
      </c>
      <c r="F613" t="inlineStr">
        <is>
          <t>SÖDERMANLANDS LÄN</t>
        </is>
      </c>
      <c r="G613" t="inlineStr">
        <is>
          <t>NYKÖPING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46093</v>
      </c>
      <c r="E614" s="1" t="n">
        <v>46286</v>
      </c>
      <c r="F614" t="inlineStr">
        <is>
          <t>SÖDERMANLANDS LÄN</t>
        </is>
      </c>
      <c r="G614" t="inlineStr">
        <is>
          <t>NYKÖPING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61007-2021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44497</v>
      </c>
      <c r="E615" s="1" t="n">
        <v>46286</v>
      </c>
      <c r="F615" t="inlineStr">
        <is>
          <t>SÖDERMANLANDS LÄN</t>
        </is>
      </c>
      <c r="G615" t="inlineStr">
        <is>
          <t>NYKÖPING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46093</v>
      </c>
      <c r="E616" s="1" t="n">
        <v>46286</v>
      </c>
      <c r="F616" t="inlineStr">
        <is>
          <t>SÖDERMANLANDS LÄN</t>
        </is>
      </c>
      <c r="G616" t="inlineStr">
        <is>
          <t>NYKÖPING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60512-2021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44496</v>
      </c>
      <c r="E617" s="1" t="n">
        <v>46286</v>
      </c>
      <c r="F617" t="inlineStr">
        <is>
          <t>SÖDERMANLANDS LÄN</t>
        </is>
      </c>
      <c r="G617" t="inlineStr">
        <is>
          <t>NYKÖPING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46100</v>
      </c>
      <c r="E618" s="1" t="n">
        <v>46286</v>
      </c>
      <c r="F618" t="inlineStr">
        <is>
          <t>SÖDERMANLANDS LÄN</t>
        </is>
      </c>
      <c r="G618" t="inlineStr">
        <is>
          <t>NYKÖPING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45798</v>
      </c>
      <c r="E619" s="1" t="n">
        <v>46286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14363-2026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46286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44774</v>
      </c>
      <c r="E621" s="1" t="n">
        <v>46286</v>
      </c>
      <c r="F621" t="inlineStr">
        <is>
          <t>SÖDERMANLANDS LÄN</t>
        </is>
      </c>
      <c r="G621" t="inlineStr">
        <is>
          <t>NYKÖPING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42368-2024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45564</v>
      </c>
      <c r="E622" s="1" t="n">
        <v>46286</v>
      </c>
      <c r="F622" t="inlineStr">
        <is>
          <t>SÖDERMANLANDS LÄN</t>
        </is>
      </c>
      <c r="G622" t="inlineStr">
        <is>
          <t>NYKÖPING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46286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45452</v>
      </c>
      <c r="E624" s="1" t="n">
        <v>46286</v>
      </c>
      <c r="F624" t="inlineStr">
        <is>
          <t>SÖDERMANLANDS LÄN</t>
        </is>
      </c>
      <c r="G624" t="inlineStr">
        <is>
          <t>NYKÖPING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46286</v>
      </c>
      <c r="F625" t="inlineStr">
        <is>
          <t>SÖDERMANLANDS LÄN</t>
        </is>
      </c>
      <c r="G625" t="inlineStr">
        <is>
          <t>NYKÖPING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4182-2025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45685</v>
      </c>
      <c r="E626" s="1" t="n">
        <v>46286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4124-2025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45685</v>
      </c>
      <c r="E627" s="1" t="n">
        <v>46286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58685-2025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45986</v>
      </c>
      <c r="E628" s="1" t="n">
        <v>46286</v>
      </c>
      <c r="F628" t="inlineStr">
        <is>
          <t>SÖDERMANLANDS LÄN</t>
        </is>
      </c>
      <c r="G628" t="inlineStr">
        <is>
          <t>NYKÖPING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46286</v>
      </c>
      <c r="F629" t="inlineStr">
        <is>
          <t>SÖDERMANLANDS LÄN</t>
        </is>
      </c>
      <c r="G629" t="inlineStr">
        <is>
          <t>NYKÖPING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36573-2024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45537</v>
      </c>
      <c r="E630" s="1" t="n">
        <v>46286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46286</v>
      </c>
      <c r="F631" t="inlineStr">
        <is>
          <t>SÖDERMANLANDS LÄN</t>
        </is>
      </c>
      <c r="G631" t="inlineStr">
        <is>
          <t>NYKÖPING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46286</v>
      </c>
      <c r="F632" t="inlineStr">
        <is>
          <t>SÖDERMANLANDS LÄN</t>
        </is>
      </c>
      <c r="G632" t="inlineStr">
        <is>
          <t>NYKÖPING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32837-2022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44784</v>
      </c>
      <c r="E633" s="1" t="n">
        <v>46286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Kommuner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27894-2023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46286</v>
      </c>
      <c r="F634" t="inlineStr">
        <is>
          <t>SÖDERMANLANDS LÄN</t>
        </is>
      </c>
      <c r="G634" t="inlineStr">
        <is>
          <t>NYKÖPING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45756</v>
      </c>
      <c r="E635" s="1" t="n">
        <v>46286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18918-2023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45044</v>
      </c>
      <c r="E636" s="1" t="n">
        <v>46286</v>
      </c>
      <c r="F636" t="inlineStr">
        <is>
          <t>SÖDERMANLANDS LÄN</t>
        </is>
      </c>
      <c r="G636" t="inlineStr">
        <is>
          <t>NYKÖPING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18926-2023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45044</v>
      </c>
      <c r="E637" s="1" t="n">
        <v>46286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46245</v>
      </c>
      <c r="E638" s="1" t="n">
        <v>46286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13027-2024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45385</v>
      </c>
      <c r="E639" s="1" t="n">
        <v>46286</v>
      </c>
      <c r="F639" t="inlineStr">
        <is>
          <t>SÖDERMANLANDS LÄN</t>
        </is>
      </c>
      <c r="G639" t="inlineStr">
        <is>
          <t>NYKÖPING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21142-2023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46286</v>
      </c>
      <c r="F640" t="inlineStr">
        <is>
          <t>SÖDERMANLANDS LÄN</t>
        </is>
      </c>
      <c r="G640" t="inlineStr">
        <is>
          <t>NYKÖPING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46022-2025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45924</v>
      </c>
      <c r="E641" s="1" t="n">
        <v>46286</v>
      </c>
      <c r="F641" t="inlineStr">
        <is>
          <t>SÖDERMANLANDS LÄN</t>
        </is>
      </c>
      <c r="G641" t="inlineStr">
        <is>
          <t>NYKÖPING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17074-2026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46114</v>
      </c>
      <c r="E642" s="1" t="n">
        <v>46286</v>
      </c>
      <c r="F642" t="inlineStr">
        <is>
          <t>SÖDERMANLANDS LÄN</t>
        </is>
      </c>
      <c r="G642" t="inlineStr">
        <is>
          <t>NYKÖPING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65231-2023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45289</v>
      </c>
      <c r="E643" s="1" t="n">
        <v>46286</v>
      </c>
      <c r="F643" t="inlineStr">
        <is>
          <t>SÖDERMANLANDS LÄN</t>
        </is>
      </c>
      <c r="G643" t="inlineStr">
        <is>
          <t>NYKÖPING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70749-2021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44536</v>
      </c>
      <c r="E644" s="1" t="n">
        <v>46286</v>
      </c>
      <c r="F644" t="inlineStr">
        <is>
          <t>SÖDERMANLANDS LÄN</t>
        </is>
      </c>
      <c r="G644" t="inlineStr">
        <is>
          <t>NYKÖPING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31868-2023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46286</v>
      </c>
      <c r="F645" t="inlineStr">
        <is>
          <t>SÖDERMANLANDS LÄN</t>
        </is>
      </c>
      <c r="G645" t="inlineStr">
        <is>
          <t>NYKÖPING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46737-2025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45926</v>
      </c>
      <c r="E646" s="1" t="n">
        <v>46286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9.4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44869</v>
      </c>
      <c r="E647" s="1" t="n">
        <v>46286</v>
      </c>
      <c r="F647" t="inlineStr">
        <is>
          <t>SÖDERMANLANDS LÄN</t>
        </is>
      </c>
      <c r="G647" t="inlineStr">
        <is>
          <t>NYKÖPING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72679-2021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44546</v>
      </c>
      <c r="E648" s="1" t="n">
        <v>46286</v>
      </c>
      <c r="F648" t="inlineStr">
        <is>
          <t>SÖDERMANLANDS LÄN</t>
        </is>
      </c>
      <c r="G648" t="inlineStr">
        <is>
          <t>NYKÖPING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46244</v>
      </c>
      <c r="E649" s="1" t="n">
        <v>46286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56491-2022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44893</v>
      </c>
      <c r="E650" s="1" t="n">
        <v>46286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Övriga Aktiebolag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8299-2024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45350</v>
      </c>
      <c r="E651" s="1" t="n">
        <v>46286</v>
      </c>
      <c r="F651" t="inlineStr">
        <is>
          <t>SÖDERMANLANDS LÄN</t>
        </is>
      </c>
      <c r="G651" t="inlineStr">
        <is>
          <t>NYKÖPING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8340-2023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44976</v>
      </c>
      <c r="E652" s="1" t="n">
        <v>46286</v>
      </c>
      <c r="F652" t="inlineStr">
        <is>
          <t>SÖDERMANLANDS LÄN</t>
        </is>
      </c>
      <c r="G652" t="inlineStr">
        <is>
          <t>NYKÖPING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46245</v>
      </c>
      <c r="E653" s="1" t="n">
        <v>46286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46286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50698-2024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45602</v>
      </c>
      <c r="E655" s="1" t="n">
        <v>46286</v>
      </c>
      <c r="F655" t="inlineStr">
        <is>
          <t>SÖDERMANLANDS LÄN</t>
        </is>
      </c>
      <c r="G655" t="inlineStr">
        <is>
          <t>NYKÖPING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3353-2022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44585</v>
      </c>
      <c r="E656" s="1" t="n">
        <v>46286</v>
      </c>
      <c r="F656" t="inlineStr">
        <is>
          <t>SÖDERMANLANDS LÄN</t>
        </is>
      </c>
      <c r="G656" t="inlineStr">
        <is>
          <t>NYKÖPING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27915-2023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46286</v>
      </c>
      <c r="F657" t="inlineStr">
        <is>
          <t>SÖDERMANLANDS LÄN</t>
        </is>
      </c>
      <c r="G657" t="inlineStr">
        <is>
          <t>NYKÖPING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46286</v>
      </c>
      <c r="F658" t="inlineStr">
        <is>
          <t>SÖDERMANLANDS LÄN</t>
        </is>
      </c>
      <c r="G658" t="inlineStr">
        <is>
          <t>NYKÖPING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19807-2026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46135</v>
      </c>
      <c r="E659" s="1" t="n">
        <v>46286</v>
      </c>
      <c r="F659" t="inlineStr">
        <is>
          <t>SÖDERMANLANDS LÄN</t>
        </is>
      </c>
      <c r="G659" t="inlineStr">
        <is>
          <t>NYKÖPING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41132-2024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46286</v>
      </c>
      <c r="F660" t="inlineStr">
        <is>
          <t>SÖDERMANLANDS LÄN</t>
        </is>
      </c>
      <c r="G660" t="inlineStr">
        <is>
          <t>NYKÖPING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46286</v>
      </c>
      <c r="F661" t="inlineStr">
        <is>
          <t>SÖDERMANLANDS LÄN</t>
        </is>
      </c>
      <c r="G661" t="inlineStr">
        <is>
          <t>NYKÖPING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45370</v>
      </c>
      <c r="E662" s="1" t="n">
        <v>46286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Kommuner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30198-2022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44757</v>
      </c>
      <c r="E663" s="1" t="n">
        <v>46286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42525-2023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45181</v>
      </c>
      <c r="E664" s="1" t="n">
        <v>46286</v>
      </c>
      <c r="F664" t="inlineStr">
        <is>
          <t>SÖDERMANLANDS LÄN</t>
        </is>
      </c>
      <c r="G664" t="inlineStr">
        <is>
          <t>NYKÖPING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54065-2025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45964</v>
      </c>
      <c r="E665" s="1" t="n">
        <v>46286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45329</v>
      </c>
      <c r="E666" s="1" t="n">
        <v>46286</v>
      </c>
      <c r="F666" t="inlineStr">
        <is>
          <t>SÖDERMANLANDS LÄN</t>
        </is>
      </c>
      <c r="G666" t="inlineStr">
        <is>
          <t>NYKÖPING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52551-2023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45218</v>
      </c>
      <c r="E667" s="1" t="n">
        <v>46286</v>
      </c>
      <c r="F667" t="inlineStr">
        <is>
          <t>SÖDERMANLANDS LÄN</t>
        </is>
      </c>
      <c r="G667" t="inlineStr">
        <is>
          <t>NYKÖPING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18551-2024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45425</v>
      </c>
      <c r="E668" s="1" t="n">
        <v>46286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Kommuner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51259-2024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45603</v>
      </c>
      <c r="E669" s="1" t="n">
        <v>46286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Sveaskog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21917-2022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44711</v>
      </c>
      <c r="E670" s="1" t="n">
        <v>46286</v>
      </c>
      <c r="F670" t="inlineStr">
        <is>
          <t>SÖDERMANLANDS LÄN</t>
        </is>
      </c>
      <c r="G670" t="inlineStr">
        <is>
          <t>NYKÖPING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46286</v>
      </c>
      <c r="F671" t="inlineStr">
        <is>
          <t>SÖDERMANLANDS LÄN</t>
        </is>
      </c>
      <c r="G671" t="inlineStr">
        <is>
          <t>NYKÖPING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33366-2026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46247</v>
      </c>
      <c r="E672" s="1" t="n">
        <v>46286</v>
      </c>
      <c r="F672" t="inlineStr">
        <is>
          <t>SÖDERMANLANDS LÄN</t>
        </is>
      </c>
      <c r="G672" t="inlineStr">
        <is>
          <t>NYKÖPING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45350</v>
      </c>
      <c r="E673" s="1" t="n">
        <v>46286</v>
      </c>
      <c r="F673" t="inlineStr">
        <is>
          <t>SÖDERMANLANDS LÄN</t>
        </is>
      </c>
      <c r="G673" t="inlineStr">
        <is>
          <t>NYKÖPING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46286</v>
      </c>
      <c r="F674" t="inlineStr">
        <is>
          <t>SÖDERMANLANDS LÄN</t>
        </is>
      </c>
      <c r="G674" t="inlineStr">
        <is>
          <t>NYKÖPING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56322-2023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45243</v>
      </c>
      <c r="E675" s="1" t="n">
        <v>46286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Kommuner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44784</v>
      </c>
      <c r="E676" s="1" t="n">
        <v>46286</v>
      </c>
      <c r="F676" t="inlineStr">
        <is>
          <t>SÖDERMANLANDS LÄN</t>
        </is>
      </c>
      <c r="G676" t="inlineStr">
        <is>
          <t>NYKÖPING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51689-2021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44462</v>
      </c>
      <c r="E677" s="1" t="n">
        <v>46286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72666-2021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44546</v>
      </c>
      <c r="E678" s="1" t="n">
        <v>46286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38410-2022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44812</v>
      </c>
      <c r="E679" s="1" t="n">
        <v>46286</v>
      </c>
      <c r="F679" t="inlineStr">
        <is>
          <t>SÖDERMANLANDS LÄN</t>
        </is>
      </c>
      <c r="G679" t="inlineStr">
        <is>
          <t>NYKÖPING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55983-2021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44477</v>
      </c>
      <c r="E680" s="1" t="n">
        <v>46286</v>
      </c>
      <c r="F680" t="inlineStr">
        <is>
          <t>SÖDERMANLANDS LÄN</t>
        </is>
      </c>
      <c r="G680" t="inlineStr">
        <is>
          <t>NYKÖPING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30212-2026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46286</v>
      </c>
      <c r="F681" t="inlineStr">
        <is>
          <t>SÖDERMANLANDS LÄN</t>
        </is>
      </c>
      <c r="G681" t="inlineStr">
        <is>
          <t>NYKÖPING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44575</v>
      </c>
      <c r="E682" s="1" t="n">
        <v>46286</v>
      </c>
      <c r="F682" t="inlineStr">
        <is>
          <t>SÖDERMANLANDS LÄN</t>
        </is>
      </c>
      <c r="G682" t="inlineStr">
        <is>
          <t>NYKÖPING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33494-2026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46247</v>
      </c>
      <c r="E683" s="1" t="n">
        <v>46286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45132</v>
      </c>
      <c r="E684" s="1" t="n">
        <v>46286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45132</v>
      </c>
      <c r="E685" s="1" t="n">
        <v>46286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44579</v>
      </c>
      <c r="E686" s="1" t="n">
        <v>46286</v>
      </c>
      <c r="F686" t="inlineStr">
        <is>
          <t>SÖDERMANLANDS LÄN</t>
        </is>
      </c>
      <c r="G686" t="inlineStr">
        <is>
          <t>NYKÖPING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52258-2023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45224</v>
      </c>
      <c r="E687" s="1" t="n">
        <v>46286</v>
      </c>
      <c r="F687" t="inlineStr">
        <is>
          <t>SÖDERMANLANDS LÄN</t>
        </is>
      </c>
      <c r="G687" t="inlineStr">
        <is>
          <t>NYKÖPING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21257-2023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45062</v>
      </c>
      <c r="E688" s="1" t="n">
        <v>46286</v>
      </c>
      <c r="F688" t="inlineStr">
        <is>
          <t>SÖDERMANLANDS LÄN</t>
        </is>
      </c>
      <c r="G688" t="inlineStr">
        <is>
          <t>NYKÖPING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1558-2024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45306</v>
      </c>
      <c r="E689" s="1" t="n">
        <v>46286</v>
      </c>
      <c r="F689" t="inlineStr">
        <is>
          <t>SÖDERMANLANDS LÄN</t>
        </is>
      </c>
      <c r="G689" t="inlineStr">
        <is>
          <t>NYKÖPING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34161-2026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46253</v>
      </c>
      <c r="E690" s="1" t="n">
        <v>46286</v>
      </c>
      <c r="F690" t="inlineStr">
        <is>
          <t>SÖDERMANLANDS LÄN</t>
        </is>
      </c>
      <c r="G690" t="inlineStr">
        <is>
          <t>NYKÖPING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60210-2022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44910</v>
      </c>
      <c r="E691" s="1" t="n">
        <v>46286</v>
      </c>
      <c r="F691" t="inlineStr">
        <is>
          <t>SÖDERMANLANDS LÄN</t>
        </is>
      </c>
      <c r="G691" t="inlineStr">
        <is>
          <t>NYKÖPING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51410-2022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44869</v>
      </c>
      <c r="E692" s="1" t="n">
        <v>46286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61008-2023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45261</v>
      </c>
      <c r="E693" s="1" t="n">
        <v>46286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30695-2026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46211</v>
      </c>
      <c r="E694" s="1" t="n">
        <v>46286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44938</v>
      </c>
      <c r="E695" s="1" t="n">
        <v>46286</v>
      </c>
      <c r="F695" t="inlineStr">
        <is>
          <t>SÖDERMANLANDS LÄN</t>
        </is>
      </c>
      <c r="G695" t="inlineStr">
        <is>
          <t>NYKÖPING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34169-2026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46253</v>
      </c>
      <c r="E696" s="1" t="n">
        <v>46286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Kyrkan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14848-2024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45398</v>
      </c>
      <c r="E697" s="1" t="n">
        <v>46286</v>
      </c>
      <c r="F697" t="inlineStr">
        <is>
          <t>SÖDERMANLANDS LÄN</t>
        </is>
      </c>
      <c r="G697" t="inlineStr">
        <is>
          <t>NYKÖPING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44575</v>
      </c>
      <c r="E698" s="1" t="n">
        <v>46286</v>
      </c>
      <c r="F698" t="inlineStr">
        <is>
          <t>SÖDERMANLANDS LÄN</t>
        </is>
      </c>
      <c r="G698" t="inlineStr">
        <is>
          <t>NYKÖPING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57028-2024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45628</v>
      </c>
      <c r="E699" s="1" t="n">
        <v>46286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46286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21249-2023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45062</v>
      </c>
      <c r="E701" s="1" t="n">
        <v>46286</v>
      </c>
      <c r="F701" t="inlineStr">
        <is>
          <t>SÖDERMANLANDS LÄN</t>
        </is>
      </c>
      <c r="G701" t="inlineStr">
        <is>
          <t>NYKÖPING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45310</v>
      </c>
      <c r="E702" s="1" t="n">
        <v>46286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14370-2022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44652</v>
      </c>
      <c r="E703" s="1" t="n">
        <v>46286</v>
      </c>
      <c r="F703" t="inlineStr">
        <is>
          <t>SÖDERMANLANDS LÄN</t>
        </is>
      </c>
      <c r="G703" t="inlineStr">
        <is>
          <t>NYKÖPING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44950</v>
      </c>
      <c r="E704" s="1" t="n">
        <v>46286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8407-2023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44977</v>
      </c>
      <c r="E705" s="1" t="n">
        <v>46286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Övriga Aktiebolag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44932</v>
      </c>
      <c r="E706" s="1" t="n">
        <v>46286</v>
      </c>
      <c r="F706" t="inlineStr">
        <is>
          <t>SÖDERMANLANDS LÄN</t>
        </is>
      </c>
      <c r="G706" t="inlineStr">
        <is>
          <t>NYKÖPING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44932</v>
      </c>
      <c r="E707" s="1" t="n">
        <v>46286</v>
      </c>
      <c r="F707" t="inlineStr">
        <is>
          <t>SÖDERMANLANDS LÄN</t>
        </is>
      </c>
      <c r="G707" t="inlineStr">
        <is>
          <t>NYKÖPING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46286</v>
      </c>
      <c r="F708" t="inlineStr">
        <is>
          <t>SÖDERMANLANDS LÄN</t>
        </is>
      </c>
      <c r="G708" t="inlineStr">
        <is>
          <t>NYKÖPING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46286</v>
      </c>
      <c r="F709" t="inlineStr">
        <is>
          <t>SÖDERMANLANDS LÄN</t>
        </is>
      </c>
      <c r="G709" t="inlineStr">
        <is>
          <t>NYKÖPING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41241-2023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45173</v>
      </c>
      <c r="E710" s="1" t="n">
        <v>46286</v>
      </c>
      <c r="F710" t="inlineStr">
        <is>
          <t>SÖDERMANLANDS LÄN</t>
        </is>
      </c>
      <c r="G710" t="inlineStr">
        <is>
          <t>NYKÖPING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53800-2022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44880</v>
      </c>
      <c r="E711" s="1" t="n">
        <v>46286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Övriga Aktiebolag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18123-2023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45040</v>
      </c>
      <c r="E712" s="1" t="n">
        <v>46286</v>
      </c>
      <c r="F712" t="inlineStr">
        <is>
          <t>SÖDERMANLANDS LÄN</t>
        </is>
      </c>
      <c r="G712" t="inlineStr">
        <is>
          <t>NYKÖPING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24197-2022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44725</v>
      </c>
      <c r="E713" s="1" t="n">
        <v>46286</v>
      </c>
      <c r="F713" t="inlineStr">
        <is>
          <t>SÖDERMANLANDS LÄN</t>
        </is>
      </c>
      <c r="G713" t="inlineStr">
        <is>
          <t>NYKÖPING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32928-2022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44784</v>
      </c>
      <c r="E714" s="1" t="n">
        <v>46286</v>
      </c>
      <c r="F714" t="inlineStr">
        <is>
          <t>SÖDERMANLANDS LÄN</t>
        </is>
      </c>
      <c r="G714" t="inlineStr">
        <is>
          <t>NYKÖPING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16457-2023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45029</v>
      </c>
      <c r="E715" s="1" t="n">
        <v>46286</v>
      </c>
      <c r="F715" t="inlineStr">
        <is>
          <t>SÖDERMANLANDS LÄN</t>
        </is>
      </c>
      <c r="G715" t="inlineStr">
        <is>
          <t>NYKÖPING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65174-2023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45288</v>
      </c>
      <c r="E716" s="1" t="n">
        <v>46286</v>
      </c>
      <c r="F716" t="inlineStr">
        <is>
          <t>SÖDERMANLANDS LÄN</t>
        </is>
      </c>
      <c r="G716" t="inlineStr">
        <is>
          <t>NYKÖPING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49223-2022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44858</v>
      </c>
      <c r="E717" s="1" t="n">
        <v>46286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Övriga statliga verk och myndigheter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7036-2023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44968</v>
      </c>
      <c r="E718" s="1" t="n">
        <v>46286</v>
      </c>
      <c r="F718" t="inlineStr">
        <is>
          <t>SÖDERMANLANDS LÄN</t>
        </is>
      </c>
      <c r="G718" t="inlineStr">
        <is>
          <t>NYKÖPING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45160</v>
      </c>
      <c r="E719" s="1" t="n">
        <v>46286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38063-2023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45160</v>
      </c>
      <c r="E720" s="1" t="n">
        <v>46286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Kommuner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4479-2025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45686</v>
      </c>
      <c r="E721" s="1" t="n">
        <v>46286</v>
      </c>
      <c r="F721" t="inlineStr">
        <is>
          <t>SÖDERMANLANDS LÄN</t>
        </is>
      </c>
      <c r="G721" t="inlineStr">
        <is>
          <t>NYKÖPING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11554-2025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45727</v>
      </c>
      <c r="E722" s="1" t="n">
        <v>46286</v>
      </c>
      <c r="F722" t="inlineStr">
        <is>
          <t>SÖDERMANLANDS LÄN</t>
        </is>
      </c>
      <c r="G722" t="inlineStr">
        <is>
          <t>NYKÖPING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10287-2024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45365</v>
      </c>
      <c r="E723" s="1" t="n">
        <v>46286</v>
      </c>
      <c r="F723" t="inlineStr">
        <is>
          <t>SÖDERMANLANDS LÄN</t>
        </is>
      </c>
      <c r="G723" t="inlineStr">
        <is>
          <t>NYKÖPING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31469-2026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46222</v>
      </c>
      <c r="E724" s="1" t="n">
        <v>46286</v>
      </c>
      <c r="F724" t="inlineStr">
        <is>
          <t>SÖDERMANLANDS LÄN</t>
        </is>
      </c>
      <c r="G724" t="inlineStr">
        <is>
          <t>NYKÖPING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1638-2024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45306</v>
      </c>
      <c r="E725" s="1" t="n">
        <v>46286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65172-2023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45288</v>
      </c>
      <c r="E726" s="1" t="n">
        <v>46286</v>
      </c>
      <c r="F726" t="inlineStr">
        <is>
          <t>SÖDERMANLANDS LÄN</t>
        </is>
      </c>
      <c r="G726" t="inlineStr">
        <is>
          <t>NYKÖPING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38922-2024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45547</v>
      </c>
      <c r="E727" s="1" t="n">
        <v>46286</v>
      </c>
      <c r="F727" t="inlineStr">
        <is>
          <t>SÖDERMANLANDS LÄN</t>
        </is>
      </c>
      <c r="G727" t="inlineStr">
        <is>
          <t>NYKÖPING</t>
        </is>
      </c>
      <c r="I727" t="n">
        <v>10.3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11908-2023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44995</v>
      </c>
      <c r="E728" s="1" t="n">
        <v>46286</v>
      </c>
      <c r="F728" t="inlineStr">
        <is>
          <t>SÖDERMANLANDS LÄN</t>
        </is>
      </c>
      <c r="G728" t="inlineStr">
        <is>
          <t>NYKÖPING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2939-2022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44581</v>
      </c>
      <c r="E729" s="1" t="n">
        <v>46286</v>
      </c>
      <c r="F729" t="inlineStr">
        <is>
          <t>SÖDERMANLANDS LÄN</t>
        </is>
      </c>
      <c r="G729" t="inlineStr">
        <is>
          <t>NYKÖPING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36000-2023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45148</v>
      </c>
      <c r="E730" s="1" t="n">
        <v>46286</v>
      </c>
      <c r="F730" t="inlineStr">
        <is>
          <t>SÖDERMANLANDS LÄN</t>
        </is>
      </c>
      <c r="G730" t="inlineStr">
        <is>
          <t>NYKÖPING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8787-2025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45712</v>
      </c>
      <c r="E731" s="1" t="n">
        <v>46286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24285-2022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46286</v>
      </c>
      <c r="F732" t="inlineStr">
        <is>
          <t>SÖDERMANLANDS LÄN</t>
        </is>
      </c>
      <c r="G732" t="inlineStr">
        <is>
          <t>NYKÖPING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6491-2023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44966</v>
      </c>
      <c r="E733" s="1" t="n">
        <v>46286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Övriga Aktiebolag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71555-2021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44540</v>
      </c>
      <c r="E734" s="1" t="n">
        <v>46286</v>
      </c>
      <c r="F734" t="inlineStr">
        <is>
          <t>SÖDERMANLANDS LÄN</t>
        </is>
      </c>
      <c r="G734" t="inlineStr">
        <is>
          <t>NYKÖPING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17372-2023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46286</v>
      </c>
      <c r="F735" t="inlineStr">
        <is>
          <t>SÖDERMANLANDS LÄN</t>
        </is>
      </c>
      <c r="G735" t="inlineStr">
        <is>
          <t>NYKÖPING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42251-2022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44830</v>
      </c>
      <c r="E736" s="1" t="n">
        <v>46286</v>
      </c>
      <c r="F736" t="inlineStr">
        <is>
          <t>SÖDERMANLANDS LÄN</t>
        </is>
      </c>
      <c r="G736" t="inlineStr">
        <is>
          <t>NYKÖPING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36714-2023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45153</v>
      </c>
      <c r="E737" s="1" t="n">
        <v>46286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Kommuner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46286</v>
      </c>
      <c r="F738" t="inlineStr">
        <is>
          <t>SÖDERMANLANDS LÄN</t>
        </is>
      </c>
      <c r="G738" t="inlineStr">
        <is>
          <t>NYKÖPING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58857-2021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44489</v>
      </c>
      <c r="E739" s="1" t="n">
        <v>46286</v>
      </c>
      <c r="F739" t="inlineStr">
        <is>
          <t>SÖDERMANLANDS LÄN</t>
        </is>
      </c>
      <c r="G739" t="inlineStr">
        <is>
          <t>NYKÖPING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34049-2026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46252</v>
      </c>
      <c r="E740" s="1" t="n">
        <v>46286</v>
      </c>
      <c r="F740" t="inlineStr">
        <is>
          <t>SÖDERMANLANDS LÄN</t>
        </is>
      </c>
      <c r="G740" t="inlineStr">
        <is>
          <t>NYKÖPING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20482-2025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45775</v>
      </c>
      <c r="E741" s="1" t="n">
        <v>46286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Kommuner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31760-2026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46228</v>
      </c>
      <c r="E742" s="1" t="n">
        <v>46286</v>
      </c>
      <c r="F742" t="inlineStr">
        <is>
          <t>SÖDERMANLANDS LÄN</t>
        </is>
      </c>
      <c r="G742" t="inlineStr">
        <is>
          <t>NYKÖPING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44824-2023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45190</v>
      </c>
      <c r="E743" s="1" t="n">
        <v>46286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7045-2023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44968</v>
      </c>
      <c r="E744" s="1" t="n">
        <v>46286</v>
      </c>
      <c r="F744" t="inlineStr">
        <is>
          <t>SÖDERMANLANDS LÄN</t>
        </is>
      </c>
      <c r="G744" t="inlineStr">
        <is>
          <t>NYKÖPING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46286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45635</v>
      </c>
      <c r="E746" s="1" t="n">
        <v>46286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34203-2024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45524</v>
      </c>
      <c r="E747" s="1" t="n">
        <v>46286</v>
      </c>
      <c r="F747" t="inlineStr">
        <is>
          <t>SÖDERMANLANDS LÄN</t>
        </is>
      </c>
      <c r="G747" t="inlineStr">
        <is>
          <t>NYKÖPING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59148-2024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45637</v>
      </c>
      <c r="E748" s="1" t="n">
        <v>46286</v>
      </c>
      <c r="F748" t="inlineStr">
        <is>
          <t>SÖDERMANLANDS LÄN</t>
        </is>
      </c>
      <c r="G748" t="inlineStr">
        <is>
          <t>NYKÖPING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32295-2026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46237</v>
      </c>
      <c r="E749" s="1" t="n">
        <v>46286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46286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32499-2026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46239</v>
      </c>
      <c r="E751" s="1" t="n">
        <v>46286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53071-2024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45611</v>
      </c>
      <c r="E752" s="1" t="n">
        <v>46286</v>
      </c>
      <c r="F752" t="inlineStr">
        <is>
          <t>SÖDERMANLANDS LÄN</t>
        </is>
      </c>
      <c r="G752" t="inlineStr">
        <is>
          <t>NYKÖPING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46286</v>
      </c>
      <c r="F753" t="inlineStr">
        <is>
          <t>SÖDERMANLANDS LÄN</t>
        </is>
      </c>
      <c r="G753" t="inlineStr">
        <is>
          <t>NYKÖPING</t>
        </is>
      </c>
      <c r="I753" t="n">
        <v>13.9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55865-2023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45239</v>
      </c>
      <c r="E754" s="1" t="n">
        <v>46286</v>
      </c>
      <c r="F754" t="inlineStr">
        <is>
          <t>SÖDERMANLANDS LÄN</t>
        </is>
      </c>
      <c r="G754" t="inlineStr">
        <is>
          <t>NYKÖPING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32584-2026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46240</v>
      </c>
      <c r="E755" s="1" t="n">
        <v>46286</v>
      </c>
      <c r="F755" t="inlineStr">
        <is>
          <t>SÖDERMANLANDS LÄN</t>
        </is>
      </c>
      <c r="G755" t="inlineStr">
        <is>
          <t>NYKÖPING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46283</v>
      </c>
      <c r="E756" s="1" t="n">
        <v>46286</v>
      </c>
      <c r="F756" t="inlineStr">
        <is>
          <t>SÖDERMANLANDS LÄN</t>
        </is>
      </c>
      <c r="G756" t="inlineStr">
        <is>
          <t>NYKÖPING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2059-2025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45672</v>
      </c>
      <c r="E757" s="1" t="n">
        <v>46286</v>
      </c>
      <c r="F757" t="inlineStr">
        <is>
          <t>SÖDERMANLANDS LÄN</t>
        </is>
      </c>
      <c r="G757" t="inlineStr">
        <is>
          <t>NYKÖPING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12844-2025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45733</v>
      </c>
      <c r="E758" s="1" t="n">
        <v>46286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45817</v>
      </c>
      <c r="E759" s="1" t="n">
        <v>46286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45817</v>
      </c>
      <c r="E760" s="1" t="n">
        <v>46286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27947-2025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45817</v>
      </c>
      <c r="E761" s="1" t="n">
        <v>46286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45819</v>
      </c>
      <c r="E762" s="1" t="n">
        <v>46286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15056-2025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45743</v>
      </c>
      <c r="E763" s="1" t="n">
        <v>46286</v>
      </c>
      <c r="F763" t="inlineStr">
        <is>
          <t>SÖDERMANLANDS LÄN</t>
        </is>
      </c>
      <c r="G763" t="inlineStr">
        <is>
          <t>NYKÖPING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31034-2025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45831</v>
      </c>
      <c r="E764" s="1" t="n">
        <v>46286</v>
      </c>
      <c r="F764" t="inlineStr">
        <is>
          <t>SÖDERMANLANDS LÄN</t>
        </is>
      </c>
      <c r="G764" t="inlineStr">
        <is>
          <t>NYKÖPING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30706-2025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45831</v>
      </c>
      <c r="E765" s="1" t="n">
        <v>46286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Sveaskog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31928-2025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45834</v>
      </c>
      <c r="E766" s="1" t="n">
        <v>46286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31922-2025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45834</v>
      </c>
      <c r="E767" s="1" t="n">
        <v>46286</v>
      </c>
      <c r="F767" t="inlineStr">
        <is>
          <t>SÖDERMANLANDS LÄN</t>
        </is>
      </c>
      <c r="G767" t="inlineStr">
        <is>
          <t>NYKÖPING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31923-2025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45834</v>
      </c>
      <c r="E768" s="1" t="n">
        <v>46286</v>
      </c>
      <c r="F768" t="inlineStr">
        <is>
          <t>SÖDERMANLANDS LÄN</t>
        </is>
      </c>
      <c r="G768" t="inlineStr">
        <is>
          <t>NYKÖPING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45834</v>
      </c>
      <c r="E769" s="1" t="n">
        <v>46286</v>
      </c>
      <c r="F769" t="inlineStr">
        <is>
          <t>SÖDERMANLANDS LÄN</t>
        </is>
      </c>
      <c r="G769" t="inlineStr">
        <is>
          <t>NYKÖPING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33382-2025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45841</v>
      </c>
      <c r="E770" s="1" t="n">
        <v>46286</v>
      </c>
      <c r="F770" t="inlineStr">
        <is>
          <t>SÖDERMANLANDS LÄN</t>
        </is>
      </c>
      <c r="G770" t="inlineStr">
        <is>
          <t>NYKÖPING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33764-2025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45842</v>
      </c>
      <c r="E771" s="1" t="n">
        <v>46286</v>
      </c>
      <c r="F771" t="inlineStr">
        <is>
          <t>SÖDERMANLANDS LÄN</t>
        </is>
      </c>
      <c r="G771" t="inlineStr">
        <is>
          <t>NYKÖPING</t>
        </is>
      </c>
      <c r="I771" t="n">
        <v>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33773-2025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45842</v>
      </c>
      <c r="E772" s="1" t="n">
        <v>46286</v>
      </c>
      <c r="F772" t="inlineStr">
        <is>
          <t>SÖDERMANLANDS LÄN</t>
        </is>
      </c>
      <c r="G772" t="inlineStr">
        <is>
          <t>NYKÖPING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33767-2025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45842</v>
      </c>
      <c r="E773" s="1" t="n">
        <v>46286</v>
      </c>
      <c r="F773" t="inlineStr">
        <is>
          <t>SÖDERMANLANDS LÄN</t>
        </is>
      </c>
      <c r="G773" t="inlineStr">
        <is>
          <t>NYKÖPING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34012-2025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45844</v>
      </c>
      <c r="E774" s="1" t="n">
        <v>46286</v>
      </c>
      <c r="F774" t="inlineStr">
        <is>
          <t>SÖDERMANLANDS LÄN</t>
        </is>
      </c>
      <c r="G774" t="inlineStr">
        <is>
          <t>NYKÖPING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45842</v>
      </c>
      <c r="E775" s="1" t="n">
        <v>46286</v>
      </c>
      <c r="F775" t="inlineStr">
        <is>
          <t>SÖDERMANLANDS LÄN</t>
        </is>
      </c>
      <c r="G775" t="inlineStr">
        <is>
          <t>NYKÖPING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13763-2025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45737</v>
      </c>
      <c r="E776" s="1" t="n">
        <v>46286</v>
      </c>
      <c r="F776" t="inlineStr">
        <is>
          <t>SÖDERMANLANDS LÄN</t>
        </is>
      </c>
      <c r="G776" t="inlineStr">
        <is>
          <t>NYKÖPING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35732-2025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45860</v>
      </c>
      <c r="E777" s="1" t="n">
        <v>46286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44944</v>
      </c>
      <c r="E778" s="1" t="n">
        <v>46286</v>
      </c>
      <c r="F778" t="inlineStr">
        <is>
          <t>SÖDERMANLANDS LÄN</t>
        </is>
      </c>
      <c r="G778" t="inlineStr">
        <is>
          <t>NYKÖPING</t>
        </is>
      </c>
      <c r="I778" t="n">
        <v>14.9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1999-2020</t>
        </is>
      </c>
      <c r="B779" t="inlineStr">
        <is>
          <t>samrådsanmälan</t>
        </is>
      </c>
      <c r="C779" t="inlineStr">
        <is>
          <t>Åtgärd i nyckelbiotop</t>
        </is>
      </c>
      <c r="D779" s="1" t="n">
        <v>44092</v>
      </c>
      <c r="E779" s="1" t="n">
        <v>46286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Kommuner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1573-2020</t>
        </is>
      </c>
      <c r="B780" t="inlineStr">
        <is>
          <t>samrådsanmälan</t>
        </is>
      </c>
      <c r="C780" t="inlineStr">
        <is>
          <t>Åtgärd i nyckelbiotop</t>
        </is>
      </c>
      <c r="D780" s="1" t="n">
        <v>44013</v>
      </c>
      <c r="E780" s="1" t="n">
        <v>46286</v>
      </c>
      <c r="F780" t="inlineStr">
        <is>
          <t>SÖDERMANLANDS LÄN</t>
        </is>
      </c>
      <c r="G780" t="inlineStr">
        <is>
          <t>NYKÖPING</t>
        </is>
      </c>
      <c r="I780" t="n">
        <v>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3783-2023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45223</v>
      </c>
      <c r="E781" s="1" t="n">
        <v>46286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2311-2022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44684</v>
      </c>
      <c r="E782" s="1" t="n">
        <v>46286</v>
      </c>
      <c r="F782" t="inlineStr">
        <is>
          <t>SÖDERMANLANDS LÄN</t>
        </is>
      </c>
      <c r="G782" t="inlineStr">
        <is>
          <t>NYKÖPING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220-2023</t>
        </is>
      </c>
      <c r="B783" t="inlineStr">
        <is>
          <t>samrådsanmälan</t>
        </is>
      </c>
      <c r="C783" t="inlineStr">
        <is>
          <t>Stubbskörd</t>
        </is>
      </c>
      <c r="D783" s="1" t="n">
        <v>44949</v>
      </c>
      <c r="E783" s="1" t="n">
        <v>46286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3579-2022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44735</v>
      </c>
      <c r="E784" s="1" t="n">
        <v>46286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1224-2023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45029</v>
      </c>
      <c r="E785" s="1" t="n">
        <v>46286</v>
      </c>
      <c r="F785" t="inlineStr">
        <is>
          <t>SÖDERMANLANDS LÄN</t>
        </is>
      </c>
      <c r="G785" t="inlineStr">
        <is>
          <t>NYKÖPING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633-2025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45714</v>
      </c>
      <c r="E786" s="1" t="n">
        <v>46286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Holmen skog AB</t>
        </is>
      </c>
      <c r="I786" t="n">
        <v>39.6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3071-2024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45517</v>
      </c>
      <c r="E787" s="1" t="n">
        <v>46286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2818-2025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45939</v>
      </c>
      <c r="E788" s="1" t="n">
        <v>46286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Sveaskog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641-2026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46090</v>
      </c>
      <c r="E789" s="1" t="n">
        <v>46286</v>
      </c>
      <c r="F789" t="inlineStr">
        <is>
          <t>SÖDERMANLANDS LÄN</t>
        </is>
      </c>
      <c r="G789" t="inlineStr">
        <is>
          <t>NYKÖPING</t>
        </is>
      </c>
      <c r="I789" t="n">
        <v>46.2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248-2026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46050</v>
      </c>
      <c r="E790" s="1" t="n">
        <v>46286</v>
      </c>
      <c r="F790" t="inlineStr">
        <is>
          <t>SÖDERMANLANDS LÄN</t>
        </is>
      </c>
      <c r="G790" t="inlineStr">
        <is>
          <t>NYKÖPING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2026-09-21T02:02:23Z</dcterms:created>
  <dcterms:modified xmlns:dcterms="http://purl.org/dc/terms/" xmlns:xsi="http://www.w3.org/2001/XMLSchema-instance" xsi:type="dcterms:W3CDTF">2026-09-21T02:02:23Z</dcterms:modified>
</cp:coreProperties>
</file>