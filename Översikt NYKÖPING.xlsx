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46282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46282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46282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46282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46282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46282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46282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46282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46282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46282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56099-2024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45624</v>
      </c>
      <c r="E12" s="1" t="n">
        <v>46282</v>
      </c>
      <c r="F12" t="inlineStr">
        <is>
          <t>SÖDERMANLANDS LÄN</t>
        </is>
      </c>
      <c r="G12" t="inlineStr">
        <is>
          <t>NYKÖPING</t>
        </is>
      </c>
      <c r="I12" t="n">
        <v>4.7</v>
      </c>
      <c r="J12" t="n">
        <v>0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Granbarkgnagare
Grovticka
Jättesvampmal
Stekelbock
Stor aspticka
Stubbspretmossa</t>
        </is>
      </c>
      <c r="W12">
        <f>HYPERLINK("https://klasma.github.io/Logging_0480/artfynd/A 56099-2024 artfynd.xlsx", "A 56099-2024")</f>
        <v/>
      </c>
      <c r="X12">
        <f>HYPERLINK("https://klasma.github.io/Logging_0480/kartor/A 56099-2024 karta.png", "A 56099-2024")</f>
        <v/>
      </c>
      <c r="Y12">
        <f>HYPERLINK("https://klasma.github.io/Logging_0480/kartor_geotiff/A 56099-2024 georefererad karta.tif", "A 56099-2024")</f>
        <v/>
      </c>
      <c r="AA12">
        <f>HYPERLINK("https://klasma.github.io/Logging_0480/klagomål/A 56099-2024 FSC-klagomål.docx", "A 56099-2024")</f>
        <v/>
      </c>
      <c r="AB12">
        <f>HYPERLINK("https://klasma.github.io/Logging_0480/klagomålsmail/A 56099-2024 FSC-klagomål mail.docx", "A 56099-2024")</f>
        <v/>
      </c>
      <c r="AC12">
        <f>HYPERLINK("https://klasma.github.io/Logging_0480/tillsyn/A 56099-2024 tillsynsbegäran.docx", "A 56099-2024")</f>
        <v/>
      </c>
      <c r="AD12">
        <f>HYPERLINK("https://klasma.github.io/Logging_0480/tillsynsmail/A 56099-2024 tillsynsbegäran mail.docx", "A 56099-2024")</f>
        <v/>
      </c>
    </row>
    <row r="13" ht="15" customHeight="1">
      <c r="A13" t="inlineStr">
        <is>
          <t>A 29797-2024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45485</v>
      </c>
      <c r="E13" s="1" t="n">
        <v>46282</v>
      </c>
      <c r="F13" t="inlineStr">
        <is>
          <t>SÖDERMANLANDS LÄN</t>
        </is>
      </c>
      <c r="G13" t="inlineStr">
        <is>
          <t>NYKÖPING</t>
        </is>
      </c>
      <c r="I13" t="n">
        <v>22.2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7</v>
      </c>
      <c r="U13" t="n">
        <v>2</v>
      </c>
      <c r="V13" s="2" t="inlineStr">
        <is>
          <t>Jungfrulin
Spillkråka
Citronfläckad kärrtrollslända
Större vattensalamander
Trana
Revlummer</t>
        </is>
      </c>
      <c r="W13">
        <f>HYPERLINK("https://klasma.github.io/Logging_0480/artfynd/A 29797-2024 artfynd.xlsx", "A 29797-2024")</f>
        <v/>
      </c>
      <c r="X13">
        <f>HYPERLINK("https://klasma.github.io/Logging_0480/kartor/A 29797-2024 karta.png", "A 29797-2024")</f>
        <v/>
      </c>
      <c r="Y13">
        <f>HYPERLINK("https://klasma.github.io/Logging_0480/kartor_geotiff/A 29797-2024 georefererad karta.tif", "A 29797-2024")</f>
        <v/>
      </c>
      <c r="AA13">
        <f>HYPERLINK("https://klasma.github.io/Logging_0480/klagomål/A 29797-2024 FSC-klagomål.docx", "A 29797-2024")</f>
        <v/>
      </c>
      <c r="AB13">
        <f>HYPERLINK("https://klasma.github.io/Logging_0480/klagomålsmail/A 29797-2024 FSC-klagomål mail.docx", "A 29797-2024")</f>
        <v/>
      </c>
      <c r="AC13">
        <f>HYPERLINK("https://klasma.github.io/Logging_0480/tillsyn/A 29797-2024 tillsynsbegäran.docx", "A 29797-2024")</f>
        <v/>
      </c>
      <c r="AD13">
        <f>HYPERLINK("https://klasma.github.io/Logging_0480/tillsynsmail/A 29797-2024 tillsynsbegäran mail.docx", "A 29797-2024")</f>
        <v/>
      </c>
      <c r="AE13">
        <f>HYPERLINK("https://klasma.github.io/Logging_0480/fåglar/A 29797-2024 prioriterade fågelarter.docx", "A 29797-2024")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46282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32882-2026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46244</v>
      </c>
      <c r="E15" s="1" t="n">
        <v>46282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7.9</v>
      </c>
      <c r="J15" t="n">
        <v>0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8</v>
      </c>
      <c r="U15" t="n">
        <v>0</v>
      </c>
      <c r="V15" s="2" t="inlineStr">
        <is>
          <t>Brunfläckig pärlemorfjäril
Berggräsfjäril
Dvärgbägarlav
Motaggsvamp
Vedskivlav
Blåmossa</t>
        </is>
      </c>
      <c r="W15">
        <f>HYPERLINK("https://klasma.github.io/Logging_0480/artfynd/A 32882-2026 artfynd.xlsx", "A 32882-2026")</f>
        <v/>
      </c>
      <c r="X15">
        <f>HYPERLINK("https://klasma.github.io/Logging_0480/kartor/A 32882-2026 karta.png", "A 32882-2026")</f>
        <v/>
      </c>
      <c r="Y15">
        <f>HYPERLINK("https://klasma.github.io/Logging_0480/kartor_geotiff/A 32882-2026 georefererad karta.tif", "A 32882-2026")</f>
        <v/>
      </c>
      <c r="AA15">
        <f>HYPERLINK("https://klasma.github.io/Logging_0480/klagomål/A 32882-2026 FSC-klagomål.docx", "A 32882-2026")</f>
        <v/>
      </c>
      <c r="AB15">
        <f>HYPERLINK("https://klasma.github.io/Logging_0480/klagomålsmail/A 32882-2026 FSC-klagomål mail.docx", "A 32882-2026")</f>
        <v/>
      </c>
      <c r="AC15">
        <f>HYPERLINK("https://klasma.github.io/Logging_0480/tillsyn/A 32882-2026 tillsynsbegäran.docx", "A 32882-2026")</f>
        <v/>
      </c>
      <c r="AD15">
        <f>HYPERLINK("https://klasma.github.io/Logging_0480/tillsynsmail/A 32882-2026 tillsynsbegäran mail.docx", "A 32882-2026")</f>
        <v/>
      </c>
    </row>
    <row r="16" ht="15" customHeight="1">
      <c r="A16" t="inlineStr">
        <is>
          <t>A 56727-2025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45978</v>
      </c>
      <c r="E16" s="1" t="n">
        <v>46282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2.9</v>
      </c>
      <c r="J16" t="n">
        <v>6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6</v>
      </c>
      <c r="T16" t="n">
        <v>24</v>
      </c>
      <c r="U16" t="n">
        <v>5</v>
      </c>
      <c r="V16" s="2" t="inlineStr">
        <is>
          <t>Hasselsnok
Sandödla
Huggorm
Kopparödla
Skogsödla
Vanlig snok</t>
        </is>
      </c>
      <c r="W16">
        <f>HYPERLINK("https://klasma.github.io/Logging_0480/artfynd/A 56727-2025 artfynd.xlsx", "A 56727-2025")</f>
        <v/>
      </c>
      <c r="X16">
        <f>HYPERLINK("https://klasma.github.io/Logging_0480/kartor/A 56727-2025 karta.png", "A 56727-2025")</f>
        <v/>
      </c>
      <c r="Y16">
        <f>HYPERLINK("https://klasma.github.io/Logging_0480/kartor_geotiff/A 56727-2025 georefererad karta.tif", "A 56727-2025")</f>
        <v/>
      </c>
      <c r="AA16">
        <f>HYPERLINK("https://klasma.github.io/Logging_0480/klagomål/A 56727-2025 FSC-klagomål.docx", "A 56727-2025")</f>
        <v/>
      </c>
      <c r="AB16">
        <f>HYPERLINK("https://klasma.github.io/Logging_0480/klagomålsmail/A 56727-2025 FSC-klagomål mail.docx", "A 56727-2025")</f>
        <v/>
      </c>
      <c r="AC16">
        <f>HYPERLINK("https://klasma.github.io/Logging_0480/tillsyn/A 56727-2025 tillsynsbegäran.docx", "A 56727-2025")</f>
        <v/>
      </c>
      <c r="AD16">
        <f>HYPERLINK("https://klasma.github.io/Logging_0480/tillsynsmail/A 56727-2025 tillsynsbegäran mail.docx", "A 56727-2025")</f>
        <v/>
      </c>
    </row>
    <row r="17" ht="15" customHeight="1">
      <c r="A17" t="inlineStr">
        <is>
          <t>A 5855-2024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45335</v>
      </c>
      <c r="E17" s="1" t="n">
        <v>46282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3.3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10</v>
      </c>
      <c r="U17" t="n">
        <v>0</v>
      </c>
      <c r="V17" s="2" t="inlineStr">
        <is>
          <t>Berggräsfjäril
Jungfrulin
Svinrot
Mindre vattensalamander
Fläcknycklar
Revlummer</t>
        </is>
      </c>
      <c r="W17">
        <f>HYPERLINK("https://klasma.github.io/Logging_0480/artfynd/A 5855-2024 artfynd.xlsx", "A 5855-2024")</f>
        <v/>
      </c>
      <c r="X17">
        <f>HYPERLINK("https://klasma.github.io/Logging_0480/kartor/A 5855-2024 karta.png", "A 5855-2024")</f>
        <v/>
      </c>
      <c r="Y17">
        <f>HYPERLINK("https://klasma.github.io/Logging_0480/kartor_geotiff/A 5855-2024 georefererad karta.tif", "A 5855-2024")</f>
        <v/>
      </c>
      <c r="AA17">
        <f>HYPERLINK("https://klasma.github.io/Logging_0480/klagomål/A 5855-2024 FSC-klagomål.docx", "A 5855-2024")</f>
        <v/>
      </c>
      <c r="AB17">
        <f>HYPERLINK("https://klasma.github.io/Logging_0480/klagomålsmail/A 5855-2024 FSC-klagomål mail.docx", "A 5855-2024")</f>
        <v/>
      </c>
      <c r="AC17">
        <f>HYPERLINK("https://klasma.github.io/Logging_0480/tillsyn/A 5855-2024 tillsynsbegäran.docx", "A 5855-2024")</f>
        <v/>
      </c>
      <c r="AD17">
        <f>HYPERLINK("https://klasma.github.io/Logging_0480/tillsynsmail/A 5855-2024 tillsynsbegäran mail.docx", "A 5855-2024")</f>
        <v/>
      </c>
    </row>
    <row r="18" ht="15" customHeight="1">
      <c r="A18" t="inlineStr">
        <is>
          <t>A 3671-2026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46043</v>
      </c>
      <c r="E18" s="1" t="n">
        <v>46282</v>
      </c>
      <c r="F18" t="inlineStr">
        <is>
          <t>SÖDERMANLANDS LÄN</t>
        </is>
      </c>
      <c r="G18" t="inlineStr">
        <is>
          <t>NYKÖPING</t>
        </is>
      </c>
      <c r="I18" t="n">
        <v>1.6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6</v>
      </c>
      <c r="U18" t="n">
        <v>0</v>
      </c>
      <c r="V18" s="2" t="inlineStr">
        <is>
          <t>Vedtrappmossa
Blomkålssvamp
Granbarkgnagare
Havsörn
Revlummer</t>
        </is>
      </c>
      <c r="W18">
        <f>HYPERLINK("https://klasma.github.io/Logging_0480/artfynd/A 3671-2026 artfynd.xlsx", "A 3671-2026")</f>
        <v/>
      </c>
      <c r="X18">
        <f>HYPERLINK("https://klasma.github.io/Logging_0480/kartor/A 3671-2026 karta.png", "A 3671-2026")</f>
        <v/>
      </c>
      <c r="Y18">
        <f>HYPERLINK("https://klasma.github.io/Logging_0480/kartor_geotiff/A 3671-2026 georefererad karta.tif", "A 3671-2026")</f>
        <v/>
      </c>
      <c r="AA18">
        <f>HYPERLINK("https://klasma.github.io/Logging_0480/klagomål/A 3671-2026 FSC-klagomål.docx", "A 3671-2026")</f>
        <v/>
      </c>
      <c r="AB18">
        <f>HYPERLINK("https://klasma.github.io/Logging_0480/klagomålsmail/A 3671-2026 FSC-klagomål mail.docx", "A 3671-2026")</f>
        <v/>
      </c>
      <c r="AC18">
        <f>HYPERLINK("https://klasma.github.io/Logging_0480/tillsyn/A 3671-2026 tillsynsbegäran.docx", "A 3671-2026")</f>
        <v/>
      </c>
      <c r="AD18">
        <f>HYPERLINK("https://klasma.github.io/Logging_0480/tillsynsmail/A 3671-2026 tillsynsbegäran mail.docx", "A 3671-2026")</f>
        <v/>
      </c>
      <c r="AE18">
        <f>HYPERLINK("https://klasma.github.io/Logging_0480/fåglar/A 3671-2026 prioriterade fågelarter.docx", "A 3671-2026")</f>
        <v/>
      </c>
    </row>
    <row r="19" ht="15" customHeight="1">
      <c r="A19" t="inlineStr">
        <is>
          <t>A 13256-2026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46282</v>
      </c>
      <c r="F19" t="inlineStr">
        <is>
          <t>SÖDERMANLANDS LÄN</t>
        </is>
      </c>
      <c r="G19" t="inlineStr">
        <is>
          <t>NYKÖPING</t>
        </is>
      </c>
      <c r="I19" t="n">
        <v>8.699999999999999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Enkelbeckasin
Gulsparv
Kricka
Grönsiska
Trana</t>
        </is>
      </c>
      <c r="W19">
        <f>HYPERLINK("https://klasma.github.io/Logging_0480/artfynd/A 13256-2026 artfynd.xlsx", "A 13256-2026")</f>
        <v/>
      </c>
      <c r="X19">
        <f>HYPERLINK("https://klasma.github.io/Logging_0480/kartor/A 13256-2026 karta.png", "A 13256-2026")</f>
        <v/>
      </c>
      <c r="Y19">
        <f>HYPERLINK("https://klasma.github.io/Logging_0480/kartor_geotiff/A 13256-2026 georefererad karta.tif", "A 13256-2026")</f>
        <v/>
      </c>
      <c r="AA19">
        <f>HYPERLINK("https://klasma.github.io/Logging_0480/klagomål/A 13256-2026 FSC-klagomål.docx", "A 13256-2026")</f>
        <v/>
      </c>
      <c r="AB19">
        <f>HYPERLINK("https://klasma.github.io/Logging_0480/klagomålsmail/A 13256-2026 FSC-klagomål mail.docx", "A 13256-2026")</f>
        <v/>
      </c>
      <c r="AC19">
        <f>HYPERLINK("https://klasma.github.io/Logging_0480/tillsyn/A 13256-2026 tillsynsbegäran.docx", "A 13256-2026")</f>
        <v/>
      </c>
      <c r="AD19">
        <f>HYPERLINK("https://klasma.github.io/Logging_0480/tillsynsmail/A 13256-2026 tillsynsbegäran mail.docx", "A 13256-2026")</f>
        <v/>
      </c>
      <c r="AE19">
        <f>HYPERLINK("https://klasma.github.io/Logging_0480/fåglar/A 13256-2026 prioriterade fågelarter.docx", "A 13256-2026")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46282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S 3837-2022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44746</v>
      </c>
      <c r="E21" s="1" t="n">
        <v>46282</v>
      </c>
      <c r="F21" t="inlineStr">
        <is>
          <t>SÖDERMANLANDS LÄN</t>
        </is>
      </c>
      <c r="G21" t="inlineStr">
        <is>
          <t>NYKÖPING</t>
        </is>
      </c>
      <c r="I21" t="n">
        <v>3.1</v>
      </c>
      <c r="J21" t="n">
        <v>0</v>
      </c>
      <c r="K21" t="n">
        <v>1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Fjällig taggsvamp s.str.
Sotvaxskivling
Tallticka
Tjockfotad fingersvamp
Grovticka</t>
        </is>
      </c>
      <c r="W21">
        <f>HYPERLINK("https://klasma.github.io/Logging_0480/artfynd/S 3837-2022 artfynd.xlsx", "S 3837-2022")</f>
        <v/>
      </c>
      <c r="X21">
        <f>HYPERLINK("https://klasma.github.io/Logging_0480/kartor/S 3837-2022 karta.png", "S 3837-2022")</f>
        <v/>
      </c>
      <c r="Y21">
        <f>HYPERLINK("https://klasma.github.io/Logging_0480/kartor_geotiff/S 3837-2022 georefererad karta.tif", "S 3837-2022")</f>
        <v/>
      </c>
      <c r="AA21">
        <f>HYPERLINK("https://klasma.github.io/Logging_0480/klagomål/S 3837-2022 FSC-klagomål.docx", "S 3837-2022")</f>
        <v/>
      </c>
      <c r="AB21">
        <f>HYPERLINK("https://klasma.github.io/Logging_0480/klagomålsmail/S 3837-2022 FSC-klagomål mail.docx", "S 3837-2022")</f>
        <v/>
      </c>
      <c r="AC21">
        <f>HYPERLINK("https://klasma.github.io/Logging_0480/tillsyn/S 3837-2022 tillsynsbegäran.docx", "S 3837-2022")</f>
        <v/>
      </c>
      <c r="AD21">
        <f>HYPERLINK("https://klasma.github.io/Logging_0480/tillsynsmail/S 3837-2022 tillsynsbegäran mail.docx", "S 3837-2022")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46282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A 51697-2021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46282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2.6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5</v>
      </c>
      <c r="U23" t="n">
        <v>0</v>
      </c>
      <c r="V23" s="2" t="inlineStr">
        <is>
          <t>Jungfrulin
Svinrot
Mindre vattensalamander
Fläcknycklar</t>
        </is>
      </c>
      <c r="W23">
        <f>HYPERLINK("https://klasma.github.io/Logging_0480/artfynd/A 51697-2021 artfynd.xlsx", "A 51697-2021")</f>
        <v/>
      </c>
      <c r="X23">
        <f>HYPERLINK("https://klasma.github.io/Logging_0480/kartor/A 51697-2021 karta.png", "A 51697-2021")</f>
        <v/>
      </c>
      <c r="Y23">
        <f>HYPERLINK("https://klasma.github.io/Logging_0480/kartor_geotiff/A 51697-2021 georefererad karta.tif", "A 51697-2021")</f>
        <v/>
      </c>
      <c r="AA23">
        <f>HYPERLINK("https://klasma.github.io/Logging_0480/klagomål/A 51697-2021 FSC-klagomål.docx", "A 51697-2021")</f>
        <v/>
      </c>
      <c r="AB23">
        <f>HYPERLINK("https://klasma.github.io/Logging_0480/klagomålsmail/A 51697-2021 FSC-klagomål mail.docx", "A 51697-2021")</f>
        <v/>
      </c>
      <c r="AC23">
        <f>HYPERLINK("https://klasma.github.io/Logging_0480/tillsyn/A 51697-2021 tillsynsbegäran.docx", "A 51697-2021")</f>
        <v/>
      </c>
      <c r="AD23">
        <f>HYPERLINK("https://klasma.github.io/Logging_0480/tillsynsmail/A 51697-2021 tillsynsbegäran mail.docx", "A 51697-2021")</f>
        <v/>
      </c>
    </row>
    <row r="24" ht="15" customHeight="1">
      <c r="A24" t="inlineStr">
        <is>
          <t>A 52386-2025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45954</v>
      </c>
      <c r="E24" s="1" t="n">
        <v>46282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9.800000000000001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3</v>
      </c>
      <c r="V24" s="2" t="inlineStr">
        <is>
          <t>Motaggsvamp
Blåmossa
Grönpyrola
Stor revmossa</t>
        </is>
      </c>
      <c r="W24">
        <f>HYPERLINK("https://klasma.github.io/Logging_0480/artfynd/A 52386-2025 artfynd.xlsx", "A 52386-2025")</f>
        <v/>
      </c>
      <c r="X24">
        <f>HYPERLINK("https://klasma.github.io/Logging_0480/kartor/A 52386-2025 karta.png", "A 52386-2025")</f>
        <v/>
      </c>
      <c r="Y24">
        <f>HYPERLINK("https://klasma.github.io/Logging_0480/kartor_geotiff/A 52386-2025 georefererad karta.tif", "A 52386-2025")</f>
        <v/>
      </c>
      <c r="AA24">
        <f>HYPERLINK("https://klasma.github.io/Logging_0480/klagomål/A 52386-2025 FSC-klagomål.docx", "A 52386-2025")</f>
        <v/>
      </c>
      <c r="AB24">
        <f>HYPERLINK("https://klasma.github.io/Logging_0480/klagomålsmail/A 52386-2025 FSC-klagomål mail.docx", "A 52386-2025")</f>
        <v/>
      </c>
      <c r="AC24">
        <f>HYPERLINK("https://klasma.github.io/Logging_0480/tillsyn/A 52386-2025 tillsynsbegäran.docx", "A 52386-2025")</f>
        <v/>
      </c>
      <c r="AD24">
        <f>HYPERLINK("https://klasma.github.io/Logging_0480/tillsynsmail/A 52386-2025 tillsynsbegäran mail.docx", "A 52386-2025")</f>
        <v/>
      </c>
    </row>
    <row r="25" ht="15" customHeight="1">
      <c r="A25" t="inlineStr">
        <is>
          <t>A 63101-2025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46009</v>
      </c>
      <c r="E25" s="1" t="n">
        <v>46282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3.8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Motaggsvamp
Bronshjon
Mindre märgborre
Vedticka</t>
        </is>
      </c>
      <c r="W25">
        <f>HYPERLINK("https://klasma.github.io/Logging_0480/artfynd/A 63101-2025 artfynd.xlsx", "A 63101-2025")</f>
        <v/>
      </c>
      <c r="X25">
        <f>HYPERLINK("https://klasma.github.io/Logging_0480/kartor/A 63101-2025 karta.png", "A 63101-2025")</f>
        <v/>
      </c>
      <c r="Y25">
        <f>HYPERLINK("https://klasma.github.io/Logging_0480/kartor_geotiff/A 63101-2025 georefererad karta.tif", "A 63101-2025")</f>
        <v/>
      </c>
      <c r="AA25">
        <f>HYPERLINK("https://klasma.github.io/Logging_0480/klagomål/A 63101-2025 FSC-klagomål.docx", "A 63101-2025")</f>
        <v/>
      </c>
      <c r="AB25">
        <f>HYPERLINK("https://klasma.github.io/Logging_0480/klagomålsmail/A 63101-2025 FSC-klagomål mail.docx", "A 63101-2025")</f>
        <v/>
      </c>
      <c r="AC25">
        <f>HYPERLINK("https://klasma.github.io/Logging_0480/tillsyn/A 63101-2025 tillsynsbegäran.docx", "A 63101-2025")</f>
        <v/>
      </c>
      <c r="AD25">
        <f>HYPERLINK("https://klasma.github.io/Logging_0480/tillsynsmail/A 63101-2025 tillsynsbegäran mail.docx", "A 63101-2025")</f>
        <v/>
      </c>
    </row>
    <row r="26" ht="15" customHeight="1">
      <c r="A26" t="inlineStr">
        <is>
          <t>A 14855-2026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46282</v>
      </c>
      <c r="F26" t="inlineStr">
        <is>
          <t>SÖDERMANLANDS LÄN</t>
        </is>
      </c>
      <c r="G26" t="inlineStr">
        <is>
          <t>NYKÖPING</t>
        </is>
      </c>
      <c r="I26" t="n">
        <v>3.5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1</v>
      </c>
      <c r="V26" s="2" t="inlineStr">
        <is>
          <t>Dropptaggsvamp
Phellodon aquiloniniger
Grönpyrola
Vanlig padda</t>
        </is>
      </c>
      <c r="W26">
        <f>HYPERLINK("https://klasma.github.io/Logging_0480/artfynd/A 14855-2026 artfynd.xlsx", "A 14855-2026")</f>
        <v/>
      </c>
      <c r="X26">
        <f>HYPERLINK("https://klasma.github.io/Logging_0480/kartor/A 14855-2026 karta.png", "A 14855-2026")</f>
        <v/>
      </c>
      <c r="Y26">
        <f>HYPERLINK("https://klasma.github.io/Logging_0480/kartor_geotiff/A 14855-2026 georefererad karta.tif", "A 14855-2026")</f>
        <v/>
      </c>
      <c r="AA26">
        <f>HYPERLINK("https://klasma.github.io/Logging_0480/klagomål/A 14855-2026 FSC-klagomål.docx", "A 14855-2026")</f>
        <v/>
      </c>
      <c r="AB26">
        <f>HYPERLINK("https://klasma.github.io/Logging_0480/klagomålsmail/A 14855-2026 FSC-klagomål mail.docx", "A 14855-2026")</f>
        <v/>
      </c>
      <c r="AC26">
        <f>HYPERLINK("https://klasma.github.io/Logging_0480/tillsyn/A 14855-2026 tillsynsbegäran.docx", "A 14855-2026")</f>
        <v/>
      </c>
      <c r="AD26">
        <f>HYPERLINK("https://klasma.github.io/Logging_0480/tillsynsmail/A 14855-2026 tillsynsbegäran mail.docx", "A 14855-2026")</f>
        <v/>
      </c>
    </row>
    <row r="27" ht="15" customHeight="1">
      <c r="A27" t="inlineStr">
        <is>
          <t>A 24273-2026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46169</v>
      </c>
      <c r="E27" s="1" t="n">
        <v>46282</v>
      </c>
      <c r="F27" t="inlineStr">
        <is>
          <t>SÖDERMANLANDS LÄN</t>
        </is>
      </c>
      <c r="G27" t="inlineStr">
        <is>
          <t>NYKÖPING</t>
        </is>
      </c>
      <c r="I27" t="n">
        <v>4.5</v>
      </c>
      <c r="J27" t="n">
        <v>3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4</v>
      </c>
      <c r="V27" s="2" t="inlineStr">
        <is>
          <t>Grönsångare
Svinrot
Spillkråka
Ärtsångare</t>
        </is>
      </c>
      <c r="W27">
        <f>HYPERLINK("https://klasma.github.io/Logging_0480/artfynd/A 24273-2026 artfynd.xlsx", "A 24273-2026")</f>
        <v/>
      </c>
      <c r="X27">
        <f>HYPERLINK("https://klasma.github.io/Logging_0480/kartor/A 24273-2026 karta.png", "A 24273-2026")</f>
        <v/>
      </c>
      <c r="Y27">
        <f>HYPERLINK("https://klasma.github.io/Logging_0480/kartor_geotiff/A 24273-2026 georefererad karta.tif", "A 24273-2026")</f>
        <v/>
      </c>
      <c r="AA27">
        <f>HYPERLINK("https://klasma.github.io/Logging_0480/klagomål/A 24273-2026 FSC-klagomål.docx", "A 24273-2026")</f>
        <v/>
      </c>
      <c r="AB27">
        <f>HYPERLINK("https://klasma.github.io/Logging_0480/klagomålsmail/A 24273-2026 FSC-klagomål mail.docx", "A 24273-2026")</f>
        <v/>
      </c>
      <c r="AC27">
        <f>HYPERLINK("https://klasma.github.io/Logging_0480/tillsyn/A 24273-2026 tillsynsbegäran.docx", "A 24273-2026")</f>
        <v/>
      </c>
      <c r="AD27">
        <f>HYPERLINK("https://klasma.github.io/Logging_0480/tillsynsmail/A 24273-2026 tillsynsbegäran mail.docx", "A 24273-2026")</f>
        <v/>
      </c>
      <c r="AE27">
        <f>HYPERLINK("https://klasma.github.io/Logging_0480/fåglar/A 24273-2026 prioriterade fågelarter.docx", "A 24273-2026")</f>
        <v/>
      </c>
    </row>
    <row r="28" ht="15" customHeight="1">
      <c r="A28" t="inlineStr">
        <is>
          <t>A 8663-2022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46282</v>
      </c>
      <c r="F28" t="inlineStr">
        <is>
          <t>SÖDERMANLANDS LÄN</t>
        </is>
      </c>
      <c r="G28" t="inlineStr">
        <is>
          <t>NYKÖPING</t>
        </is>
      </c>
      <c r="I28" t="n">
        <v>6.5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Fjällig taggsvamp s.str.
Orange taggsvamp
Blomkålssvamp
Stubbspretmossa</t>
        </is>
      </c>
      <c r="W28">
        <f>HYPERLINK("https://klasma.github.io/Logging_0480/artfynd/A 8663-2022 artfynd.xlsx", "A 8663-2022")</f>
        <v/>
      </c>
      <c r="X28">
        <f>HYPERLINK("https://klasma.github.io/Logging_0480/kartor/A 8663-2022 karta.png", "A 8663-2022")</f>
        <v/>
      </c>
      <c r="Y28">
        <f>HYPERLINK("https://klasma.github.io/Logging_0480/kartor_geotiff/A 8663-2022 georefererad karta.tif", "A 8663-2022")</f>
        <v/>
      </c>
      <c r="AA28">
        <f>HYPERLINK("https://klasma.github.io/Logging_0480/klagomål/A 8663-2022 FSC-klagomål.docx", "A 8663-2022")</f>
        <v/>
      </c>
      <c r="AB28">
        <f>HYPERLINK("https://klasma.github.io/Logging_0480/klagomålsmail/A 8663-2022 FSC-klagomål mail.docx", "A 8663-2022")</f>
        <v/>
      </c>
      <c r="AC28">
        <f>HYPERLINK("https://klasma.github.io/Logging_0480/tillsyn/A 8663-2022 tillsynsbegäran.docx", "A 8663-2022")</f>
        <v/>
      </c>
      <c r="AD28">
        <f>HYPERLINK("https://klasma.github.io/Logging_0480/tillsynsmail/A 8663-2022 tillsynsbegäran mail.docx", "A 8663-2022")</f>
        <v/>
      </c>
    </row>
    <row r="29" ht="15" customHeight="1">
      <c r="A29" t="inlineStr">
        <is>
          <t>A 33265-2024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46282</v>
      </c>
      <c r="F29" t="inlineStr">
        <is>
          <t>SÖDERMANLANDS LÄN</t>
        </is>
      </c>
      <c r="G29" t="inlineStr">
        <is>
          <t>NYKÖPING</t>
        </is>
      </c>
      <c r="I29" t="n">
        <v>7.8</v>
      </c>
      <c r="J29" t="n">
        <v>2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7</v>
      </c>
      <c r="U29" t="n">
        <v>7</v>
      </c>
      <c r="V29" s="2" t="inlineStr">
        <is>
          <t>Knärot
Fjällig taggsvamp s.str.
Granbarkgnagare
Blåsippa</t>
        </is>
      </c>
      <c r="W29">
        <f>HYPERLINK("https://klasma.github.io/Logging_0480/artfynd/A 33265-2024 artfynd.xlsx", "A 33265-2024")</f>
        <v/>
      </c>
      <c r="X29">
        <f>HYPERLINK("https://klasma.github.io/Logging_0480/kartor/A 33265-2024 karta.png", "A 33265-2024")</f>
        <v/>
      </c>
      <c r="Y29">
        <f>HYPERLINK("https://klasma.github.io/Logging_0480/kartor_geotiff/A 33265-2024 georefererad karta.tif", "A 33265-2024")</f>
        <v/>
      </c>
      <c r="Z29">
        <f>HYPERLINK("https://klasma.github.io/Logging_0480/knärot/A 33265-2024 karta knärot.png", "A 33265-2024")</f>
        <v/>
      </c>
      <c r="AA29">
        <f>HYPERLINK("https://klasma.github.io/Logging_0480/klagomål/A 33265-2024 FSC-klagomål.docx", "A 33265-2024")</f>
        <v/>
      </c>
      <c r="AB29">
        <f>HYPERLINK("https://klasma.github.io/Logging_0480/klagomålsmail/A 33265-2024 FSC-klagomål mail.docx", "A 33265-2024")</f>
        <v/>
      </c>
      <c r="AC29">
        <f>HYPERLINK("https://klasma.github.io/Logging_0480/tillsyn/A 33265-2024 tillsynsbegäran.docx", "A 33265-2024")</f>
        <v/>
      </c>
      <c r="AD29">
        <f>HYPERLINK("https://klasma.github.io/Logging_0480/tillsynsmail/A 33265-2024 tillsynsbegäran mail.docx", "A 33265-2024")</f>
        <v/>
      </c>
    </row>
    <row r="30" ht="15" customHeight="1">
      <c r="A30" t="inlineStr">
        <is>
          <t>A 5869-2024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45335</v>
      </c>
      <c r="E30" s="1" t="n">
        <v>46282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1.5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Havsörn
Fläcknycklar
Revlummer</t>
        </is>
      </c>
      <c r="W30">
        <f>HYPERLINK("https://klasma.github.io/Logging_0480/artfynd/A 5869-2024 artfynd.xlsx", "A 5869-2024")</f>
        <v/>
      </c>
      <c r="X30">
        <f>HYPERLINK("https://klasma.github.io/Logging_0480/kartor/A 5869-2024 karta.png", "A 5869-2024")</f>
        <v/>
      </c>
      <c r="Y30">
        <f>HYPERLINK("https://klasma.github.io/Logging_0480/kartor_geotiff/A 5869-2024 georefererad karta.tif", "A 5869-2024")</f>
        <v/>
      </c>
      <c r="AA30">
        <f>HYPERLINK("https://klasma.github.io/Logging_0480/klagomål/A 5869-2024 FSC-klagomål.docx", "A 5869-2024")</f>
        <v/>
      </c>
      <c r="AB30">
        <f>HYPERLINK("https://klasma.github.io/Logging_0480/klagomålsmail/A 5869-2024 FSC-klagomål mail.docx", "A 5869-2024")</f>
        <v/>
      </c>
      <c r="AC30">
        <f>HYPERLINK("https://klasma.github.io/Logging_0480/tillsyn/A 5869-2024 tillsynsbegäran.docx", "A 5869-2024")</f>
        <v/>
      </c>
      <c r="AD30">
        <f>HYPERLINK("https://klasma.github.io/Logging_0480/tillsynsmail/A 5869-2024 tillsynsbegäran mail.docx", "A 5869-2024")</f>
        <v/>
      </c>
      <c r="AE30">
        <f>HYPERLINK("https://klasma.github.io/Logging_0480/fåglar/A 5869-2024 prioriterade fågelarter.docx", "A 5869-2024")</f>
        <v/>
      </c>
    </row>
    <row r="31" ht="15" customHeight="1">
      <c r="A31" t="inlineStr">
        <is>
          <t>A 1509-2023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44937</v>
      </c>
      <c r="E31" s="1" t="n">
        <v>46282</v>
      </c>
      <c r="F31" t="inlineStr">
        <is>
          <t>SÖDERMANLANDS LÄN</t>
        </is>
      </c>
      <c r="G31" t="inlineStr">
        <is>
          <t>NYKÖPING</t>
        </is>
      </c>
      <c r="H31" t="inlineStr">
        <is>
          <t>Holmen skog AB</t>
        </is>
      </c>
      <c r="I31" t="n">
        <v>6.3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6</v>
      </c>
      <c r="U31" t="n">
        <v>4</v>
      </c>
      <c r="V31" s="2" t="inlineStr">
        <is>
          <t>Skogsklocka
Skorpgelélav
Aspvedgnagare
Stor aspticka</t>
        </is>
      </c>
      <c r="W31">
        <f>HYPERLINK("https://klasma.github.io/Logging_0480/artfynd/A 1509-2023 artfynd.xlsx", "A 1509-2023")</f>
        <v/>
      </c>
      <c r="X31">
        <f>HYPERLINK("https://klasma.github.io/Logging_0480/kartor/A 1509-2023 karta.png", "A 1509-2023")</f>
        <v/>
      </c>
      <c r="Y31">
        <f>HYPERLINK("https://klasma.github.io/Logging_0480/kartor_geotiff/A 1509-2023 georefererad karta.tif", "A 1509-2023")</f>
        <v/>
      </c>
      <c r="AA31">
        <f>HYPERLINK("https://klasma.github.io/Logging_0480/klagomål/A 1509-2023 FSC-klagomål.docx", "A 1509-2023")</f>
        <v/>
      </c>
      <c r="AB31">
        <f>HYPERLINK("https://klasma.github.io/Logging_0480/klagomålsmail/A 1509-2023 FSC-klagomål mail.docx", "A 1509-2023")</f>
        <v/>
      </c>
      <c r="AC31">
        <f>HYPERLINK("https://klasma.github.io/Logging_0480/tillsyn/A 1509-2023 tillsynsbegäran.docx", "A 1509-2023")</f>
        <v/>
      </c>
      <c r="AD31">
        <f>HYPERLINK("https://klasma.github.io/Logging_0480/tillsynsmail/A 1509-2023 tillsynsbegäran mail.docx", "A 1509-2023")</f>
        <v/>
      </c>
    </row>
    <row r="32" ht="15" customHeight="1">
      <c r="A32" t="inlineStr">
        <is>
          <t>A 55963-2021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46282</v>
      </c>
      <c r="F32" t="inlineStr">
        <is>
          <t>SÖDERMANLANDS LÄN</t>
        </is>
      </c>
      <c r="G32" t="inlineStr">
        <is>
          <t>NYKÖPING</t>
        </is>
      </c>
      <c r="I32" t="n">
        <v>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Skogsklocka
Svinrot
Fläcknycklar</t>
        </is>
      </c>
      <c r="W32">
        <f>HYPERLINK("https://klasma.github.io/Logging_0480/artfynd/A 55963-2021 artfynd.xlsx", "A 55963-2021")</f>
        <v/>
      </c>
      <c r="X32">
        <f>HYPERLINK("https://klasma.github.io/Logging_0480/kartor/A 55963-2021 karta.png", "A 55963-2021")</f>
        <v/>
      </c>
      <c r="Y32">
        <f>HYPERLINK("https://klasma.github.io/Logging_0480/kartor_geotiff/A 55963-2021 georefererad karta.tif", "A 55963-2021")</f>
        <v/>
      </c>
      <c r="AA32">
        <f>HYPERLINK("https://klasma.github.io/Logging_0480/klagomål/A 55963-2021 FSC-klagomål.docx", "A 55963-2021")</f>
        <v/>
      </c>
      <c r="AB32">
        <f>HYPERLINK("https://klasma.github.io/Logging_0480/klagomålsmail/A 55963-2021 FSC-klagomål mail.docx", "A 55963-2021")</f>
        <v/>
      </c>
      <c r="AC32">
        <f>HYPERLINK("https://klasma.github.io/Logging_0480/tillsyn/A 55963-2021 tillsynsbegäran.docx", "A 55963-2021")</f>
        <v/>
      </c>
      <c r="AD32">
        <f>HYPERLINK("https://klasma.github.io/Logging_0480/tillsynsmail/A 55963-2021 tillsynsbegäran mail.docx", "A 55963-2021")</f>
        <v/>
      </c>
    </row>
    <row r="33" ht="15" customHeight="1">
      <c r="A33" t="inlineStr">
        <is>
          <t>A 69612-2021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46282</v>
      </c>
      <c r="F33" t="inlineStr">
        <is>
          <t>SÖDERMANLANDS LÄN</t>
        </is>
      </c>
      <c r="G33" t="inlineStr">
        <is>
          <t>NYKÖPING</t>
        </is>
      </c>
      <c r="I33" t="n">
        <v>9.199999999999999</v>
      </c>
      <c r="J33" t="n">
        <v>0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1</v>
      </c>
      <c r="V33" s="2" t="inlineStr">
        <is>
          <t>Fjällig taggsvamp s.str.
Stubbtrådmossa
Blomkålssvamp</t>
        </is>
      </c>
      <c r="W33">
        <f>HYPERLINK("https://klasma.github.io/Logging_0480/artfynd/A 69612-2021 artfynd.xlsx", "A 69612-2021")</f>
        <v/>
      </c>
      <c r="X33">
        <f>HYPERLINK("https://klasma.github.io/Logging_0480/kartor/A 69612-2021 karta.png", "A 69612-2021")</f>
        <v/>
      </c>
      <c r="Y33">
        <f>HYPERLINK("https://klasma.github.io/Logging_0480/kartor_geotiff/A 69612-2021 georefererad karta.tif", "A 69612-2021")</f>
        <v/>
      </c>
      <c r="AA33">
        <f>HYPERLINK("https://klasma.github.io/Logging_0480/klagomål/A 69612-2021 FSC-klagomål.docx", "A 69612-2021")</f>
        <v/>
      </c>
      <c r="AB33">
        <f>HYPERLINK("https://klasma.github.io/Logging_0480/klagomålsmail/A 69612-2021 FSC-klagomål mail.docx", "A 69612-2021")</f>
        <v/>
      </c>
      <c r="AC33">
        <f>HYPERLINK("https://klasma.github.io/Logging_0480/tillsyn/A 69612-2021 tillsynsbegäran.docx", "A 69612-2021")</f>
        <v/>
      </c>
      <c r="AD33">
        <f>HYPERLINK("https://klasma.github.io/Logging_0480/tillsynsmail/A 69612-2021 tillsynsbegäran mail.docx", "A 69612-2021")</f>
        <v/>
      </c>
    </row>
    <row r="34" ht="15" customHeight="1">
      <c r="A34" t="inlineStr">
        <is>
          <t>A 4710-2024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45328</v>
      </c>
      <c r="E34" s="1" t="n">
        <v>46282</v>
      </c>
      <c r="F34" t="inlineStr">
        <is>
          <t>SÖDERMANLANDS LÄN</t>
        </is>
      </c>
      <c r="G34" t="inlineStr">
        <is>
          <t>NYKÖPING</t>
        </is>
      </c>
      <c r="I34" t="n">
        <v>8.699999999999999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Ask
Blåsippa
Grönvit nattviol</t>
        </is>
      </c>
      <c r="W34">
        <f>HYPERLINK("https://klasma.github.io/Logging_0480/artfynd/A 4710-2024 artfynd.xlsx", "A 4710-2024")</f>
        <v/>
      </c>
      <c r="X34">
        <f>HYPERLINK("https://klasma.github.io/Logging_0480/kartor/A 4710-2024 karta.png", "A 4710-2024")</f>
        <v/>
      </c>
      <c r="Y34">
        <f>HYPERLINK("https://klasma.github.io/Logging_0480/kartor_geotiff/A 4710-2024 georefererad karta.tif", "A 4710-2024")</f>
        <v/>
      </c>
      <c r="AA34">
        <f>HYPERLINK("https://klasma.github.io/Logging_0480/klagomål/A 4710-2024 FSC-klagomål.docx", "A 4710-2024")</f>
        <v/>
      </c>
      <c r="AB34">
        <f>HYPERLINK("https://klasma.github.io/Logging_0480/klagomålsmail/A 4710-2024 FSC-klagomål mail.docx", "A 4710-2024")</f>
        <v/>
      </c>
      <c r="AC34">
        <f>HYPERLINK("https://klasma.github.io/Logging_0480/tillsyn/A 4710-2024 tillsynsbegäran.docx", "A 4710-2024")</f>
        <v/>
      </c>
      <c r="AD34">
        <f>HYPERLINK("https://klasma.github.io/Logging_0480/tillsynsmail/A 4710-2024 tillsynsbegäran mail.docx", "A 4710-2024")</f>
        <v/>
      </c>
    </row>
    <row r="35" ht="15" customHeight="1">
      <c r="A35" t="inlineStr">
        <is>
          <t>A 22417-2023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45070</v>
      </c>
      <c r="E35" s="1" t="n">
        <v>46282</v>
      </c>
      <c r="F35" t="inlineStr">
        <is>
          <t>SÖDERMANLANDS LÄN</t>
        </is>
      </c>
      <c r="G35" t="inlineStr">
        <is>
          <t>NYKÖPING</t>
        </is>
      </c>
      <c r="H35" t="inlineStr">
        <is>
          <t>Holmen skog AB</t>
        </is>
      </c>
      <c r="I35" t="n">
        <v>1.6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2</v>
      </c>
      <c r="V35" s="2" t="inlineStr">
        <is>
          <t>Backstarr
Sjöhjortron
Vanlig snok</t>
        </is>
      </c>
      <c r="W35">
        <f>HYPERLINK("https://klasma.github.io/Logging_0480/artfynd/A 22417-2023 artfynd.xlsx", "A 22417-2023")</f>
        <v/>
      </c>
      <c r="X35">
        <f>HYPERLINK("https://klasma.github.io/Logging_0480/kartor/A 22417-2023 karta.png", "A 22417-2023")</f>
        <v/>
      </c>
      <c r="Y35">
        <f>HYPERLINK("https://klasma.github.io/Logging_0480/kartor_geotiff/A 22417-2023 georefererad karta.tif", "A 22417-2023")</f>
        <v/>
      </c>
      <c r="AA35">
        <f>HYPERLINK("https://klasma.github.io/Logging_0480/klagomål/A 22417-2023 FSC-klagomål.docx", "A 22417-2023")</f>
        <v/>
      </c>
      <c r="AB35">
        <f>HYPERLINK("https://klasma.github.io/Logging_0480/klagomålsmail/A 22417-2023 FSC-klagomål mail.docx", "A 22417-2023")</f>
        <v/>
      </c>
      <c r="AC35">
        <f>HYPERLINK("https://klasma.github.io/Logging_0480/tillsyn/A 22417-2023 tillsynsbegäran.docx", "A 22417-2023")</f>
        <v/>
      </c>
      <c r="AD35">
        <f>HYPERLINK("https://klasma.github.io/Logging_0480/tillsynsmail/A 22417-2023 tillsynsbegäran mail.docx", "A 22417-2023")</f>
        <v/>
      </c>
    </row>
    <row r="36" ht="15" customHeight="1">
      <c r="A36" t="inlineStr">
        <is>
          <t>A 54498-2023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45226</v>
      </c>
      <c r="E36" s="1" t="n">
        <v>46282</v>
      </c>
      <c r="F36" t="inlineStr">
        <is>
          <t>SÖDERMANLANDS LÄN</t>
        </is>
      </c>
      <c r="G36" t="inlineStr">
        <is>
          <t>NYKÖPING</t>
        </is>
      </c>
      <c r="I36" t="n">
        <v>4.7</v>
      </c>
      <c r="J36" t="n">
        <v>3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3</v>
      </c>
      <c r="T36" t="n">
        <v>3</v>
      </c>
      <c r="U36" t="n">
        <v>1</v>
      </c>
      <c r="V36" s="2" t="inlineStr">
        <is>
          <t>Brun glada
Trana
Utter</t>
        </is>
      </c>
      <c r="W36">
        <f>HYPERLINK("https://klasma.github.io/Logging_0480/artfynd/A 54498-2023 artfynd.xlsx", "A 54498-2023")</f>
        <v/>
      </c>
      <c r="X36">
        <f>HYPERLINK("https://klasma.github.io/Logging_0480/kartor/A 54498-2023 karta.png", "A 54498-2023")</f>
        <v/>
      </c>
      <c r="Y36">
        <f>HYPERLINK("https://klasma.github.io/Logging_0480/kartor_geotiff/A 54498-2023 georefererad karta.tif", "A 54498-2023")</f>
        <v/>
      </c>
      <c r="AA36">
        <f>HYPERLINK("https://klasma.github.io/Logging_0480/klagomål/A 54498-2023 FSC-klagomål.docx", "A 54498-2023")</f>
        <v/>
      </c>
      <c r="AB36">
        <f>HYPERLINK("https://klasma.github.io/Logging_0480/klagomålsmail/A 54498-2023 FSC-klagomål mail.docx", "A 54498-2023")</f>
        <v/>
      </c>
      <c r="AC36">
        <f>HYPERLINK("https://klasma.github.io/Logging_0480/tillsyn/A 54498-2023 tillsynsbegäran.docx", "A 54498-2023")</f>
        <v/>
      </c>
      <c r="AD36">
        <f>HYPERLINK("https://klasma.github.io/Logging_0480/tillsynsmail/A 54498-2023 tillsynsbegäran mail.docx", "A 54498-2023")</f>
        <v/>
      </c>
      <c r="AE36">
        <f>HYPERLINK("https://klasma.github.io/Logging_0480/fåglar/A 54498-2023 prioriterade fågelarter.docx", "A 54498-2023")</f>
        <v/>
      </c>
    </row>
    <row r="37" ht="15" customHeight="1">
      <c r="A37" t="inlineStr">
        <is>
          <t>A 54227-2025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46282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1.8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Grantaggsvamp
Skarp dropptaggsvamp
Zontaggsvamp</t>
        </is>
      </c>
      <c r="W37">
        <f>HYPERLINK("https://klasma.github.io/Logging_0480/artfynd/A 54227-2025 artfynd.xlsx", "A 54227-2025")</f>
        <v/>
      </c>
      <c r="X37">
        <f>HYPERLINK("https://klasma.github.io/Logging_0480/kartor/A 54227-2025 karta.png", "A 54227-2025")</f>
        <v/>
      </c>
      <c r="Y37">
        <f>HYPERLINK("https://klasma.github.io/Logging_0480/kartor_geotiff/A 54227-2025 georefererad karta.tif", "A 54227-2025")</f>
        <v/>
      </c>
      <c r="AA37">
        <f>HYPERLINK("https://klasma.github.io/Logging_0480/klagomål/A 54227-2025 FSC-klagomål.docx", "A 54227-2025")</f>
        <v/>
      </c>
      <c r="AB37">
        <f>HYPERLINK("https://klasma.github.io/Logging_0480/klagomålsmail/A 54227-2025 FSC-klagomål mail.docx", "A 54227-2025")</f>
        <v/>
      </c>
      <c r="AC37">
        <f>HYPERLINK("https://klasma.github.io/Logging_0480/tillsyn/A 54227-2025 tillsynsbegäran.docx", "A 54227-2025")</f>
        <v/>
      </c>
      <c r="AD37">
        <f>HYPERLINK("https://klasma.github.io/Logging_0480/tillsynsmail/A 54227-2025 tillsynsbegäran mail.docx", "A 54227-2025")</f>
        <v/>
      </c>
    </row>
    <row r="38" ht="15" customHeight="1">
      <c r="A38" t="inlineStr">
        <is>
          <t>A 58783-2025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45986</v>
      </c>
      <c r="E38" s="1" t="n">
        <v>46282</v>
      </c>
      <c r="F38" t="inlineStr">
        <is>
          <t>SÖDERMANLANDS LÄN</t>
        </is>
      </c>
      <c r="G38" t="inlineStr">
        <is>
          <t>NYKÖPING</t>
        </is>
      </c>
      <c r="H38" t="inlineStr">
        <is>
          <t>Sveaskog</t>
        </is>
      </c>
      <c r="I38" t="n">
        <v>1.3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Skogshare
Nattskärra
Revlummer</t>
        </is>
      </c>
      <c r="W38">
        <f>HYPERLINK("https://klasma.github.io/Logging_0480/artfynd/A 58783-2025 artfynd.xlsx", "A 58783-2025")</f>
        <v/>
      </c>
      <c r="X38">
        <f>HYPERLINK("https://klasma.github.io/Logging_0480/kartor/A 58783-2025 karta.png", "A 58783-2025")</f>
        <v/>
      </c>
      <c r="Y38">
        <f>HYPERLINK("https://klasma.github.io/Logging_0480/kartor_geotiff/A 58783-2025 georefererad karta.tif", "A 58783-2025")</f>
        <v/>
      </c>
      <c r="AA38">
        <f>HYPERLINK("https://klasma.github.io/Logging_0480/klagomål/A 58783-2025 FSC-klagomål.docx", "A 58783-2025")</f>
        <v/>
      </c>
      <c r="AB38">
        <f>HYPERLINK("https://klasma.github.io/Logging_0480/klagomålsmail/A 58783-2025 FSC-klagomål mail.docx", "A 58783-2025")</f>
        <v/>
      </c>
      <c r="AC38">
        <f>HYPERLINK("https://klasma.github.io/Logging_0480/tillsyn/A 58783-2025 tillsynsbegäran.docx", "A 58783-2025")</f>
        <v/>
      </c>
      <c r="AD38">
        <f>HYPERLINK("https://klasma.github.io/Logging_0480/tillsynsmail/A 58783-2025 tillsynsbegäran mail.docx", "A 58783-2025")</f>
        <v/>
      </c>
      <c r="AE38">
        <f>HYPERLINK("https://klasma.github.io/Logging_0480/fåglar/A 58783-2025 prioriterade fågelarter.docx", "A 58783-2025")</f>
        <v/>
      </c>
    </row>
    <row r="39" ht="15" customHeight="1">
      <c r="A39" t="inlineStr">
        <is>
          <t>A 11640-2022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44631</v>
      </c>
      <c r="E39" s="1" t="n">
        <v>46282</v>
      </c>
      <c r="F39" t="inlineStr">
        <is>
          <t>SÖDERMANLANDS LÄN</t>
        </is>
      </c>
      <c r="G39" t="inlineStr">
        <is>
          <t>NYKÖPING</t>
        </is>
      </c>
      <c r="H39" t="inlineStr">
        <is>
          <t>Kyrkan</t>
        </is>
      </c>
      <c r="I39" t="n">
        <v>7.6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Fjällig taggsvamp s.str.
Granbarkgnagare
Grovticka</t>
        </is>
      </c>
      <c r="W39">
        <f>HYPERLINK("https://klasma.github.io/Logging_0480/artfynd/A 11640-2022 artfynd.xlsx", "A 11640-2022")</f>
        <v/>
      </c>
      <c r="X39">
        <f>HYPERLINK("https://klasma.github.io/Logging_0480/kartor/A 11640-2022 karta.png", "A 11640-2022")</f>
        <v/>
      </c>
      <c r="Y39">
        <f>HYPERLINK("https://klasma.github.io/Logging_0480/kartor_geotiff/A 11640-2022 georefererad karta.tif", "A 11640-2022")</f>
        <v/>
      </c>
      <c r="AA39">
        <f>HYPERLINK("https://klasma.github.io/Logging_0480/klagomål/A 11640-2022 FSC-klagomål.docx", "A 11640-2022")</f>
        <v/>
      </c>
      <c r="AB39">
        <f>HYPERLINK("https://klasma.github.io/Logging_0480/klagomålsmail/A 11640-2022 FSC-klagomål mail.docx", "A 11640-2022")</f>
        <v/>
      </c>
      <c r="AC39">
        <f>HYPERLINK("https://klasma.github.io/Logging_0480/tillsyn/A 11640-2022 tillsynsbegäran.docx", "A 11640-2022")</f>
        <v/>
      </c>
      <c r="AD39">
        <f>HYPERLINK("https://klasma.github.io/Logging_0480/tillsynsmail/A 11640-2022 tillsynsbegäran mail.docx", "A 11640-2022")</f>
        <v/>
      </c>
    </row>
    <row r="40" ht="15" customHeight="1">
      <c r="A40" t="inlineStr">
        <is>
          <t>A 39740-2022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44817</v>
      </c>
      <c r="E40" s="1" t="n">
        <v>46282</v>
      </c>
      <c r="F40" t="inlineStr">
        <is>
          <t>SÖDERMANLANDS LÄN</t>
        </is>
      </c>
      <c r="G40" t="inlineStr">
        <is>
          <t>NYKÖPING</t>
        </is>
      </c>
      <c r="H40" t="inlineStr">
        <is>
          <t>Kommuner</t>
        </is>
      </c>
      <c r="I40" t="n">
        <v>3.4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Tallticka
Vågbandad barkbock
Blåsippa</t>
        </is>
      </c>
      <c r="W40">
        <f>HYPERLINK("https://klasma.github.io/Logging_0480/artfynd/A 39740-2022 artfynd.xlsx", "A 39740-2022")</f>
        <v/>
      </c>
      <c r="X40">
        <f>HYPERLINK("https://klasma.github.io/Logging_0480/kartor/A 39740-2022 karta.png", "A 39740-2022")</f>
        <v/>
      </c>
      <c r="Y40">
        <f>HYPERLINK("https://klasma.github.io/Logging_0480/kartor_geotiff/A 39740-2022 georefererad karta.tif", "A 39740-2022")</f>
        <v/>
      </c>
      <c r="AA40">
        <f>HYPERLINK("https://klasma.github.io/Logging_0480/klagomål/A 39740-2022 FSC-klagomål.docx", "A 39740-2022")</f>
        <v/>
      </c>
      <c r="AB40">
        <f>HYPERLINK("https://klasma.github.io/Logging_0480/klagomålsmail/A 39740-2022 FSC-klagomål mail.docx", "A 39740-2022")</f>
        <v/>
      </c>
      <c r="AC40">
        <f>HYPERLINK("https://klasma.github.io/Logging_0480/tillsyn/A 39740-2022 tillsynsbegäran.docx", "A 39740-2022")</f>
        <v/>
      </c>
      <c r="AD40">
        <f>HYPERLINK("https://klasma.github.io/Logging_0480/tillsynsmail/A 39740-2022 tillsynsbegäran mail.docx", "A 39740-2022")</f>
        <v/>
      </c>
    </row>
    <row r="41" ht="15" customHeight="1">
      <c r="A41" t="inlineStr">
        <is>
          <t>A 53573-2022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46282</v>
      </c>
      <c r="F41" t="inlineStr">
        <is>
          <t>SÖDERMANLANDS LÄN</t>
        </is>
      </c>
      <c r="G41" t="inlineStr">
        <is>
          <t>NYKÖPING</t>
        </is>
      </c>
      <c r="H41" t="inlineStr">
        <is>
          <t>Övriga Aktiebolag</t>
        </is>
      </c>
      <c r="I41" t="n">
        <v>9.199999999999999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Dofttaggsvamp
Fjällig taggsvamp s.str.
Sotvaxskivling</t>
        </is>
      </c>
      <c r="W41">
        <f>HYPERLINK("https://klasma.github.io/Logging_0480/artfynd/A 53573-2022 artfynd.xlsx", "A 53573-2022")</f>
        <v/>
      </c>
      <c r="X41">
        <f>HYPERLINK("https://klasma.github.io/Logging_0480/kartor/A 53573-2022 karta.png", "A 53573-2022")</f>
        <v/>
      </c>
      <c r="Y41">
        <f>HYPERLINK("https://klasma.github.io/Logging_0480/kartor_geotiff/A 53573-2022 georefererad karta.tif", "A 53573-2022")</f>
        <v/>
      </c>
      <c r="AA41">
        <f>HYPERLINK("https://klasma.github.io/Logging_0480/klagomål/A 53573-2022 FSC-klagomål.docx", "A 53573-2022")</f>
        <v/>
      </c>
      <c r="AB41">
        <f>HYPERLINK("https://klasma.github.io/Logging_0480/klagomålsmail/A 53573-2022 FSC-klagomål mail.docx", "A 53573-2022")</f>
        <v/>
      </c>
      <c r="AC41">
        <f>HYPERLINK("https://klasma.github.io/Logging_0480/tillsyn/A 53573-2022 tillsynsbegäran.docx", "A 53573-2022")</f>
        <v/>
      </c>
      <c r="AD41">
        <f>HYPERLINK("https://klasma.github.io/Logging_0480/tillsynsmail/A 53573-2022 tillsynsbegäran mail.docx", "A 53573-2022")</f>
        <v/>
      </c>
    </row>
    <row r="42" ht="15" customHeight="1">
      <c r="A42" t="inlineStr">
        <is>
          <t>A 38203-2022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46282</v>
      </c>
      <c r="F42" t="inlineStr">
        <is>
          <t>SÖDERMANLANDS LÄN</t>
        </is>
      </c>
      <c r="G42" t="inlineStr">
        <is>
          <t>NYKÖPING</t>
        </is>
      </c>
      <c r="I42" t="n">
        <v>1.9</v>
      </c>
      <c r="J42" t="n">
        <v>1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Gulsparv
Kösa
Linmåra/småsnärjmåra</t>
        </is>
      </c>
      <c r="W42">
        <f>HYPERLINK("https://klasma.github.io/Logging_0480/artfynd/A 38203-2022 artfynd.xlsx", "A 38203-2022")</f>
        <v/>
      </c>
      <c r="X42">
        <f>HYPERLINK("https://klasma.github.io/Logging_0480/kartor/A 38203-2022 karta.png", "A 38203-2022")</f>
        <v/>
      </c>
      <c r="Y42">
        <f>HYPERLINK("https://klasma.github.io/Logging_0480/kartor_geotiff/A 38203-2022 georefererad karta.tif", "A 38203-2022")</f>
        <v/>
      </c>
      <c r="AA42">
        <f>HYPERLINK("https://klasma.github.io/Logging_0480/klagomål/A 38203-2022 FSC-klagomål.docx", "A 38203-2022")</f>
        <v/>
      </c>
      <c r="AB42">
        <f>HYPERLINK("https://klasma.github.io/Logging_0480/klagomålsmail/A 38203-2022 FSC-klagomål mail.docx", "A 38203-2022")</f>
        <v/>
      </c>
      <c r="AC42">
        <f>HYPERLINK("https://klasma.github.io/Logging_0480/tillsyn/A 38203-2022 tillsynsbegäran.docx", "A 38203-2022")</f>
        <v/>
      </c>
      <c r="AD42">
        <f>HYPERLINK("https://klasma.github.io/Logging_0480/tillsynsmail/A 38203-2022 tillsynsbegäran mail.docx", "A 38203-2022")</f>
        <v/>
      </c>
      <c r="AE42">
        <f>HYPERLINK("https://klasma.github.io/Logging_0480/fåglar/A 38203-2022 prioriterade fågelarter.docx", "A 38203-2022")</f>
        <v/>
      </c>
    </row>
    <row r="43" ht="15" customHeight="1">
      <c r="A43" t="inlineStr">
        <is>
          <t>A 57727-2025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45981</v>
      </c>
      <c r="E43" s="1" t="n">
        <v>46282</v>
      </c>
      <c r="F43" t="inlineStr">
        <is>
          <t>SÖDERMANLANDS LÄN</t>
        </is>
      </c>
      <c r="G43" t="inlineStr">
        <is>
          <t>NYKÖPING</t>
        </is>
      </c>
      <c r="I43" t="n">
        <v>9.6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Grönsångare
Spillkråka
Trana</t>
        </is>
      </c>
      <c r="W43">
        <f>HYPERLINK("https://klasma.github.io/Logging_0480/artfynd/A 57727-2025 artfynd.xlsx", "A 57727-2025")</f>
        <v/>
      </c>
      <c r="X43">
        <f>HYPERLINK("https://klasma.github.io/Logging_0480/kartor/A 57727-2025 karta.png", "A 57727-2025")</f>
        <v/>
      </c>
      <c r="Y43">
        <f>HYPERLINK("https://klasma.github.io/Logging_0480/kartor_geotiff/A 57727-2025 georefererad karta.tif", "A 57727-2025")</f>
        <v/>
      </c>
      <c r="AA43">
        <f>HYPERLINK("https://klasma.github.io/Logging_0480/klagomål/A 57727-2025 FSC-klagomål.docx", "A 57727-2025")</f>
        <v/>
      </c>
      <c r="AB43">
        <f>HYPERLINK("https://klasma.github.io/Logging_0480/klagomålsmail/A 57727-2025 FSC-klagomål mail.docx", "A 57727-2025")</f>
        <v/>
      </c>
      <c r="AC43">
        <f>HYPERLINK("https://klasma.github.io/Logging_0480/tillsyn/A 57727-2025 tillsynsbegäran.docx", "A 57727-2025")</f>
        <v/>
      </c>
      <c r="AD43">
        <f>HYPERLINK("https://klasma.github.io/Logging_0480/tillsynsmail/A 57727-2025 tillsynsbegäran mail.docx", "A 57727-2025")</f>
        <v/>
      </c>
      <c r="AE43">
        <f>HYPERLINK("https://klasma.github.io/Logging_0480/fåglar/A 57727-2025 prioriterade fågelarter.docx", "A 57727-2025")</f>
        <v/>
      </c>
    </row>
    <row r="44" ht="15" customHeight="1">
      <c r="A44" t="inlineStr">
        <is>
          <t>A 24092-2026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46166</v>
      </c>
      <c r="E44" s="1" t="n">
        <v>46282</v>
      </c>
      <c r="F44" t="inlineStr">
        <is>
          <t>SÖDERMANLANDS LÄN</t>
        </is>
      </c>
      <c r="G44" t="inlineStr">
        <is>
          <t>NYKÖPING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Blåbär
Vildkaprifol
Ängskovall</t>
        </is>
      </c>
      <c r="W44">
        <f>HYPERLINK("https://klasma.github.io/Logging_0480/artfynd/A 24092-2026 artfynd.xlsx", "A 24092-2026")</f>
        <v/>
      </c>
      <c r="X44">
        <f>HYPERLINK("https://klasma.github.io/Logging_0480/kartor/A 24092-2026 karta.png", "A 24092-2026")</f>
        <v/>
      </c>
      <c r="Y44">
        <f>HYPERLINK("https://klasma.github.io/Logging_0480/kartor_geotiff/A 24092-2026 georefererad karta.tif", "A 24092-2026")</f>
        <v/>
      </c>
      <c r="AA44">
        <f>HYPERLINK("https://klasma.github.io/Logging_0480/klagomål/A 24092-2026 FSC-klagomål.docx", "A 24092-2026")</f>
        <v/>
      </c>
      <c r="AB44">
        <f>HYPERLINK("https://klasma.github.io/Logging_0480/klagomålsmail/A 24092-2026 FSC-klagomål mail.docx", "A 24092-2026")</f>
        <v/>
      </c>
      <c r="AC44">
        <f>HYPERLINK("https://klasma.github.io/Logging_0480/tillsyn/A 24092-2026 tillsynsbegäran.docx", "A 24092-2026")</f>
        <v/>
      </c>
      <c r="AD44">
        <f>HYPERLINK("https://klasma.github.io/Logging_0480/tillsynsmail/A 24092-2026 tillsynsbegäran mail.docx", "A 24092-2026")</f>
        <v/>
      </c>
    </row>
    <row r="45" ht="15" customHeight="1">
      <c r="A45" t="inlineStr">
        <is>
          <t>A 48153-2023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45205</v>
      </c>
      <c r="E45" s="1" t="n">
        <v>46282</v>
      </c>
      <c r="F45" t="inlineStr">
        <is>
          <t>SÖDERMANLANDS LÄN</t>
        </is>
      </c>
      <c r="G45" t="inlineStr">
        <is>
          <t>NYKÖPING</t>
        </is>
      </c>
      <c r="H45" t="inlineStr">
        <is>
          <t>Holmen skog AB</t>
        </is>
      </c>
      <c r="I45" t="n">
        <v>2.7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Nötkråka
Havsörn</t>
        </is>
      </c>
      <c r="W45">
        <f>HYPERLINK("https://klasma.github.io/Logging_0480/artfynd/A 48153-2023 artfynd.xlsx", "A 48153-2023")</f>
        <v/>
      </c>
      <c r="X45">
        <f>HYPERLINK("https://klasma.github.io/Logging_0480/kartor/A 48153-2023 karta.png", "A 48153-2023")</f>
        <v/>
      </c>
      <c r="Y45">
        <f>HYPERLINK("https://klasma.github.io/Logging_0480/kartor_geotiff/A 48153-2023 georefererad karta.tif", "A 48153-2023")</f>
        <v/>
      </c>
      <c r="AA45">
        <f>HYPERLINK("https://klasma.github.io/Logging_0480/klagomål/A 48153-2023 FSC-klagomål.docx", "A 48153-2023")</f>
        <v/>
      </c>
      <c r="AB45">
        <f>HYPERLINK("https://klasma.github.io/Logging_0480/klagomålsmail/A 48153-2023 FSC-klagomål mail.docx", "A 48153-2023")</f>
        <v/>
      </c>
      <c r="AC45">
        <f>HYPERLINK("https://klasma.github.io/Logging_0480/tillsyn/A 48153-2023 tillsynsbegäran.docx", "A 48153-2023")</f>
        <v/>
      </c>
      <c r="AD45">
        <f>HYPERLINK("https://klasma.github.io/Logging_0480/tillsynsmail/A 48153-2023 tillsynsbegäran mail.docx", "A 48153-2023")</f>
        <v/>
      </c>
      <c r="AE45">
        <f>HYPERLINK("https://klasma.github.io/Logging_0480/fåglar/A 48153-2023 prioriterade fågelarter.docx", "A 48153-2023")</f>
        <v/>
      </c>
    </row>
    <row r="46" ht="15" customHeight="1">
      <c r="A46" t="inlineStr">
        <is>
          <t>A 16078-2023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45027</v>
      </c>
      <c r="E46" s="1" t="n">
        <v>46282</v>
      </c>
      <c r="F46" t="inlineStr">
        <is>
          <t>SÖDERMANLANDS LÄN</t>
        </is>
      </c>
      <c r="G46" t="inlineStr">
        <is>
          <t>NYKÖPING</t>
        </is>
      </c>
      <c r="I46" t="n">
        <v>0.9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Rödlånke
Fläcknycklar</t>
        </is>
      </c>
      <c r="W46">
        <f>HYPERLINK("https://klasma.github.io/Logging_0480/artfynd/A 16078-2023 artfynd.xlsx", "A 16078-2023")</f>
        <v/>
      </c>
      <c r="X46">
        <f>HYPERLINK("https://klasma.github.io/Logging_0480/kartor/A 16078-2023 karta.png", "A 16078-2023")</f>
        <v/>
      </c>
      <c r="Y46">
        <f>HYPERLINK("https://klasma.github.io/Logging_0480/kartor_geotiff/A 16078-2023 georefererad karta.tif", "A 16078-2023")</f>
        <v/>
      </c>
      <c r="AA46">
        <f>HYPERLINK("https://klasma.github.io/Logging_0480/klagomål/A 16078-2023 FSC-klagomål.docx", "A 16078-2023")</f>
        <v/>
      </c>
      <c r="AB46">
        <f>HYPERLINK("https://klasma.github.io/Logging_0480/klagomålsmail/A 16078-2023 FSC-klagomål mail.docx", "A 16078-2023")</f>
        <v/>
      </c>
      <c r="AC46">
        <f>HYPERLINK("https://klasma.github.io/Logging_0480/tillsyn/A 16078-2023 tillsynsbegäran.docx", "A 16078-2023")</f>
        <v/>
      </c>
      <c r="AD46">
        <f>HYPERLINK("https://klasma.github.io/Logging_0480/tillsynsmail/A 16078-2023 tillsynsbegäran mail.docx", "A 16078-2023")</f>
        <v/>
      </c>
    </row>
    <row r="47" ht="15" customHeight="1">
      <c r="A47" t="inlineStr">
        <is>
          <t>A 5865-2024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45335</v>
      </c>
      <c r="E47" s="1" t="n">
        <v>46282</v>
      </c>
      <c r="F47" t="inlineStr">
        <is>
          <t>SÖDERMANLANDS LÄN</t>
        </is>
      </c>
      <c r="G47" t="inlineStr">
        <is>
          <t>NYKÖPING</t>
        </is>
      </c>
      <c r="H47" t="inlineStr">
        <is>
          <t>Sveaskog</t>
        </is>
      </c>
      <c r="I47" t="n">
        <v>4.9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Entita
Fläcknycklar</t>
        </is>
      </c>
      <c r="W47">
        <f>HYPERLINK("https://klasma.github.io/Logging_0480/artfynd/A 5865-2024 artfynd.xlsx", "A 5865-2024")</f>
        <v/>
      </c>
      <c r="X47">
        <f>HYPERLINK("https://klasma.github.io/Logging_0480/kartor/A 5865-2024 karta.png", "A 5865-2024")</f>
        <v/>
      </c>
      <c r="Y47">
        <f>HYPERLINK("https://klasma.github.io/Logging_0480/kartor_geotiff/A 5865-2024 georefererad karta.tif", "A 5865-2024")</f>
        <v/>
      </c>
      <c r="AA47">
        <f>HYPERLINK("https://klasma.github.io/Logging_0480/klagomål/A 5865-2024 FSC-klagomål.docx", "A 5865-2024")</f>
        <v/>
      </c>
      <c r="AB47">
        <f>HYPERLINK("https://klasma.github.io/Logging_0480/klagomålsmail/A 5865-2024 FSC-klagomål mail.docx", "A 5865-2024")</f>
        <v/>
      </c>
      <c r="AC47">
        <f>HYPERLINK("https://klasma.github.io/Logging_0480/tillsyn/A 5865-2024 tillsynsbegäran.docx", "A 5865-2024")</f>
        <v/>
      </c>
      <c r="AD47">
        <f>HYPERLINK("https://klasma.github.io/Logging_0480/tillsynsmail/A 5865-2024 tillsynsbegäran mail.docx", "A 5865-2024")</f>
        <v/>
      </c>
      <c r="AE47">
        <f>HYPERLINK("https://klasma.github.io/Logging_0480/fåglar/A 5865-2024 prioriterade fågelarter.docx", "A 5865-2024")</f>
        <v/>
      </c>
    </row>
    <row r="48" ht="15" customHeight="1">
      <c r="A48" t="inlineStr">
        <is>
          <t>A 49231-2023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45210</v>
      </c>
      <c r="E48" s="1" t="n">
        <v>46282</v>
      </c>
      <c r="F48" t="inlineStr">
        <is>
          <t>SÖDERMANLANDS LÄN</t>
        </is>
      </c>
      <c r="G48" t="inlineStr">
        <is>
          <t>NYKÖPING</t>
        </is>
      </c>
      <c r="I48" t="n">
        <v>0.5</v>
      </c>
      <c r="J48" t="n">
        <v>1</v>
      </c>
      <c r="K48" t="n">
        <v>1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Bombmurkla
Blåmossa</t>
        </is>
      </c>
      <c r="W48">
        <f>HYPERLINK("https://klasma.github.io/Logging_0480/artfynd/A 49231-2023 artfynd.xlsx", "A 49231-2023")</f>
        <v/>
      </c>
      <c r="X48">
        <f>HYPERLINK("https://klasma.github.io/Logging_0480/kartor/A 49231-2023 karta.png", "A 49231-2023")</f>
        <v/>
      </c>
      <c r="Y48">
        <f>HYPERLINK("https://klasma.github.io/Logging_0480/kartor_geotiff/A 49231-2023 georefererad karta.tif", "A 49231-2023")</f>
        <v/>
      </c>
      <c r="AA48">
        <f>HYPERLINK("https://klasma.github.io/Logging_0480/klagomål/A 49231-2023 FSC-klagomål.docx", "A 49231-2023")</f>
        <v/>
      </c>
      <c r="AB48">
        <f>HYPERLINK("https://klasma.github.io/Logging_0480/klagomålsmail/A 49231-2023 FSC-klagomål mail.docx", "A 49231-2023")</f>
        <v/>
      </c>
      <c r="AC48">
        <f>HYPERLINK("https://klasma.github.io/Logging_0480/tillsyn/A 49231-2023 tillsynsbegäran.docx", "A 49231-2023")</f>
        <v/>
      </c>
      <c r="AD48">
        <f>HYPERLINK("https://klasma.github.io/Logging_0480/tillsynsmail/A 49231-2023 tillsynsbegäran mail.docx", "A 49231-2023")</f>
        <v/>
      </c>
    </row>
    <row r="49" ht="15" customHeight="1">
      <c r="A49" t="inlineStr">
        <is>
          <t>A 56420-2021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44480</v>
      </c>
      <c r="E49" s="1" t="n">
        <v>46282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2.8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Björktrast
Kungsörn</t>
        </is>
      </c>
      <c r="W49">
        <f>HYPERLINK("https://klasma.github.io/Logging_0480/artfynd/A 56420-2021 artfynd.xlsx", "A 56420-2021")</f>
        <v/>
      </c>
      <c r="X49">
        <f>HYPERLINK("https://klasma.github.io/Logging_0480/kartor/A 56420-2021 karta.png", "A 56420-2021")</f>
        <v/>
      </c>
      <c r="Y49">
        <f>HYPERLINK("https://klasma.github.io/Logging_0480/kartor_geotiff/A 56420-2021 georefererad karta.tif", "A 56420-2021")</f>
        <v/>
      </c>
      <c r="AA49">
        <f>HYPERLINK("https://klasma.github.io/Logging_0480/klagomål/A 56420-2021 FSC-klagomål.docx", "A 56420-2021")</f>
        <v/>
      </c>
      <c r="AB49">
        <f>HYPERLINK("https://klasma.github.io/Logging_0480/klagomålsmail/A 56420-2021 FSC-klagomål mail.docx", "A 56420-2021")</f>
        <v/>
      </c>
      <c r="AC49">
        <f>HYPERLINK("https://klasma.github.io/Logging_0480/tillsyn/A 56420-2021 tillsynsbegäran.docx", "A 56420-2021")</f>
        <v/>
      </c>
      <c r="AD49">
        <f>HYPERLINK("https://klasma.github.io/Logging_0480/tillsynsmail/A 56420-2021 tillsynsbegäran mail.docx", "A 56420-2021")</f>
        <v/>
      </c>
      <c r="AE49">
        <f>HYPERLINK("https://klasma.github.io/Logging_0480/fåglar/A 56420-2021 prioriterade fågelarter.docx", "A 56420-2021")</f>
        <v/>
      </c>
    </row>
    <row r="50" ht="15" customHeight="1">
      <c r="A50" t="inlineStr">
        <is>
          <t>A 10977-2024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45370</v>
      </c>
      <c r="E50" s="1" t="n">
        <v>46282</v>
      </c>
      <c r="F50" t="inlineStr">
        <is>
          <t>SÖDERMANLANDS LÄN</t>
        </is>
      </c>
      <c r="G50" t="inlineStr">
        <is>
          <t>NYKÖPING</t>
        </is>
      </c>
      <c r="H50" t="inlineStr">
        <is>
          <t>Kommuner</t>
        </is>
      </c>
      <c r="I50" t="n">
        <v>3.7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Stor aspticka
Vätteros</t>
        </is>
      </c>
      <c r="W50">
        <f>HYPERLINK("https://klasma.github.io/Logging_0480/artfynd/A 10977-2024 artfynd.xlsx", "A 10977-2024")</f>
        <v/>
      </c>
      <c r="X50">
        <f>HYPERLINK("https://klasma.github.io/Logging_0480/kartor/A 10977-2024 karta.png", "A 10977-2024")</f>
        <v/>
      </c>
      <c r="Y50">
        <f>HYPERLINK("https://klasma.github.io/Logging_0480/kartor_geotiff/A 10977-2024 georefererad karta.tif", "A 10977-2024")</f>
        <v/>
      </c>
      <c r="AA50">
        <f>HYPERLINK("https://klasma.github.io/Logging_0480/klagomål/A 10977-2024 FSC-klagomål.docx", "A 10977-2024")</f>
        <v/>
      </c>
      <c r="AB50">
        <f>HYPERLINK("https://klasma.github.io/Logging_0480/klagomålsmail/A 10977-2024 FSC-klagomål mail.docx", "A 10977-2024")</f>
        <v/>
      </c>
      <c r="AC50">
        <f>HYPERLINK("https://klasma.github.io/Logging_0480/tillsyn/A 10977-2024 tillsynsbegäran.docx", "A 10977-2024")</f>
        <v/>
      </c>
      <c r="AD50">
        <f>HYPERLINK("https://klasma.github.io/Logging_0480/tillsynsmail/A 10977-2024 tillsynsbegäran mail.docx", "A 10977-2024")</f>
        <v/>
      </c>
    </row>
    <row r="51" ht="15" customHeight="1">
      <c r="A51" t="inlineStr">
        <is>
          <t>A 6276-2026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46055</v>
      </c>
      <c r="E51" s="1" t="n">
        <v>46282</v>
      </c>
      <c r="F51" t="inlineStr">
        <is>
          <t>SÖDERMANLANDS LÄN</t>
        </is>
      </c>
      <c r="G51" t="inlineStr">
        <is>
          <t>NYKÖPING</t>
        </is>
      </c>
      <c r="I51" t="n">
        <v>9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Duvhök
Granbarkgnagare</t>
        </is>
      </c>
      <c r="W51">
        <f>HYPERLINK("https://klasma.github.io/Logging_0480/artfynd/A 6276-2026 artfynd.xlsx", "A 6276-2026")</f>
        <v/>
      </c>
      <c r="X51">
        <f>HYPERLINK("https://klasma.github.io/Logging_0480/kartor/A 6276-2026 karta.png", "A 6276-2026")</f>
        <v/>
      </c>
      <c r="Y51">
        <f>HYPERLINK("https://klasma.github.io/Logging_0480/kartor_geotiff/A 6276-2026 georefererad karta.tif", "A 6276-2026")</f>
        <v/>
      </c>
      <c r="AA51">
        <f>HYPERLINK("https://klasma.github.io/Logging_0480/klagomål/A 6276-2026 FSC-klagomål.docx", "A 6276-2026")</f>
        <v/>
      </c>
      <c r="AB51">
        <f>HYPERLINK("https://klasma.github.io/Logging_0480/klagomålsmail/A 6276-2026 FSC-klagomål mail.docx", "A 6276-2026")</f>
        <v/>
      </c>
      <c r="AC51">
        <f>HYPERLINK("https://klasma.github.io/Logging_0480/tillsyn/A 6276-2026 tillsynsbegäran.docx", "A 6276-2026")</f>
        <v/>
      </c>
      <c r="AD51">
        <f>HYPERLINK("https://klasma.github.io/Logging_0480/tillsynsmail/A 6276-2026 tillsynsbegäran mail.docx", "A 6276-2026")</f>
        <v/>
      </c>
      <c r="AE51">
        <f>HYPERLINK("https://klasma.github.io/Logging_0480/fåglar/A 6276-2026 prioriterade fågelarter.docx", "A 6276-2026")</f>
        <v/>
      </c>
    </row>
    <row r="52" ht="15" customHeight="1">
      <c r="A52" t="inlineStr">
        <is>
          <t>A 60518-2022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44904</v>
      </c>
      <c r="E52" s="1" t="n">
        <v>46282</v>
      </c>
      <c r="F52" t="inlineStr">
        <is>
          <t>SÖDERMANLANDS LÄN</t>
        </is>
      </c>
      <c r="G52" t="inlineStr">
        <is>
          <t>NYKÖPING</t>
        </is>
      </c>
      <c r="I52" t="n">
        <v>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Gullklöver
Gullviva</t>
        </is>
      </c>
      <c r="W52">
        <f>HYPERLINK("https://klasma.github.io/Logging_0480/artfynd/A 60518-2022 artfynd.xlsx", "A 60518-2022")</f>
        <v/>
      </c>
      <c r="X52">
        <f>HYPERLINK("https://klasma.github.io/Logging_0480/kartor/A 60518-2022 karta.png", "A 60518-2022")</f>
        <v/>
      </c>
      <c r="Y52">
        <f>HYPERLINK("https://klasma.github.io/Logging_0480/kartor_geotiff/A 60518-2022 georefererad karta.tif", "A 60518-2022")</f>
        <v/>
      </c>
      <c r="AA52">
        <f>HYPERLINK("https://klasma.github.io/Logging_0480/klagomål/A 60518-2022 FSC-klagomål.docx", "A 60518-2022")</f>
        <v/>
      </c>
      <c r="AB52">
        <f>HYPERLINK("https://klasma.github.io/Logging_0480/klagomålsmail/A 60518-2022 FSC-klagomål mail.docx", "A 60518-2022")</f>
        <v/>
      </c>
      <c r="AC52">
        <f>HYPERLINK("https://klasma.github.io/Logging_0480/tillsyn/A 60518-2022 tillsynsbegäran.docx", "A 60518-2022")</f>
        <v/>
      </c>
      <c r="AD52">
        <f>HYPERLINK("https://klasma.github.io/Logging_0480/tillsynsmail/A 60518-2022 tillsynsbegäran mail.docx", "A 60518-2022")</f>
        <v/>
      </c>
    </row>
    <row r="53" ht="15" customHeight="1">
      <c r="A53" t="inlineStr">
        <is>
          <t>A 58167-2025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45982</v>
      </c>
      <c r="E53" s="1" t="n">
        <v>46282</v>
      </c>
      <c r="F53" t="inlineStr">
        <is>
          <t>SÖDERMANLANDS LÄN</t>
        </is>
      </c>
      <c r="G53" t="inlineStr">
        <is>
          <t>NYKÖPING</t>
        </is>
      </c>
      <c r="H53" t="inlineStr">
        <is>
          <t>Holmen skog AB</t>
        </is>
      </c>
      <c r="I53" t="n">
        <v>2.8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Grönpyrola
Mattlummer</t>
        </is>
      </c>
      <c r="W53">
        <f>HYPERLINK("https://klasma.github.io/Logging_0480/artfynd/A 58167-2025 artfynd.xlsx", "A 58167-2025")</f>
        <v/>
      </c>
      <c r="X53">
        <f>HYPERLINK("https://klasma.github.io/Logging_0480/kartor/A 58167-2025 karta.png", "A 58167-2025")</f>
        <v/>
      </c>
      <c r="Y53">
        <f>HYPERLINK("https://klasma.github.io/Logging_0480/kartor_geotiff/A 58167-2025 georefererad karta.tif", "A 58167-2025")</f>
        <v/>
      </c>
      <c r="AA53">
        <f>HYPERLINK("https://klasma.github.io/Logging_0480/klagomål/A 58167-2025 FSC-klagomål.docx", "A 58167-2025")</f>
        <v/>
      </c>
      <c r="AB53">
        <f>HYPERLINK("https://klasma.github.io/Logging_0480/klagomålsmail/A 58167-2025 FSC-klagomål mail.docx", "A 58167-2025")</f>
        <v/>
      </c>
      <c r="AC53">
        <f>HYPERLINK("https://klasma.github.io/Logging_0480/tillsyn/A 58167-2025 tillsynsbegäran.docx", "A 58167-2025")</f>
        <v/>
      </c>
      <c r="AD53">
        <f>HYPERLINK("https://klasma.github.io/Logging_0480/tillsynsmail/A 58167-2025 tillsynsbegäran mail.docx", "A 58167-2025")</f>
        <v/>
      </c>
    </row>
    <row r="54" ht="15" customHeight="1">
      <c r="A54" t="inlineStr">
        <is>
          <t>A 5857-2024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45335</v>
      </c>
      <c r="E54" s="1" t="n">
        <v>46282</v>
      </c>
      <c r="F54" t="inlineStr">
        <is>
          <t>SÖDERMANLANDS LÄN</t>
        </is>
      </c>
      <c r="G54" t="inlineStr">
        <is>
          <t>NYKÖPING</t>
        </is>
      </c>
      <c r="H54" t="inlineStr">
        <is>
          <t>Sveaskog</t>
        </is>
      </c>
      <c r="I54" t="n">
        <v>1.9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Törnskata
Revlummer</t>
        </is>
      </c>
      <c r="W54">
        <f>HYPERLINK("https://klasma.github.io/Logging_0480/artfynd/A 5857-2024 artfynd.xlsx", "A 5857-2024")</f>
        <v/>
      </c>
      <c r="X54">
        <f>HYPERLINK("https://klasma.github.io/Logging_0480/kartor/A 5857-2024 karta.png", "A 5857-2024")</f>
        <v/>
      </c>
      <c r="Y54">
        <f>HYPERLINK("https://klasma.github.io/Logging_0480/kartor_geotiff/A 5857-2024 georefererad karta.tif", "A 5857-2024")</f>
        <v/>
      </c>
      <c r="AA54">
        <f>HYPERLINK("https://klasma.github.io/Logging_0480/klagomål/A 5857-2024 FSC-klagomål.docx", "A 5857-2024")</f>
        <v/>
      </c>
      <c r="AB54">
        <f>HYPERLINK("https://klasma.github.io/Logging_0480/klagomålsmail/A 5857-2024 FSC-klagomål mail.docx", "A 5857-2024")</f>
        <v/>
      </c>
      <c r="AC54">
        <f>HYPERLINK("https://klasma.github.io/Logging_0480/tillsyn/A 5857-2024 tillsynsbegäran.docx", "A 5857-2024")</f>
        <v/>
      </c>
      <c r="AD54">
        <f>HYPERLINK("https://klasma.github.io/Logging_0480/tillsynsmail/A 5857-2024 tillsynsbegäran mail.docx", "A 5857-2024")</f>
        <v/>
      </c>
      <c r="AE54">
        <f>HYPERLINK("https://klasma.github.io/Logging_0480/fåglar/A 5857-2024 prioriterade fågelarter.docx", "A 5857-2024")</f>
        <v/>
      </c>
    </row>
    <row r="55" ht="15" customHeight="1">
      <c r="A55" t="inlineStr">
        <is>
          <t>A 14862-2026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46104</v>
      </c>
      <c r="E55" s="1" t="n">
        <v>46282</v>
      </c>
      <c r="F55" t="inlineStr">
        <is>
          <t>SÖDERMANLANDS LÄN</t>
        </is>
      </c>
      <c r="G55" t="inlineStr">
        <is>
          <t>NYKÖPING</t>
        </is>
      </c>
      <c r="I55" t="n">
        <v>10.8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Dropptaggsvamp
Blåbär</t>
        </is>
      </c>
      <c r="W55">
        <f>HYPERLINK("https://klasma.github.io/Logging_0480/artfynd/A 14862-2026 artfynd.xlsx", "A 14862-2026")</f>
        <v/>
      </c>
      <c r="X55">
        <f>HYPERLINK("https://klasma.github.io/Logging_0480/kartor/A 14862-2026 karta.png", "A 14862-2026")</f>
        <v/>
      </c>
      <c r="Y55">
        <f>HYPERLINK("https://klasma.github.io/Logging_0480/kartor_geotiff/A 14862-2026 georefererad karta.tif", "A 14862-2026")</f>
        <v/>
      </c>
      <c r="AA55">
        <f>HYPERLINK("https://klasma.github.io/Logging_0480/klagomål/A 14862-2026 FSC-klagomål.docx", "A 14862-2026")</f>
        <v/>
      </c>
      <c r="AB55">
        <f>HYPERLINK("https://klasma.github.io/Logging_0480/klagomålsmail/A 14862-2026 FSC-klagomål mail.docx", "A 14862-2026")</f>
        <v/>
      </c>
      <c r="AC55">
        <f>HYPERLINK("https://klasma.github.io/Logging_0480/tillsyn/A 14862-2026 tillsynsbegäran.docx", "A 14862-2026")</f>
        <v/>
      </c>
      <c r="AD55">
        <f>HYPERLINK("https://klasma.github.io/Logging_0480/tillsynsmail/A 14862-2026 tillsynsbegäran mail.docx", "A 14862-2026")</f>
        <v/>
      </c>
    </row>
    <row r="56" ht="15" customHeight="1">
      <c r="A56" t="inlineStr">
        <is>
          <t>A 60460-2022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44911</v>
      </c>
      <c r="E56" s="1" t="n">
        <v>46282</v>
      </c>
      <c r="F56" t="inlineStr">
        <is>
          <t>SÖDERMANLANDS LÄN</t>
        </is>
      </c>
      <c r="G56" t="inlineStr">
        <is>
          <t>NYKÖPING</t>
        </is>
      </c>
      <c r="H56" t="inlineStr">
        <is>
          <t>Holmen skog AB</t>
        </is>
      </c>
      <c r="I56" t="n">
        <v>1.7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3</v>
      </c>
      <c r="V56" s="2" t="inlineStr">
        <is>
          <t>Barkticka
Blåsippa</t>
        </is>
      </c>
      <c r="W56">
        <f>HYPERLINK("https://klasma.github.io/Logging_0480/artfynd/A 60460-2022 artfynd.xlsx", "A 60460-2022")</f>
        <v/>
      </c>
      <c r="X56">
        <f>HYPERLINK("https://klasma.github.io/Logging_0480/kartor/A 60460-2022 karta.png", "A 60460-2022")</f>
        <v/>
      </c>
      <c r="Y56">
        <f>HYPERLINK("https://klasma.github.io/Logging_0480/kartor_geotiff/A 60460-2022 georefererad karta.tif", "A 60460-2022")</f>
        <v/>
      </c>
      <c r="AA56">
        <f>HYPERLINK("https://klasma.github.io/Logging_0480/klagomål/A 60460-2022 FSC-klagomål.docx", "A 60460-2022")</f>
        <v/>
      </c>
      <c r="AB56">
        <f>HYPERLINK("https://klasma.github.io/Logging_0480/klagomålsmail/A 60460-2022 FSC-klagomål mail.docx", "A 60460-2022")</f>
        <v/>
      </c>
      <c r="AC56">
        <f>HYPERLINK("https://klasma.github.io/Logging_0480/tillsyn/A 60460-2022 tillsynsbegäran.docx", "A 60460-2022")</f>
        <v/>
      </c>
      <c r="AD56">
        <f>HYPERLINK("https://klasma.github.io/Logging_0480/tillsynsmail/A 60460-2022 tillsynsbegäran mail.docx", "A 60460-2022")</f>
        <v/>
      </c>
    </row>
    <row r="57" ht="15" customHeight="1">
      <c r="A57" t="inlineStr">
        <is>
          <t>A 55497-2021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46282</v>
      </c>
      <c r="F57" t="inlineStr">
        <is>
          <t>SÖDERMANLANDS LÄN</t>
        </is>
      </c>
      <c r="G57" t="inlineStr">
        <is>
          <t>NYKÖPING</t>
        </is>
      </c>
      <c r="I57" t="n">
        <v>7.7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Älg
Nattskärra</t>
        </is>
      </c>
      <c r="W57">
        <f>HYPERLINK("https://klasma.github.io/Logging_0480/artfynd/A 55497-2021 artfynd.xlsx", "A 55497-2021")</f>
        <v/>
      </c>
      <c r="X57">
        <f>HYPERLINK("https://klasma.github.io/Logging_0480/kartor/A 55497-2021 karta.png", "A 55497-2021")</f>
        <v/>
      </c>
      <c r="Y57">
        <f>HYPERLINK("https://klasma.github.io/Logging_0480/kartor_geotiff/A 55497-2021 georefererad karta.tif", "A 55497-2021")</f>
        <v/>
      </c>
      <c r="AA57">
        <f>HYPERLINK("https://klasma.github.io/Logging_0480/klagomål/A 55497-2021 FSC-klagomål.docx", "A 55497-2021")</f>
        <v/>
      </c>
      <c r="AB57">
        <f>HYPERLINK("https://klasma.github.io/Logging_0480/klagomålsmail/A 55497-2021 FSC-klagomål mail.docx", "A 55497-2021")</f>
        <v/>
      </c>
      <c r="AC57">
        <f>HYPERLINK("https://klasma.github.io/Logging_0480/tillsyn/A 55497-2021 tillsynsbegäran.docx", "A 55497-2021")</f>
        <v/>
      </c>
      <c r="AD57">
        <f>HYPERLINK("https://klasma.github.io/Logging_0480/tillsynsmail/A 55497-2021 tillsynsbegäran mail.docx", "A 55497-2021")</f>
        <v/>
      </c>
      <c r="AE57">
        <f>HYPERLINK("https://klasma.github.io/Logging_0480/fåglar/A 55497-2021 prioriterade fågelarter.docx", "A 55497-2021")</f>
        <v/>
      </c>
    </row>
    <row r="58" ht="15" customHeight="1">
      <c r="A58" t="inlineStr">
        <is>
          <t>A 1037-2026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46030</v>
      </c>
      <c r="E58" s="1" t="n">
        <v>46282</v>
      </c>
      <c r="F58" t="inlineStr">
        <is>
          <t>SÖDERMANLANDS LÄN</t>
        </is>
      </c>
      <c r="G58" t="inlineStr">
        <is>
          <t>NYKÖPING</t>
        </is>
      </c>
      <c r="I58" t="n">
        <v>11.6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Talltita
Spillkråka</t>
        </is>
      </c>
      <c r="W58">
        <f>HYPERLINK("https://klasma.github.io/Logging_0480/artfynd/A 1037-2026 artfynd.xlsx", "A 1037-2026")</f>
        <v/>
      </c>
      <c r="X58">
        <f>HYPERLINK("https://klasma.github.io/Logging_0480/kartor/A 1037-2026 karta.png", "A 1037-2026")</f>
        <v/>
      </c>
      <c r="Y58">
        <f>HYPERLINK("https://klasma.github.io/Logging_0480/kartor_geotiff/A 1037-2026 georefererad karta.tif", "A 1037-2026")</f>
        <v/>
      </c>
      <c r="AA58">
        <f>HYPERLINK("https://klasma.github.io/Logging_0480/klagomål/A 1037-2026 FSC-klagomål.docx", "A 1037-2026")</f>
        <v/>
      </c>
      <c r="AB58">
        <f>HYPERLINK("https://klasma.github.io/Logging_0480/klagomålsmail/A 1037-2026 FSC-klagomål mail.docx", "A 1037-2026")</f>
        <v/>
      </c>
      <c r="AC58">
        <f>HYPERLINK("https://klasma.github.io/Logging_0480/tillsyn/A 1037-2026 tillsynsbegäran.docx", "A 1037-2026")</f>
        <v/>
      </c>
      <c r="AD58">
        <f>HYPERLINK("https://klasma.github.io/Logging_0480/tillsynsmail/A 1037-2026 tillsynsbegäran mail.docx", "A 1037-2026")</f>
        <v/>
      </c>
      <c r="AE58">
        <f>HYPERLINK("https://klasma.github.io/Logging_0480/fåglar/A 1037-2026 prioriterade fågelarter.docx", "A 1037-2026")</f>
        <v/>
      </c>
    </row>
    <row r="59" ht="15" customHeight="1">
      <c r="A59" t="inlineStr">
        <is>
          <t>A 29766-2022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44755</v>
      </c>
      <c r="E59" s="1" t="n">
        <v>46282</v>
      </c>
      <c r="F59" t="inlineStr">
        <is>
          <t>SÖDERMANLANDS LÄN</t>
        </is>
      </c>
      <c r="G59" t="inlineStr">
        <is>
          <t>NYKÖPING</t>
        </is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Broskvaxing
Kungsfågel</t>
        </is>
      </c>
      <c r="W59">
        <f>HYPERLINK("https://klasma.github.io/Logging_0480/artfynd/A 29766-2022 artfynd.xlsx", "A 29766-2022")</f>
        <v/>
      </c>
      <c r="X59">
        <f>HYPERLINK("https://klasma.github.io/Logging_0480/kartor/A 29766-2022 karta.png", "A 29766-2022")</f>
        <v/>
      </c>
      <c r="Y59">
        <f>HYPERLINK("https://klasma.github.io/Logging_0480/kartor_geotiff/A 29766-2022 georefererad karta.tif", "A 29766-2022")</f>
        <v/>
      </c>
      <c r="AA59">
        <f>HYPERLINK("https://klasma.github.io/Logging_0480/klagomål/A 29766-2022 FSC-klagomål.docx", "A 29766-2022")</f>
        <v/>
      </c>
      <c r="AB59">
        <f>HYPERLINK("https://klasma.github.io/Logging_0480/klagomålsmail/A 29766-2022 FSC-klagomål mail.docx", "A 29766-2022")</f>
        <v/>
      </c>
      <c r="AC59">
        <f>HYPERLINK("https://klasma.github.io/Logging_0480/tillsyn/A 29766-2022 tillsynsbegäran.docx", "A 29766-2022")</f>
        <v/>
      </c>
      <c r="AD59">
        <f>HYPERLINK("https://klasma.github.io/Logging_0480/tillsynsmail/A 29766-2022 tillsynsbegäran mail.docx", "A 29766-2022")</f>
        <v/>
      </c>
    </row>
    <row r="60" ht="15" customHeight="1">
      <c r="A60" t="inlineStr">
        <is>
          <t>A 34310-2022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46282</v>
      </c>
      <c r="F60" t="inlineStr">
        <is>
          <t>SÖDERMANLANDS LÄN</t>
        </is>
      </c>
      <c r="G60" t="inlineStr">
        <is>
          <t>NYKÖPING</t>
        </is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7</v>
      </c>
      <c r="U60" t="n">
        <v>0</v>
      </c>
      <c r="V60" s="2" t="inlineStr">
        <is>
          <t>Bombmurkla
Grönpyrola</t>
        </is>
      </c>
      <c r="W60">
        <f>HYPERLINK("https://klasma.github.io/Logging_0480/artfynd/A 34310-2022 artfynd.xlsx", "A 34310-2022")</f>
        <v/>
      </c>
      <c r="X60">
        <f>HYPERLINK("https://klasma.github.io/Logging_0480/kartor/A 34310-2022 karta.png", "A 34310-2022")</f>
        <v/>
      </c>
      <c r="Y60">
        <f>HYPERLINK("https://klasma.github.io/Logging_0480/kartor_geotiff/A 34310-2022 georefererad karta.tif", "A 34310-2022")</f>
        <v/>
      </c>
      <c r="AA60">
        <f>HYPERLINK("https://klasma.github.io/Logging_0480/klagomål/A 34310-2022 FSC-klagomål.docx", "A 34310-2022")</f>
        <v/>
      </c>
      <c r="AB60">
        <f>HYPERLINK("https://klasma.github.io/Logging_0480/klagomålsmail/A 34310-2022 FSC-klagomål mail.docx", "A 34310-2022")</f>
        <v/>
      </c>
      <c r="AC60">
        <f>HYPERLINK("https://klasma.github.io/Logging_0480/tillsyn/A 34310-2022 tillsynsbegäran.docx", "A 34310-2022")</f>
        <v/>
      </c>
      <c r="AD60">
        <f>HYPERLINK("https://klasma.github.io/Logging_0480/tillsynsmail/A 34310-2022 tillsynsbegäran mail.docx", "A 34310-2022")</f>
        <v/>
      </c>
    </row>
    <row r="61" ht="15" customHeight="1">
      <c r="A61" t="inlineStr">
        <is>
          <t>A 56560-2022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44893</v>
      </c>
      <c r="E61" s="1" t="n">
        <v>46282</v>
      </c>
      <c r="F61" t="inlineStr">
        <is>
          <t>SÖDERMANLANDS LÄN</t>
        </is>
      </c>
      <c r="G61" t="inlineStr">
        <is>
          <t>NYKÖPING</t>
        </is>
      </c>
      <c r="H61" t="inlineStr">
        <is>
          <t>Övriga Aktiebolag</t>
        </is>
      </c>
      <c r="I61" t="n">
        <v>1.1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Fjällvråk
Kråka</t>
        </is>
      </c>
      <c r="W61">
        <f>HYPERLINK("https://klasma.github.io/Logging_0480/artfynd/A 56560-2022 artfynd.xlsx", "A 56560-2022")</f>
        <v/>
      </c>
      <c r="X61">
        <f>HYPERLINK("https://klasma.github.io/Logging_0480/kartor/A 56560-2022 karta.png", "A 56560-2022")</f>
        <v/>
      </c>
      <c r="Y61">
        <f>HYPERLINK("https://klasma.github.io/Logging_0480/kartor_geotiff/A 56560-2022 georefererad karta.tif", "A 56560-2022")</f>
        <v/>
      </c>
      <c r="AA61">
        <f>HYPERLINK("https://klasma.github.io/Logging_0480/klagomål/A 56560-2022 FSC-klagomål.docx", "A 56560-2022")</f>
        <v/>
      </c>
      <c r="AB61">
        <f>HYPERLINK("https://klasma.github.io/Logging_0480/klagomålsmail/A 56560-2022 FSC-klagomål mail.docx", "A 56560-2022")</f>
        <v/>
      </c>
      <c r="AC61">
        <f>HYPERLINK("https://klasma.github.io/Logging_0480/tillsyn/A 56560-2022 tillsynsbegäran.docx", "A 56560-2022")</f>
        <v/>
      </c>
      <c r="AD61">
        <f>HYPERLINK("https://klasma.github.io/Logging_0480/tillsynsmail/A 56560-2022 tillsynsbegäran mail.docx", "A 56560-2022")</f>
        <v/>
      </c>
      <c r="AE61">
        <f>HYPERLINK("https://klasma.github.io/Logging_0480/fåglar/A 56560-2022 prioriterade fågelarter.docx", "A 56560-2022")</f>
        <v/>
      </c>
    </row>
    <row r="62" ht="15" customHeight="1">
      <c r="A62" t="inlineStr">
        <is>
          <t>A 56728-2025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46282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2.5</v>
      </c>
      <c r="J62" t="n">
        <v>2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10</v>
      </c>
      <c r="U62" t="n">
        <v>0</v>
      </c>
      <c r="V62" s="2" t="inlineStr">
        <is>
          <t>Sandödla
Vanlig snok</t>
        </is>
      </c>
      <c r="W62">
        <f>HYPERLINK("https://klasma.github.io/Logging_0480/artfynd/A 56728-2025 artfynd.xlsx", "A 56728-2025")</f>
        <v/>
      </c>
      <c r="X62">
        <f>HYPERLINK("https://klasma.github.io/Logging_0480/kartor/A 56728-2025 karta.png", "A 56728-2025")</f>
        <v/>
      </c>
      <c r="Y62">
        <f>HYPERLINK("https://klasma.github.io/Logging_0480/kartor_geotiff/A 56728-2025 georefererad karta.tif", "A 56728-2025")</f>
        <v/>
      </c>
      <c r="AA62">
        <f>HYPERLINK("https://klasma.github.io/Logging_0480/klagomål/A 56728-2025 FSC-klagomål.docx", "A 56728-2025")</f>
        <v/>
      </c>
      <c r="AB62">
        <f>HYPERLINK("https://klasma.github.io/Logging_0480/klagomålsmail/A 56728-2025 FSC-klagomål mail.docx", "A 56728-2025")</f>
        <v/>
      </c>
      <c r="AC62">
        <f>HYPERLINK("https://klasma.github.io/Logging_0480/tillsyn/A 56728-2025 tillsynsbegäran.docx", "A 56728-2025")</f>
        <v/>
      </c>
      <c r="AD62">
        <f>HYPERLINK("https://klasma.github.io/Logging_0480/tillsynsmail/A 56728-2025 tillsynsbegäran mail.docx", "A 56728-2025")</f>
        <v/>
      </c>
    </row>
    <row r="63" ht="15" customHeight="1">
      <c r="A63" t="inlineStr">
        <is>
          <t>A 56725-2025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45978</v>
      </c>
      <c r="E63" s="1" t="n">
        <v>46282</v>
      </c>
      <c r="F63" t="inlineStr">
        <is>
          <t>SÖDERMANLANDS LÄN</t>
        </is>
      </c>
      <c r="G63" t="inlineStr">
        <is>
          <t>NYKÖPING</t>
        </is>
      </c>
      <c r="H63" t="inlineStr">
        <is>
          <t>Sveaskog</t>
        </is>
      </c>
      <c r="I63" t="n">
        <v>0.6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Vanlig snok
Revlummer</t>
        </is>
      </c>
      <c r="W63">
        <f>HYPERLINK("https://klasma.github.io/Logging_0480/artfynd/A 56725-2025 artfynd.xlsx", "A 56725-2025")</f>
        <v/>
      </c>
      <c r="X63">
        <f>HYPERLINK("https://klasma.github.io/Logging_0480/kartor/A 56725-2025 karta.png", "A 56725-2025")</f>
        <v/>
      </c>
      <c r="Y63">
        <f>HYPERLINK("https://klasma.github.io/Logging_0480/kartor_geotiff/A 56725-2025 georefererad karta.tif", "A 56725-2025")</f>
        <v/>
      </c>
      <c r="AA63">
        <f>HYPERLINK("https://klasma.github.io/Logging_0480/klagomål/A 56725-2025 FSC-klagomål.docx", "A 56725-2025")</f>
        <v/>
      </c>
      <c r="AB63">
        <f>HYPERLINK("https://klasma.github.io/Logging_0480/klagomålsmail/A 56725-2025 FSC-klagomål mail.docx", "A 56725-2025")</f>
        <v/>
      </c>
      <c r="AC63">
        <f>HYPERLINK("https://klasma.github.io/Logging_0480/tillsyn/A 56725-2025 tillsynsbegäran.docx", "A 56725-2025")</f>
        <v/>
      </c>
      <c r="AD63">
        <f>HYPERLINK("https://klasma.github.io/Logging_0480/tillsynsmail/A 56725-2025 tillsynsbegäran mail.docx", "A 56725-2025")</f>
        <v/>
      </c>
    </row>
    <row r="64" ht="15" customHeight="1">
      <c r="A64" t="inlineStr">
        <is>
          <t>A 38923-2024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45547</v>
      </c>
      <c r="E64" s="1" t="n">
        <v>46282</v>
      </c>
      <c r="F64" t="inlineStr">
        <is>
          <t>SÖDERMANLANDS LÄN</t>
        </is>
      </c>
      <c r="G64" t="inlineStr">
        <is>
          <t>NYKÖPING</t>
        </is>
      </c>
      <c r="I64" t="n">
        <v>18.9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4</v>
      </c>
      <c r="U64" t="n">
        <v>1</v>
      </c>
      <c r="V64" s="2" t="inlineStr">
        <is>
          <t>Tallticka
Blodticka</t>
        </is>
      </c>
      <c r="W64">
        <f>HYPERLINK("https://klasma.github.io/Logging_0480/artfynd/A 38923-2024 artfynd.xlsx", "A 38923-2024")</f>
        <v/>
      </c>
      <c r="X64">
        <f>HYPERLINK("https://klasma.github.io/Logging_0480/kartor/A 38923-2024 karta.png", "A 38923-2024")</f>
        <v/>
      </c>
      <c r="Y64">
        <f>HYPERLINK("https://klasma.github.io/Logging_0480/kartor_geotiff/A 38923-2024 georefererad karta.tif", "A 38923-2024")</f>
        <v/>
      </c>
      <c r="AA64">
        <f>HYPERLINK("https://klasma.github.io/Logging_0480/klagomål/A 38923-2024 FSC-klagomål.docx", "A 38923-2024")</f>
        <v/>
      </c>
      <c r="AB64">
        <f>HYPERLINK("https://klasma.github.io/Logging_0480/klagomålsmail/A 38923-2024 FSC-klagomål mail.docx", "A 38923-2024")</f>
        <v/>
      </c>
      <c r="AC64">
        <f>HYPERLINK("https://klasma.github.io/Logging_0480/tillsyn/A 38923-2024 tillsynsbegäran.docx", "A 38923-2024")</f>
        <v/>
      </c>
      <c r="AD64">
        <f>HYPERLINK("https://klasma.github.io/Logging_0480/tillsynsmail/A 38923-2024 tillsynsbegäran mail.docx", "A 38923-2024")</f>
        <v/>
      </c>
    </row>
    <row r="65" ht="15" customHeight="1">
      <c r="A65" t="inlineStr">
        <is>
          <t>A 55945-2025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45973</v>
      </c>
      <c r="E65" s="1" t="n">
        <v>46282</v>
      </c>
      <c r="F65" t="inlineStr">
        <is>
          <t>SÖDERMANLANDS LÄN</t>
        </is>
      </c>
      <c r="G65" t="inlineStr">
        <is>
          <t>NYKÖPING</t>
        </is>
      </c>
      <c r="I65" t="n">
        <v>9.1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Blanksvart spiklav
Motaggsvamp</t>
        </is>
      </c>
      <c r="W65">
        <f>HYPERLINK("https://klasma.github.io/Logging_0480/artfynd/A 55945-2025 artfynd.xlsx", "A 55945-2025")</f>
        <v/>
      </c>
      <c r="X65">
        <f>HYPERLINK("https://klasma.github.io/Logging_0480/kartor/A 55945-2025 karta.png", "A 55945-2025")</f>
        <v/>
      </c>
      <c r="Y65">
        <f>HYPERLINK("https://klasma.github.io/Logging_0480/kartor_geotiff/A 55945-2025 georefererad karta.tif", "A 55945-2025")</f>
        <v/>
      </c>
      <c r="AA65">
        <f>HYPERLINK("https://klasma.github.io/Logging_0480/klagomål/A 55945-2025 FSC-klagomål.docx", "A 55945-2025")</f>
        <v/>
      </c>
      <c r="AB65">
        <f>HYPERLINK("https://klasma.github.io/Logging_0480/klagomålsmail/A 55945-2025 FSC-klagomål mail.docx", "A 55945-2025")</f>
        <v/>
      </c>
      <c r="AC65">
        <f>HYPERLINK("https://klasma.github.io/Logging_0480/tillsyn/A 55945-2025 tillsynsbegäran.docx", "A 55945-2025")</f>
        <v/>
      </c>
      <c r="AD65">
        <f>HYPERLINK("https://klasma.github.io/Logging_0480/tillsynsmail/A 55945-2025 tillsynsbegäran mail.docx", "A 55945-2025")</f>
        <v/>
      </c>
    </row>
    <row r="66" ht="15" customHeight="1">
      <c r="A66" t="inlineStr">
        <is>
          <t>S 5250-2022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44825</v>
      </c>
      <c r="E66" s="1" t="n">
        <v>46282</v>
      </c>
      <c r="F66" t="inlineStr">
        <is>
          <t>SÖDERMANLANDS LÄN</t>
        </is>
      </c>
      <c r="G66" t="inlineStr">
        <is>
          <t>NYKÖPING</t>
        </is>
      </c>
      <c r="I66" t="n">
        <v>3.1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Ask
Grön sköldmossa</t>
        </is>
      </c>
      <c r="W66">
        <f>HYPERLINK("https://klasma.github.io/Logging_0480/artfynd/S 5250-2022 artfynd.xlsx", "S 5250-2022")</f>
        <v/>
      </c>
      <c r="X66">
        <f>HYPERLINK("https://klasma.github.io/Logging_0480/kartor/S 5250-2022 karta.png", "S 5250-2022")</f>
        <v/>
      </c>
      <c r="Y66">
        <f>HYPERLINK("https://klasma.github.io/Logging_0480/kartor_geotiff/S 5250-2022 georefererad karta.tif", "S 5250-2022")</f>
        <v/>
      </c>
      <c r="AA66">
        <f>HYPERLINK("https://klasma.github.io/Logging_0480/klagomål/S 5250-2022 FSC-klagomål.docx", "S 5250-2022")</f>
        <v/>
      </c>
      <c r="AB66">
        <f>HYPERLINK("https://klasma.github.io/Logging_0480/klagomålsmail/S 5250-2022 FSC-klagomål mail.docx", "S 5250-2022")</f>
        <v/>
      </c>
      <c r="AC66">
        <f>HYPERLINK("https://klasma.github.io/Logging_0480/tillsyn/S 5250-2022 tillsynsbegäran.docx", "S 5250-2022")</f>
        <v/>
      </c>
      <c r="AD66">
        <f>HYPERLINK("https://klasma.github.io/Logging_0480/tillsynsmail/S 5250-2022 tillsynsbegäran mail.docx", "S 5250-2022")</f>
        <v/>
      </c>
    </row>
    <row r="67" ht="15" customHeight="1">
      <c r="A67" t="inlineStr">
        <is>
          <t>A 52095-2022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46282</v>
      </c>
      <c r="F67" t="inlineStr">
        <is>
          <t>SÖDERMANLANDS LÄN</t>
        </is>
      </c>
      <c r="G67" t="inlineStr">
        <is>
          <t>NYKÖPING</t>
        </is>
      </c>
      <c r="I67" t="n">
        <v>1.8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Drillsnäppa</t>
        </is>
      </c>
      <c r="W67">
        <f>HYPERLINK("https://klasma.github.io/Logging_0480/artfynd/A 52095-2022 artfynd.xlsx", "A 52095-2022")</f>
        <v/>
      </c>
      <c r="X67">
        <f>HYPERLINK("https://klasma.github.io/Logging_0480/kartor/A 52095-2022 karta.png", "A 52095-2022")</f>
        <v/>
      </c>
      <c r="Y67">
        <f>HYPERLINK("https://klasma.github.io/Logging_0480/kartor_geotiff/A 52095-2022 georefererad karta.tif", "A 52095-2022")</f>
        <v/>
      </c>
      <c r="AA67">
        <f>HYPERLINK("https://klasma.github.io/Logging_0480/klagomål/A 52095-2022 FSC-klagomål.docx", "A 52095-2022")</f>
        <v/>
      </c>
      <c r="AB67">
        <f>HYPERLINK("https://klasma.github.io/Logging_0480/klagomålsmail/A 52095-2022 FSC-klagomål mail.docx", "A 52095-2022")</f>
        <v/>
      </c>
      <c r="AC67">
        <f>HYPERLINK("https://klasma.github.io/Logging_0480/tillsyn/A 52095-2022 tillsynsbegäran.docx", "A 52095-2022")</f>
        <v/>
      </c>
      <c r="AD67">
        <f>HYPERLINK("https://klasma.github.io/Logging_0480/tillsynsmail/A 52095-2022 tillsynsbegäran mail.docx", "A 52095-2022")</f>
        <v/>
      </c>
      <c r="AE67">
        <f>HYPERLINK("https://klasma.github.io/Logging_0480/fåglar/A 52095-2022 prioriterade fågelarter.docx", "A 52095-2022")</f>
        <v/>
      </c>
    </row>
    <row r="68" ht="15" customHeight="1">
      <c r="A68" t="inlineStr">
        <is>
          <t>A 67817-2021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46282</v>
      </c>
      <c r="F68" t="inlineStr">
        <is>
          <t>SÖDERMANLANDS LÄN</t>
        </is>
      </c>
      <c r="G68" t="inlineStr">
        <is>
          <t>NYKÖPING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Svedjenäva</t>
        </is>
      </c>
      <c r="W68">
        <f>HYPERLINK("https://klasma.github.io/Logging_0480/artfynd/A 67817-2021 artfynd.xlsx", "A 67817-2021")</f>
        <v/>
      </c>
      <c r="X68">
        <f>HYPERLINK("https://klasma.github.io/Logging_0480/kartor/A 67817-2021 karta.png", "A 67817-2021")</f>
        <v/>
      </c>
      <c r="Y68">
        <f>HYPERLINK("https://klasma.github.io/Logging_0480/kartor_geotiff/A 67817-2021 georefererad karta.tif", "A 67817-2021")</f>
        <v/>
      </c>
      <c r="AA68">
        <f>HYPERLINK("https://klasma.github.io/Logging_0480/klagomål/A 67817-2021 FSC-klagomål.docx", "A 67817-2021")</f>
        <v/>
      </c>
      <c r="AB68">
        <f>HYPERLINK("https://klasma.github.io/Logging_0480/klagomålsmail/A 67817-2021 FSC-klagomål mail.docx", "A 67817-2021")</f>
        <v/>
      </c>
      <c r="AC68">
        <f>HYPERLINK("https://klasma.github.io/Logging_0480/tillsyn/A 67817-2021 tillsynsbegäran.docx", "A 67817-2021")</f>
        <v/>
      </c>
      <c r="AD68">
        <f>HYPERLINK("https://klasma.github.io/Logging_0480/tillsynsmail/A 67817-2021 tillsynsbegäran mail.docx", "A 67817-2021")</f>
        <v/>
      </c>
    </row>
    <row r="69" ht="15" customHeight="1">
      <c r="A69" t="inlineStr">
        <is>
          <t>A 58396-2021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44488</v>
      </c>
      <c r="E69" s="1" t="n">
        <v>46282</v>
      </c>
      <c r="F69" t="inlineStr">
        <is>
          <t>SÖDERMANLANDS LÄN</t>
        </is>
      </c>
      <c r="G69" t="inlineStr">
        <is>
          <t>NYKÖPING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HYPERLINK("https://klasma.github.io/Logging_0480/artfynd/A 58396-2021 artfynd.xlsx", "A 58396-2021")</f>
        <v/>
      </c>
      <c r="X69">
        <f>HYPERLINK("https://klasma.github.io/Logging_0480/kartor/A 58396-2021 karta.png", "A 58396-2021")</f>
        <v/>
      </c>
      <c r="Y69">
        <f>HYPERLINK("https://klasma.github.io/Logging_0480/kartor_geotiff/A 58396-2021 georefererad karta.tif", "A 58396-2021")</f>
        <v/>
      </c>
      <c r="AA69">
        <f>HYPERLINK("https://klasma.github.io/Logging_0480/klagomål/A 58396-2021 FSC-klagomål.docx", "A 58396-2021")</f>
        <v/>
      </c>
      <c r="AB69">
        <f>HYPERLINK("https://klasma.github.io/Logging_0480/klagomålsmail/A 58396-2021 FSC-klagomål mail.docx", "A 58396-2021")</f>
        <v/>
      </c>
      <c r="AC69">
        <f>HYPERLINK("https://klasma.github.io/Logging_0480/tillsyn/A 58396-2021 tillsynsbegäran.docx", "A 58396-2021")</f>
        <v/>
      </c>
      <c r="AD69">
        <f>HYPERLINK("https://klasma.github.io/Logging_0480/tillsynsmail/A 58396-2021 tillsynsbegäran mail.docx", "A 58396-2021")</f>
        <v/>
      </c>
      <c r="AE69">
        <f>HYPERLINK("https://klasma.github.io/Logging_0480/fåglar/A 58396-2021 prioriterade fågelarter.docx", "A 58396-2021")</f>
        <v/>
      </c>
    </row>
    <row r="70" ht="15" customHeight="1">
      <c r="A70" t="inlineStr">
        <is>
          <t>A 22990-2022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44718</v>
      </c>
      <c r="E70" s="1" t="n">
        <v>46282</v>
      </c>
      <c r="F70" t="inlineStr">
        <is>
          <t>SÖDERMANLANDS LÄN</t>
        </is>
      </c>
      <c r="G70" t="inlineStr">
        <is>
          <t>NYKÖPING</t>
        </is>
      </c>
      <c r="I70" t="n">
        <v>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Jungfrulin</t>
        </is>
      </c>
      <c r="W70">
        <f>HYPERLINK("https://klasma.github.io/Logging_0480/artfynd/A 22990-2022 artfynd.xlsx", "A 22990-2022")</f>
        <v/>
      </c>
      <c r="X70">
        <f>HYPERLINK("https://klasma.github.io/Logging_0480/kartor/A 22990-2022 karta.png", "A 22990-2022")</f>
        <v/>
      </c>
      <c r="Y70">
        <f>HYPERLINK("https://klasma.github.io/Logging_0480/kartor_geotiff/A 22990-2022 georefererad karta.tif", "A 22990-2022")</f>
        <v/>
      </c>
      <c r="AA70">
        <f>HYPERLINK("https://klasma.github.io/Logging_0480/klagomål/A 22990-2022 FSC-klagomål.docx", "A 22990-2022")</f>
        <v/>
      </c>
      <c r="AB70">
        <f>HYPERLINK("https://klasma.github.io/Logging_0480/klagomålsmail/A 22990-2022 FSC-klagomål mail.docx", "A 22990-2022")</f>
        <v/>
      </c>
      <c r="AC70">
        <f>HYPERLINK("https://klasma.github.io/Logging_0480/tillsyn/A 22990-2022 tillsynsbegäran.docx", "A 22990-2022")</f>
        <v/>
      </c>
      <c r="AD70">
        <f>HYPERLINK("https://klasma.github.io/Logging_0480/tillsynsmail/A 22990-2022 tillsynsbegäran mail.docx", "A 22990-2022")</f>
        <v/>
      </c>
    </row>
    <row r="71" ht="15" customHeight="1">
      <c r="A71" t="inlineStr">
        <is>
          <t>A 51720-2021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44462</v>
      </c>
      <c r="E71" s="1" t="n">
        <v>46282</v>
      </c>
      <c r="F71" t="inlineStr">
        <is>
          <t>SÖDERMANLANDS LÄN</t>
        </is>
      </c>
      <c r="G71" t="inlineStr">
        <is>
          <t>NYKÖPING</t>
        </is>
      </c>
      <c r="H71" t="inlineStr">
        <is>
          <t>Sveaskog</t>
        </is>
      </c>
      <c r="I71" t="n">
        <v>0.8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HYPERLINK("https://klasma.github.io/Logging_0480/artfynd/A 51720-2021 artfynd.xlsx", "A 51720-2021")</f>
        <v/>
      </c>
      <c r="X71">
        <f>HYPERLINK("https://klasma.github.io/Logging_0480/kartor/A 51720-2021 karta.png", "A 51720-2021")</f>
        <v/>
      </c>
      <c r="Y71">
        <f>HYPERLINK("https://klasma.github.io/Logging_0480/kartor_geotiff/A 51720-2021 georefererad karta.tif", "A 51720-2021")</f>
        <v/>
      </c>
      <c r="AA71">
        <f>HYPERLINK("https://klasma.github.io/Logging_0480/klagomål/A 51720-2021 FSC-klagomål.docx", "A 51720-2021")</f>
        <v/>
      </c>
      <c r="AB71">
        <f>HYPERLINK("https://klasma.github.io/Logging_0480/klagomålsmail/A 51720-2021 FSC-klagomål mail.docx", "A 51720-2021")</f>
        <v/>
      </c>
      <c r="AC71">
        <f>HYPERLINK("https://klasma.github.io/Logging_0480/tillsyn/A 51720-2021 tillsynsbegäran.docx", "A 51720-2021")</f>
        <v/>
      </c>
      <c r="AD71">
        <f>HYPERLINK("https://klasma.github.io/Logging_0480/tillsynsmail/A 51720-2021 tillsynsbegäran mail.docx", "A 51720-2021")</f>
        <v/>
      </c>
    </row>
    <row r="72" ht="15" customHeight="1">
      <c r="A72" t="inlineStr">
        <is>
          <t>A 54897-2021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46282</v>
      </c>
      <c r="F72" t="inlineStr">
        <is>
          <t>SÖDERMANLANDS LÄN</t>
        </is>
      </c>
      <c r="G72" t="inlineStr">
        <is>
          <t>NYKÖPING</t>
        </is>
      </c>
      <c r="H72" t="inlineStr">
        <is>
          <t>Holmen skog AB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HYPERLINK("https://klasma.github.io/Logging_0480/artfynd/A 54897-2021 artfynd.xlsx", "A 54897-2021")</f>
        <v/>
      </c>
      <c r="X72">
        <f>HYPERLINK("https://klasma.github.io/Logging_0480/kartor/A 54897-2021 karta.png", "A 54897-2021")</f>
        <v/>
      </c>
      <c r="Y72">
        <f>HYPERLINK("https://klasma.github.io/Logging_0480/kartor_geotiff/A 54897-2021 georefererad karta.tif", "A 54897-2021")</f>
        <v/>
      </c>
      <c r="AA72">
        <f>HYPERLINK("https://klasma.github.io/Logging_0480/klagomål/A 54897-2021 FSC-klagomål.docx", "A 54897-2021")</f>
        <v/>
      </c>
      <c r="AB72">
        <f>HYPERLINK("https://klasma.github.io/Logging_0480/klagomålsmail/A 54897-2021 FSC-klagomål mail.docx", "A 54897-2021")</f>
        <v/>
      </c>
      <c r="AC72">
        <f>HYPERLINK("https://klasma.github.io/Logging_0480/tillsyn/A 54897-2021 tillsynsbegäran.docx", "A 54897-2021")</f>
        <v/>
      </c>
      <c r="AD72">
        <f>HYPERLINK("https://klasma.github.io/Logging_0480/tillsynsmail/A 54897-2021 tillsynsbegäran mail.docx", "A 54897-2021")</f>
        <v/>
      </c>
    </row>
    <row r="73" ht="15" customHeight="1">
      <c r="A73" t="inlineStr">
        <is>
          <t>A 1105-2023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44935</v>
      </c>
      <c r="E73" s="1" t="n">
        <v>46282</v>
      </c>
      <c r="F73" t="inlineStr">
        <is>
          <t>SÖDERMANLANDS LÄN</t>
        </is>
      </c>
      <c r="G73" t="inlineStr">
        <is>
          <t>NYKÖPING</t>
        </is>
      </c>
      <c r="H73" t="inlineStr">
        <is>
          <t>Holmen skog AB</t>
        </is>
      </c>
      <c r="I73" t="n">
        <v>1.1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Skuggblåslav</t>
        </is>
      </c>
      <c r="W73">
        <f>HYPERLINK("https://klasma.github.io/Logging_0480/artfynd/A 1105-2023 artfynd.xlsx", "A 1105-2023")</f>
        <v/>
      </c>
      <c r="X73">
        <f>HYPERLINK("https://klasma.github.io/Logging_0480/kartor/A 1105-2023 karta.png", "A 1105-2023")</f>
        <v/>
      </c>
      <c r="Y73">
        <f>HYPERLINK("https://klasma.github.io/Logging_0480/kartor_geotiff/A 1105-2023 georefererad karta.tif", "A 1105-2023")</f>
        <v/>
      </c>
      <c r="AA73">
        <f>HYPERLINK("https://klasma.github.io/Logging_0480/klagomål/A 1105-2023 FSC-klagomål.docx", "A 1105-2023")</f>
        <v/>
      </c>
      <c r="AB73">
        <f>HYPERLINK("https://klasma.github.io/Logging_0480/klagomålsmail/A 1105-2023 FSC-klagomål mail.docx", "A 1105-2023")</f>
        <v/>
      </c>
      <c r="AC73">
        <f>HYPERLINK("https://klasma.github.io/Logging_0480/tillsyn/A 1105-2023 tillsynsbegäran.docx", "A 1105-2023")</f>
        <v/>
      </c>
      <c r="AD73">
        <f>HYPERLINK("https://klasma.github.io/Logging_0480/tillsynsmail/A 1105-2023 tillsynsbegäran mail.docx", "A 1105-2023")</f>
        <v/>
      </c>
    </row>
    <row r="74" ht="15" customHeight="1">
      <c r="A74" t="inlineStr">
        <is>
          <t>A 2829-2025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45677</v>
      </c>
      <c r="E74" s="1" t="n">
        <v>46282</v>
      </c>
      <c r="F74" t="inlineStr">
        <is>
          <t>SÖDERMANLANDS LÄN</t>
        </is>
      </c>
      <c r="G74" t="inlineStr">
        <is>
          <t>NYKÖPING</t>
        </is>
      </c>
      <c r="H74" t="inlineStr">
        <is>
          <t>Allmännings- och besparingsskogar</t>
        </is>
      </c>
      <c r="I74" t="n">
        <v>12.1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Nattskärra</t>
        </is>
      </c>
      <c r="W74">
        <f>HYPERLINK("https://klasma.github.io/Logging_0480/artfynd/A 2829-2025 artfynd.xlsx", "A 2829-2025")</f>
        <v/>
      </c>
      <c r="X74">
        <f>HYPERLINK("https://klasma.github.io/Logging_0480/kartor/A 2829-2025 karta.png", "A 2829-2025")</f>
        <v/>
      </c>
      <c r="Y74">
        <f>HYPERLINK("https://klasma.github.io/Logging_0480/kartor_geotiff/A 2829-2025 georefererad karta.tif", "A 2829-2025")</f>
        <v/>
      </c>
      <c r="AA74">
        <f>HYPERLINK("https://klasma.github.io/Logging_0480/klagomål/A 2829-2025 FSC-klagomål.docx", "A 2829-2025")</f>
        <v/>
      </c>
      <c r="AB74">
        <f>HYPERLINK("https://klasma.github.io/Logging_0480/klagomålsmail/A 2829-2025 FSC-klagomål mail.docx", "A 2829-2025")</f>
        <v/>
      </c>
      <c r="AC74">
        <f>HYPERLINK("https://klasma.github.io/Logging_0480/tillsyn/A 2829-2025 tillsynsbegäran.docx", "A 2829-2025")</f>
        <v/>
      </c>
      <c r="AD74">
        <f>HYPERLINK("https://klasma.github.io/Logging_0480/tillsynsmail/A 2829-2025 tillsynsbegäran mail.docx", "A 2829-2025")</f>
        <v/>
      </c>
      <c r="AE74">
        <f>HYPERLINK("https://klasma.github.io/Logging_0480/fåglar/A 2829-2025 prioriterade fågelarter.docx", "A 2829-2025")</f>
        <v/>
      </c>
    </row>
    <row r="75" ht="15" customHeight="1">
      <c r="A75" t="inlineStr">
        <is>
          <t>A 65889-2021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46282</v>
      </c>
      <c r="F75" t="inlineStr">
        <is>
          <t>SÖDERMANLANDS LÄN</t>
        </is>
      </c>
      <c r="G75" t="inlineStr">
        <is>
          <t>NYKÖPING</t>
        </is>
      </c>
      <c r="I75" t="n">
        <v>4.8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Backstarr</t>
        </is>
      </c>
      <c r="W75">
        <f>HYPERLINK("https://klasma.github.io/Logging_0480/artfynd/A 65889-2021 artfynd.xlsx", "A 65889-2021")</f>
        <v/>
      </c>
      <c r="X75">
        <f>HYPERLINK("https://klasma.github.io/Logging_0480/kartor/A 65889-2021 karta.png", "A 65889-2021")</f>
        <v/>
      </c>
      <c r="Y75">
        <f>HYPERLINK("https://klasma.github.io/Logging_0480/kartor_geotiff/A 65889-2021 georefererad karta.tif", "A 65889-2021")</f>
        <v/>
      </c>
      <c r="AA75">
        <f>HYPERLINK("https://klasma.github.io/Logging_0480/klagomål/A 65889-2021 FSC-klagomål.docx", "A 65889-2021")</f>
        <v/>
      </c>
      <c r="AB75">
        <f>HYPERLINK("https://klasma.github.io/Logging_0480/klagomålsmail/A 65889-2021 FSC-klagomål mail.docx", "A 65889-2021")</f>
        <v/>
      </c>
      <c r="AC75">
        <f>HYPERLINK("https://klasma.github.io/Logging_0480/tillsyn/A 65889-2021 tillsynsbegäran.docx", "A 65889-2021")</f>
        <v/>
      </c>
      <c r="AD75">
        <f>HYPERLINK("https://klasma.github.io/Logging_0480/tillsynsmail/A 65889-2021 tillsynsbegäran mail.docx", "A 65889-2021")</f>
        <v/>
      </c>
    </row>
    <row r="76" ht="15" customHeight="1">
      <c r="A76" t="inlineStr">
        <is>
          <t>A 28704-2025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45820</v>
      </c>
      <c r="E76" s="1" t="n">
        <v>46282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Tallticka</t>
        </is>
      </c>
      <c r="W76">
        <f>HYPERLINK("https://klasma.github.io/Logging_0480/artfynd/A 28704-2025 artfynd.xlsx", "A 28704-2025")</f>
        <v/>
      </c>
      <c r="X76">
        <f>HYPERLINK("https://klasma.github.io/Logging_0480/kartor/A 28704-2025 karta.png", "A 28704-2025")</f>
        <v/>
      </c>
      <c r="Y76">
        <f>HYPERLINK("https://klasma.github.io/Logging_0480/kartor_geotiff/A 28704-2025 georefererad karta.tif", "A 28704-2025")</f>
        <v/>
      </c>
      <c r="AA76">
        <f>HYPERLINK("https://klasma.github.io/Logging_0480/klagomål/A 28704-2025 FSC-klagomål.docx", "A 28704-2025")</f>
        <v/>
      </c>
      <c r="AB76">
        <f>HYPERLINK("https://klasma.github.io/Logging_0480/klagomålsmail/A 28704-2025 FSC-klagomål mail.docx", "A 28704-2025")</f>
        <v/>
      </c>
      <c r="AC76">
        <f>HYPERLINK("https://klasma.github.io/Logging_0480/tillsyn/A 28704-2025 tillsynsbegäran.docx", "A 28704-2025")</f>
        <v/>
      </c>
      <c r="AD76">
        <f>HYPERLINK("https://klasma.github.io/Logging_0480/tillsynsmail/A 28704-2025 tillsynsbegäran mail.docx", "A 28704-2025")</f>
        <v/>
      </c>
    </row>
    <row r="77" ht="15" customHeight="1">
      <c r="A77" t="inlineStr">
        <is>
          <t>A 18500-2024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45424</v>
      </c>
      <c r="E77" s="1" t="n">
        <v>46282</v>
      </c>
      <c r="F77" t="inlineStr">
        <is>
          <t>SÖDERMANLANDS LÄN</t>
        </is>
      </c>
      <c r="G77" t="inlineStr">
        <is>
          <t>NYKÖPING</t>
        </is>
      </c>
      <c r="I77" t="n">
        <v>2.4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Tornseglare</t>
        </is>
      </c>
      <c r="W77">
        <f>HYPERLINK("https://klasma.github.io/Logging_0480/artfynd/A 18500-2024 artfynd.xlsx", "A 18500-2024")</f>
        <v/>
      </c>
      <c r="X77">
        <f>HYPERLINK("https://klasma.github.io/Logging_0480/kartor/A 18500-2024 karta.png", "A 18500-2024")</f>
        <v/>
      </c>
      <c r="Y77">
        <f>HYPERLINK("https://klasma.github.io/Logging_0480/kartor_geotiff/A 18500-2024 georefererad karta.tif", "A 18500-2024")</f>
        <v/>
      </c>
      <c r="AA77">
        <f>HYPERLINK("https://klasma.github.io/Logging_0480/klagomål/A 18500-2024 FSC-klagomål.docx", "A 18500-2024")</f>
        <v/>
      </c>
      <c r="AB77">
        <f>HYPERLINK("https://klasma.github.io/Logging_0480/klagomålsmail/A 18500-2024 FSC-klagomål mail.docx", "A 18500-2024")</f>
        <v/>
      </c>
      <c r="AC77">
        <f>HYPERLINK("https://klasma.github.io/Logging_0480/tillsyn/A 18500-2024 tillsynsbegäran.docx", "A 18500-2024")</f>
        <v/>
      </c>
      <c r="AD77">
        <f>HYPERLINK("https://klasma.github.io/Logging_0480/tillsynsmail/A 18500-2024 tillsynsbegäran mail.docx", "A 18500-2024")</f>
        <v/>
      </c>
      <c r="AE77">
        <f>HYPERLINK("https://klasma.github.io/Logging_0480/fåglar/A 18500-2024 prioriterade fågelarter.docx", "A 18500-2024")</f>
        <v/>
      </c>
    </row>
    <row r="78" ht="15" customHeight="1">
      <c r="A78" t="inlineStr">
        <is>
          <t>A 45122-2025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46282</v>
      </c>
      <c r="F78" t="inlineStr">
        <is>
          <t>SÖDERMANLANDS LÄN</t>
        </is>
      </c>
      <c r="G78" t="inlineStr">
        <is>
          <t>NYKÖPING</t>
        </is>
      </c>
      <c r="I78" t="n">
        <v>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HYPERLINK("https://klasma.github.io/Logging_0480/artfynd/A 45122-2025 artfynd.xlsx", "A 45122-2025")</f>
        <v/>
      </c>
      <c r="X78">
        <f>HYPERLINK("https://klasma.github.io/Logging_0480/kartor/A 45122-2025 karta.png", "A 45122-2025")</f>
        <v/>
      </c>
      <c r="Y78">
        <f>HYPERLINK("https://klasma.github.io/Logging_0480/kartor_geotiff/A 45122-2025 georefererad karta.tif", "A 45122-2025")</f>
        <v/>
      </c>
      <c r="AA78">
        <f>HYPERLINK("https://klasma.github.io/Logging_0480/klagomål/A 45122-2025 FSC-klagomål.docx", "A 45122-2025")</f>
        <v/>
      </c>
      <c r="AB78">
        <f>HYPERLINK("https://klasma.github.io/Logging_0480/klagomålsmail/A 45122-2025 FSC-klagomål mail.docx", "A 45122-2025")</f>
        <v/>
      </c>
      <c r="AC78">
        <f>HYPERLINK("https://klasma.github.io/Logging_0480/tillsyn/A 45122-2025 tillsynsbegäran.docx", "A 45122-2025")</f>
        <v/>
      </c>
      <c r="AD78">
        <f>HYPERLINK("https://klasma.github.io/Logging_0480/tillsynsmail/A 45122-2025 tillsynsbegäran mail.docx", "A 45122-2025")</f>
        <v/>
      </c>
      <c r="AE78">
        <f>HYPERLINK("https://klasma.github.io/Logging_0480/fåglar/A 45122-2025 prioriterade fågelarter.docx", "A 45122-2025")</f>
        <v/>
      </c>
    </row>
    <row r="79" ht="15" customHeight="1">
      <c r="A79" t="inlineStr">
        <is>
          <t>A 7270-2025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45702</v>
      </c>
      <c r="E79" s="1" t="n">
        <v>46282</v>
      </c>
      <c r="F79" t="inlineStr">
        <is>
          <t>SÖDERMANLANDS LÄN</t>
        </is>
      </c>
      <c r="G79" t="inlineStr">
        <is>
          <t>NYKÖPING</t>
        </is>
      </c>
      <c r="H79" t="inlineStr">
        <is>
          <t>Övriga Aktiebolag</t>
        </is>
      </c>
      <c r="I79" t="n">
        <v>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Järpe</t>
        </is>
      </c>
      <c r="W79">
        <f>HYPERLINK("https://klasma.github.io/Logging_0480/artfynd/A 7270-2025 artfynd.xlsx", "A 7270-2025")</f>
        <v/>
      </c>
      <c r="X79">
        <f>HYPERLINK("https://klasma.github.io/Logging_0480/kartor/A 7270-2025 karta.png", "A 7270-2025")</f>
        <v/>
      </c>
      <c r="Y79">
        <f>HYPERLINK("https://klasma.github.io/Logging_0480/kartor_geotiff/A 7270-2025 georefererad karta.tif", "A 7270-2025")</f>
        <v/>
      </c>
      <c r="AA79">
        <f>HYPERLINK("https://klasma.github.io/Logging_0480/klagomål/A 7270-2025 FSC-klagomål.docx", "A 7270-2025")</f>
        <v/>
      </c>
      <c r="AB79">
        <f>HYPERLINK("https://klasma.github.io/Logging_0480/klagomålsmail/A 7270-2025 FSC-klagomål mail.docx", "A 7270-2025")</f>
        <v/>
      </c>
      <c r="AC79">
        <f>HYPERLINK("https://klasma.github.io/Logging_0480/tillsyn/A 7270-2025 tillsynsbegäran.docx", "A 7270-2025")</f>
        <v/>
      </c>
      <c r="AD79">
        <f>HYPERLINK("https://klasma.github.io/Logging_0480/tillsynsmail/A 7270-2025 tillsynsbegäran mail.docx", "A 7270-2025")</f>
        <v/>
      </c>
      <c r="AE79">
        <f>HYPERLINK("https://klasma.github.io/Logging_0480/fåglar/A 7270-2025 prioriterade fågelarter.docx", "A 7270-2025")</f>
        <v/>
      </c>
    </row>
    <row r="80" ht="15" customHeight="1">
      <c r="A80" t="inlineStr">
        <is>
          <t>A 4305-2026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46045</v>
      </c>
      <c r="E80" s="1" t="n">
        <v>46282</v>
      </c>
      <c r="F80" t="inlineStr">
        <is>
          <t>SÖDERMANLANDS LÄN</t>
        </is>
      </c>
      <c r="G80" t="inlineStr">
        <is>
          <t>NYKÖPING</t>
        </is>
      </c>
      <c r="I80" t="n">
        <v>3.8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Tallticka</t>
        </is>
      </c>
      <c r="W80">
        <f>HYPERLINK("https://klasma.github.io/Logging_0480/artfynd/A 4305-2026 artfynd.xlsx", "A 4305-2026")</f>
        <v/>
      </c>
      <c r="X80">
        <f>HYPERLINK("https://klasma.github.io/Logging_0480/kartor/A 4305-2026 karta.png", "A 4305-2026")</f>
        <v/>
      </c>
      <c r="Y80">
        <f>HYPERLINK("https://klasma.github.io/Logging_0480/kartor_geotiff/A 4305-2026 georefererad karta.tif", "A 4305-2026")</f>
        <v/>
      </c>
      <c r="AA80">
        <f>HYPERLINK("https://klasma.github.io/Logging_0480/klagomål/A 4305-2026 FSC-klagomål.docx", "A 4305-2026")</f>
        <v/>
      </c>
      <c r="AB80">
        <f>HYPERLINK("https://klasma.github.io/Logging_0480/klagomålsmail/A 4305-2026 FSC-klagomål mail.docx", "A 4305-2026")</f>
        <v/>
      </c>
      <c r="AC80">
        <f>HYPERLINK("https://klasma.github.io/Logging_0480/tillsyn/A 4305-2026 tillsynsbegäran.docx", "A 4305-2026")</f>
        <v/>
      </c>
      <c r="AD80">
        <f>HYPERLINK("https://klasma.github.io/Logging_0480/tillsynsmail/A 4305-2026 tillsynsbegäran mail.docx", "A 4305-2026")</f>
        <v/>
      </c>
    </row>
    <row r="81" ht="15" customHeight="1">
      <c r="A81" t="inlineStr">
        <is>
          <t>A 50014-2025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46282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4.9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Sexfläckig bastardsvärmare</t>
        </is>
      </c>
      <c r="W81">
        <f>HYPERLINK("https://klasma.github.io/Logging_0480/artfynd/A 50014-2025 artfynd.xlsx", "A 50014-2025")</f>
        <v/>
      </c>
      <c r="X81">
        <f>HYPERLINK("https://klasma.github.io/Logging_0480/kartor/A 50014-2025 karta.png", "A 50014-2025")</f>
        <v/>
      </c>
      <c r="Y81">
        <f>HYPERLINK("https://klasma.github.io/Logging_0480/kartor_geotiff/A 50014-2025 georefererad karta.tif", "A 50014-2025")</f>
        <v/>
      </c>
      <c r="AA81">
        <f>HYPERLINK("https://klasma.github.io/Logging_0480/klagomål/A 50014-2025 FSC-klagomål.docx", "A 50014-2025")</f>
        <v/>
      </c>
      <c r="AB81">
        <f>HYPERLINK("https://klasma.github.io/Logging_0480/klagomålsmail/A 50014-2025 FSC-klagomål mail.docx", "A 50014-2025")</f>
        <v/>
      </c>
      <c r="AC81">
        <f>HYPERLINK("https://klasma.github.io/Logging_0480/tillsyn/A 50014-2025 tillsynsbegäran.docx", "A 50014-2025")</f>
        <v/>
      </c>
      <c r="AD81">
        <f>HYPERLINK("https://klasma.github.io/Logging_0480/tillsynsmail/A 50014-2025 tillsynsbegäran mail.docx", "A 50014-2025")</f>
        <v/>
      </c>
    </row>
    <row r="82" ht="15" customHeight="1">
      <c r="A82" t="inlineStr">
        <is>
          <t>A 50871-2025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45946</v>
      </c>
      <c r="E82" s="1" t="n">
        <v>46282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2.1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Nattskärra</t>
        </is>
      </c>
      <c r="W82">
        <f>HYPERLINK("https://klasma.github.io/Logging_0480/artfynd/A 50871-2025 artfynd.xlsx", "A 50871-2025")</f>
        <v/>
      </c>
      <c r="X82">
        <f>HYPERLINK("https://klasma.github.io/Logging_0480/kartor/A 50871-2025 karta.png", "A 50871-2025")</f>
        <v/>
      </c>
      <c r="Y82">
        <f>HYPERLINK("https://klasma.github.io/Logging_0480/kartor_geotiff/A 50871-2025 georefererad karta.tif", "A 50871-2025")</f>
        <v/>
      </c>
      <c r="AA82">
        <f>HYPERLINK("https://klasma.github.io/Logging_0480/klagomål/A 50871-2025 FSC-klagomål.docx", "A 50871-2025")</f>
        <v/>
      </c>
      <c r="AB82">
        <f>HYPERLINK("https://klasma.github.io/Logging_0480/klagomålsmail/A 50871-2025 FSC-klagomål mail.docx", "A 50871-2025")</f>
        <v/>
      </c>
      <c r="AC82">
        <f>HYPERLINK("https://klasma.github.io/Logging_0480/tillsyn/A 50871-2025 tillsynsbegäran.docx", "A 50871-2025")</f>
        <v/>
      </c>
      <c r="AD82">
        <f>HYPERLINK("https://klasma.github.io/Logging_0480/tillsynsmail/A 50871-2025 tillsynsbegäran mail.docx", "A 50871-2025")</f>
        <v/>
      </c>
      <c r="AE82">
        <f>HYPERLINK("https://klasma.github.io/Logging_0480/fåglar/A 50871-2025 prioriterade fågelarter.docx", "A 50871-2025")</f>
        <v/>
      </c>
    </row>
    <row r="83" ht="15" customHeight="1">
      <c r="A83" t="inlineStr">
        <is>
          <t>A 52384-2025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45954</v>
      </c>
      <c r="E83" s="1" t="n">
        <v>46282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Törnskata</t>
        </is>
      </c>
      <c r="W83">
        <f>HYPERLINK("https://klasma.github.io/Logging_0480/artfynd/A 52384-2025 artfynd.xlsx", "A 52384-2025")</f>
        <v/>
      </c>
      <c r="X83">
        <f>HYPERLINK("https://klasma.github.io/Logging_0480/kartor/A 52384-2025 karta.png", "A 52384-2025")</f>
        <v/>
      </c>
      <c r="Y83">
        <f>HYPERLINK("https://klasma.github.io/Logging_0480/kartor_geotiff/A 52384-2025 georefererad karta.tif", "A 52384-2025")</f>
        <v/>
      </c>
      <c r="AA83">
        <f>HYPERLINK("https://klasma.github.io/Logging_0480/klagomål/A 52384-2025 FSC-klagomål.docx", "A 52384-2025")</f>
        <v/>
      </c>
      <c r="AB83">
        <f>HYPERLINK("https://klasma.github.io/Logging_0480/klagomålsmail/A 52384-2025 FSC-klagomål mail.docx", "A 52384-2025")</f>
        <v/>
      </c>
      <c r="AC83">
        <f>HYPERLINK("https://klasma.github.io/Logging_0480/tillsyn/A 52384-2025 tillsynsbegäran.docx", "A 52384-2025")</f>
        <v/>
      </c>
      <c r="AD83">
        <f>HYPERLINK("https://klasma.github.io/Logging_0480/tillsynsmail/A 52384-2025 tillsynsbegäran mail.docx", "A 52384-2025")</f>
        <v/>
      </c>
      <c r="AE83">
        <f>HYPERLINK("https://klasma.github.io/Logging_0480/fåglar/A 52384-2025 prioriterade fågelarter.docx", "A 52384-2025")</f>
        <v/>
      </c>
    </row>
    <row r="84" ht="15" customHeight="1">
      <c r="A84" t="inlineStr">
        <is>
          <t>A 10886-2026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46078</v>
      </c>
      <c r="E84" s="1" t="n">
        <v>46282</v>
      </c>
      <c r="F84" t="inlineStr">
        <is>
          <t>SÖDERMANLANDS LÄN</t>
        </is>
      </c>
      <c r="G84" t="inlineStr">
        <is>
          <t>NYKÖPING</t>
        </is>
      </c>
      <c r="I84" t="n">
        <v>2.5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Tibast</t>
        </is>
      </c>
      <c r="W84">
        <f>HYPERLINK("https://klasma.github.io/Logging_0480/artfynd/A 10886-2026 artfynd.xlsx", "A 10886-2026")</f>
        <v/>
      </c>
      <c r="X84">
        <f>HYPERLINK("https://klasma.github.io/Logging_0480/kartor/A 10886-2026 karta.png", "A 10886-2026")</f>
        <v/>
      </c>
      <c r="Y84">
        <f>HYPERLINK("https://klasma.github.io/Logging_0480/kartor_geotiff/A 10886-2026 georefererad karta.tif", "A 10886-2026")</f>
        <v/>
      </c>
      <c r="AA84">
        <f>HYPERLINK("https://klasma.github.io/Logging_0480/klagomål/A 10886-2026 FSC-klagomål.docx", "A 10886-2026")</f>
        <v/>
      </c>
      <c r="AB84">
        <f>HYPERLINK("https://klasma.github.io/Logging_0480/klagomålsmail/A 10886-2026 FSC-klagomål mail.docx", "A 10886-2026")</f>
        <v/>
      </c>
      <c r="AC84">
        <f>HYPERLINK("https://klasma.github.io/Logging_0480/tillsyn/A 10886-2026 tillsynsbegäran.docx", "A 10886-2026")</f>
        <v/>
      </c>
      <c r="AD84">
        <f>HYPERLINK("https://klasma.github.io/Logging_0480/tillsynsmail/A 10886-2026 tillsynsbegäran mail.docx", "A 10886-2026")</f>
        <v/>
      </c>
    </row>
    <row r="85" ht="15" customHeight="1">
      <c r="A85" t="inlineStr">
        <is>
          <t>A 59905-2025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45993</v>
      </c>
      <c r="E85" s="1" t="n">
        <v>46282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11.7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Kattfotslav</t>
        </is>
      </c>
      <c r="W85">
        <f>HYPERLINK("https://klasma.github.io/Logging_0480/artfynd/A 59905-2025 artfynd.xlsx", "A 59905-2025")</f>
        <v/>
      </c>
      <c r="X85">
        <f>HYPERLINK("https://klasma.github.io/Logging_0480/kartor/A 59905-2025 karta.png", "A 59905-2025")</f>
        <v/>
      </c>
      <c r="Y85">
        <f>HYPERLINK("https://klasma.github.io/Logging_0480/kartor_geotiff/A 59905-2025 georefererad karta.tif", "A 59905-2025")</f>
        <v/>
      </c>
      <c r="AA85">
        <f>HYPERLINK("https://klasma.github.io/Logging_0480/klagomål/A 59905-2025 FSC-klagomål.docx", "A 59905-2025")</f>
        <v/>
      </c>
      <c r="AB85">
        <f>HYPERLINK("https://klasma.github.io/Logging_0480/klagomålsmail/A 59905-2025 FSC-klagomål mail.docx", "A 59905-2025")</f>
        <v/>
      </c>
      <c r="AC85">
        <f>HYPERLINK("https://klasma.github.io/Logging_0480/tillsyn/A 59905-2025 tillsynsbegäran.docx", "A 59905-2025")</f>
        <v/>
      </c>
      <c r="AD85">
        <f>HYPERLINK("https://klasma.github.io/Logging_0480/tillsynsmail/A 59905-2025 tillsynsbegäran mail.docx", "A 59905-2025")</f>
        <v/>
      </c>
    </row>
    <row r="86" ht="15" customHeight="1">
      <c r="A86" t="inlineStr">
        <is>
          <t>A 63423-2025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46013</v>
      </c>
      <c r="E86" s="1" t="n">
        <v>46282</v>
      </c>
      <c r="F86" t="inlineStr">
        <is>
          <t>SÖDERMANLANDS LÄN</t>
        </is>
      </c>
      <c r="G86" t="inlineStr">
        <is>
          <t>NYKÖPING</t>
        </is>
      </c>
      <c r="I86" t="n">
        <v>7.4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HYPERLINK("https://klasma.github.io/Logging_0480/artfynd/A 63423-2025 artfynd.xlsx", "A 63423-2025")</f>
        <v/>
      </c>
      <c r="X86">
        <f>HYPERLINK("https://klasma.github.io/Logging_0480/kartor/A 63423-2025 karta.png", "A 63423-2025")</f>
        <v/>
      </c>
      <c r="Y86">
        <f>HYPERLINK("https://klasma.github.io/Logging_0480/kartor_geotiff/A 63423-2025 georefererad karta.tif", "A 63423-2025")</f>
        <v/>
      </c>
      <c r="AA86">
        <f>HYPERLINK("https://klasma.github.io/Logging_0480/klagomål/A 63423-2025 FSC-klagomål.docx", "A 63423-2025")</f>
        <v/>
      </c>
      <c r="AB86">
        <f>HYPERLINK("https://klasma.github.io/Logging_0480/klagomålsmail/A 63423-2025 FSC-klagomål mail.docx", "A 63423-2025")</f>
        <v/>
      </c>
      <c r="AC86">
        <f>HYPERLINK("https://klasma.github.io/Logging_0480/tillsyn/A 63423-2025 tillsynsbegäran.docx", "A 63423-2025")</f>
        <v/>
      </c>
      <c r="AD86">
        <f>HYPERLINK("https://klasma.github.io/Logging_0480/tillsynsmail/A 63423-2025 tillsynsbegäran mail.docx", "A 63423-2025")</f>
        <v/>
      </c>
    </row>
    <row r="87" ht="15" customHeight="1">
      <c r="A87" t="inlineStr">
        <is>
          <t>A 59329-2023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45252</v>
      </c>
      <c r="E87" s="1" t="n">
        <v>46282</v>
      </c>
      <c r="F87" t="inlineStr">
        <is>
          <t>SÖDERMANLANDS LÄN</t>
        </is>
      </c>
      <c r="G87" t="inlineStr">
        <is>
          <t>NYKÖPING</t>
        </is>
      </c>
      <c r="I87" t="n">
        <v>22.1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HYPERLINK("https://klasma.github.io/Logging_0480/artfynd/A 59329-2023 artfynd.xlsx", "A 59329-2023")</f>
        <v/>
      </c>
      <c r="X87">
        <f>HYPERLINK("https://klasma.github.io/Logging_0480/kartor/A 59329-2023 karta.png", "A 59329-2023")</f>
        <v/>
      </c>
      <c r="Y87">
        <f>HYPERLINK("https://klasma.github.io/Logging_0480/kartor_geotiff/A 59329-2023 georefererad karta.tif", "A 59329-2023")</f>
        <v/>
      </c>
      <c r="AA87">
        <f>HYPERLINK("https://klasma.github.io/Logging_0480/klagomål/A 59329-2023 FSC-klagomål.docx", "A 59329-2023")</f>
        <v/>
      </c>
      <c r="AB87">
        <f>HYPERLINK("https://klasma.github.io/Logging_0480/klagomålsmail/A 59329-2023 FSC-klagomål mail.docx", "A 59329-2023")</f>
        <v/>
      </c>
      <c r="AC87">
        <f>HYPERLINK("https://klasma.github.io/Logging_0480/tillsyn/A 59329-2023 tillsynsbegäran.docx", "A 59329-2023")</f>
        <v/>
      </c>
      <c r="AD87">
        <f>HYPERLINK("https://klasma.github.io/Logging_0480/tillsynsmail/A 59329-2023 tillsynsbegäran mail.docx", "A 59329-2023")</f>
        <v/>
      </c>
    </row>
    <row r="88" ht="15" customHeight="1">
      <c r="A88" t="inlineStr">
        <is>
          <t>A 8387-2024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45352</v>
      </c>
      <c r="E88" s="1" t="n">
        <v>46282</v>
      </c>
      <c r="F88" t="inlineStr">
        <is>
          <t>SÖDERMANLANDS LÄN</t>
        </is>
      </c>
      <c r="G88" t="inlineStr">
        <is>
          <t>NYKÖPING</t>
        </is>
      </c>
      <c r="H88" t="inlineStr">
        <is>
          <t>Sveaskog</t>
        </is>
      </c>
      <c r="I88" t="n">
        <v>0.6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Gulsparv</t>
        </is>
      </c>
      <c r="W88">
        <f>HYPERLINK("https://klasma.github.io/Logging_0480/artfynd/A 8387-2024 artfynd.xlsx", "A 8387-2024")</f>
        <v/>
      </c>
      <c r="X88">
        <f>HYPERLINK("https://klasma.github.io/Logging_0480/kartor/A 8387-2024 karta.png", "A 8387-2024")</f>
        <v/>
      </c>
      <c r="Y88">
        <f>HYPERLINK("https://klasma.github.io/Logging_0480/kartor_geotiff/A 8387-2024 georefererad karta.tif", "A 8387-2024")</f>
        <v/>
      </c>
      <c r="AA88">
        <f>HYPERLINK("https://klasma.github.io/Logging_0480/klagomål/A 8387-2024 FSC-klagomål.docx", "A 8387-2024")</f>
        <v/>
      </c>
      <c r="AB88">
        <f>HYPERLINK("https://klasma.github.io/Logging_0480/klagomålsmail/A 8387-2024 FSC-klagomål mail.docx", "A 8387-2024")</f>
        <v/>
      </c>
      <c r="AC88">
        <f>HYPERLINK("https://klasma.github.io/Logging_0480/tillsyn/A 8387-2024 tillsynsbegäran.docx", "A 8387-2024")</f>
        <v/>
      </c>
      <c r="AD88">
        <f>HYPERLINK("https://klasma.github.io/Logging_0480/tillsynsmail/A 8387-2024 tillsynsbegäran mail.docx", "A 8387-2024")</f>
        <v/>
      </c>
      <c r="AE88">
        <f>HYPERLINK("https://klasma.github.io/Logging_0480/fåglar/A 8387-2024 prioriterade fågelarter.docx", "A 8387-2024")</f>
        <v/>
      </c>
    </row>
    <row r="89" ht="15" customHeight="1">
      <c r="A89" t="inlineStr">
        <is>
          <t>A 52684-2021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44466</v>
      </c>
      <c r="E89" s="1" t="n">
        <v>46282</v>
      </c>
      <c r="F89" t="inlineStr">
        <is>
          <t>SÖDERMANLANDS LÄN</t>
        </is>
      </c>
      <c r="G89" t="inlineStr">
        <is>
          <t>NYKÖPING</t>
        </is>
      </c>
      <c r="I89" t="n">
        <v>1.3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Kråka</t>
        </is>
      </c>
      <c r="W89">
        <f>HYPERLINK("https://klasma.github.io/Logging_0480/artfynd/A 52684-2021 artfynd.xlsx", "A 52684-2021")</f>
        <v/>
      </c>
      <c r="X89">
        <f>HYPERLINK("https://klasma.github.io/Logging_0480/kartor/A 52684-2021 karta.png", "A 52684-2021")</f>
        <v/>
      </c>
      <c r="Y89">
        <f>HYPERLINK("https://klasma.github.io/Logging_0480/kartor_geotiff/A 52684-2021 georefererad karta.tif", "A 52684-2021")</f>
        <v/>
      </c>
      <c r="AA89">
        <f>HYPERLINK("https://klasma.github.io/Logging_0480/klagomål/A 52684-2021 FSC-klagomål.docx", "A 52684-2021")</f>
        <v/>
      </c>
      <c r="AB89">
        <f>HYPERLINK("https://klasma.github.io/Logging_0480/klagomålsmail/A 52684-2021 FSC-klagomål mail.docx", "A 52684-2021")</f>
        <v/>
      </c>
      <c r="AC89">
        <f>HYPERLINK("https://klasma.github.io/Logging_0480/tillsyn/A 52684-2021 tillsynsbegäran.docx", "A 52684-2021")</f>
        <v/>
      </c>
      <c r="AD89">
        <f>HYPERLINK("https://klasma.github.io/Logging_0480/tillsynsmail/A 52684-2021 tillsynsbegäran mail.docx", "A 52684-2021")</f>
        <v/>
      </c>
    </row>
    <row r="90" ht="15" customHeight="1">
      <c r="A90" t="inlineStr">
        <is>
          <t>A 4903-2022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46282</v>
      </c>
      <c r="F90" t="inlineStr">
        <is>
          <t>SÖDERMANLANDS LÄN</t>
        </is>
      </c>
      <c r="G90" t="inlineStr">
        <is>
          <t>NYKÖPING</t>
        </is>
      </c>
      <c r="I90" t="n">
        <v>2.7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Knärot</t>
        </is>
      </c>
      <c r="W90">
        <f>HYPERLINK("https://klasma.github.io/Logging_0480/artfynd/A 4903-2022 artfynd.xlsx", "A 4903-2022")</f>
        <v/>
      </c>
      <c r="X90">
        <f>HYPERLINK("https://klasma.github.io/Logging_0480/kartor/A 4903-2022 karta.png", "A 4903-2022")</f>
        <v/>
      </c>
      <c r="Y90">
        <f>HYPERLINK("https://klasma.github.io/Logging_0480/kartor_geotiff/A 4903-2022 georefererad karta.tif", "A 4903-2022")</f>
        <v/>
      </c>
      <c r="Z90">
        <f>HYPERLINK("https://klasma.github.io/Logging_0480/knärot/A 4903-2022 karta knärot.png", "A 4903-2022")</f>
        <v/>
      </c>
      <c r="AA90">
        <f>HYPERLINK("https://klasma.github.io/Logging_0480/klagomål/A 4903-2022 FSC-klagomål.docx", "A 4903-2022")</f>
        <v/>
      </c>
      <c r="AB90">
        <f>HYPERLINK("https://klasma.github.io/Logging_0480/klagomålsmail/A 4903-2022 FSC-klagomål mail.docx", "A 4903-2022")</f>
        <v/>
      </c>
      <c r="AC90">
        <f>HYPERLINK("https://klasma.github.io/Logging_0480/tillsyn/A 4903-2022 tillsynsbegäran.docx", "A 4903-2022")</f>
        <v/>
      </c>
      <c r="AD90">
        <f>HYPERLINK("https://klasma.github.io/Logging_0480/tillsynsmail/A 4903-2022 tillsynsbegäran mail.docx", "A 4903-2022")</f>
        <v/>
      </c>
    </row>
    <row r="91" ht="15" customHeight="1">
      <c r="A91" t="inlineStr">
        <is>
          <t>A 50554-2023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45210</v>
      </c>
      <c r="E91" s="1" t="n">
        <v>46282</v>
      </c>
      <c r="F91" t="inlineStr">
        <is>
          <t>SÖDERMANLANDS LÄN</t>
        </is>
      </c>
      <c r="G91" t="inlineStr">
        <is>
          <t>NYKÖPING</t>
        </is>
      </c>
      <c r="I91" t="n">
        <v>10.9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Grönpyrola</t>
        </is>
      </c>
      <c r="W91">
        <f>HYPERLINK("https://klasma.github.io/Logging_0480/artfynd/A 50554-2023 artfynd.xlsx", "A 50554-2023")</f>
        <v/>
      </c>
      <c r="X91">
        <f>HYPERLINK("https://klasma.github.io/Logging_0480/kartor/A 50554-2023 karta.png", "A 50554-2023")</f>
        <v/>
      </c>
      <c r="Y91">
        <f>HYPERLINK("https://klasma.github.io/Logging_0480/kartor_geotiff/A 50554-2023 georefererad karta.tif", "A 50554-2023")</f>
        <v/>
      </c>
      <c r="AA91">
        <f>HYPERLINK("https://klasma.github.io/Logging_0480/klagomål/A 50554-2023 FSC-klagomål.docx", "A 50554-2023")</f>
        <v/>
      </c>
      <c r="AB91">
        <f>HYPERLINK("https://klasma.github.io/Logging_0480/klagomålsmail/A 50554-2023 FSC-klagomål mail.docx", "A 50554-2023")</f>
        <v/>
      </c>
      <c r="AC91">
        <f>HYPERLINK("https://klasma.github.io/Logging_0480/tillsyn/A 50554-2023 tillsynsbegäran.docx", "A 50554-2023")</f>
        <v/>
      </c>
      <c r="AD91">
        <f>HYPERLINK("https://klasma.github.io/Logging_0480/tillsynsmail/A 50554-2023 tillsynsbegäran mail.docx", "A 50554-2023")</f>
        <v/>
      </c>
    </row>
    <row r="92" ht="15" customHeight="1">
      <c r="A92" t="inlineStr">
        <is>
          <t>A 21129-2024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45440</v>
      </c>
      <c r="E92" s="1" t="n">
        <v>46282</v>
      </c>
      <c r="F92" t="inlineStr">
        <is>
          <t>SÖDERMANLANDS LÄN</t>
        </is>
      </c>
      <c r="G92" t="inlineStr">
        <is>
          <t>NYKÖPING</t>
        </is>
      </c>
      <c r="H92" t="inlineStr">
        <is>
          <t>Kommuner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Liljekonvalj</t>
        </is>
      </c>
      <c r="W92">
        <f>HYPERLINK("https://klasma.github.io/Logging_0480/artfynd/A 21129-2024 artfynd.xlsx", "A 21129-2024")</f>
        <v/>
      </c>
      <c r="X92">
        <f>HYPERLINK("https://klasma.github.io/Logging_0480/kartor/A 21129-2024 karta.png", "A 21129-2024")</f>
        <v/>
      </c>
      <c r="Y92">
        <f>HYPERLINK("https://klasma.github.io/Logging_0480/kartor_geotiff/A 21129-2024 georefererad karta.tif", "A 21129-2024")</f>
        <v/>
      </c>
      <c r="AA92">
        <f>HYPERLINK("https://klasma.github.io/Logging_0480/klagomål/A 21129-2024 FSC-klagomål.docx", "A 21129-2024")</f>
        <v/>
      </c>
      <c r="AB92">
        <f>HYPERLINK("https://klasma.github.io/Logging_0480/klagomålsmail/A 21129-2024 FSC-klagomål mail.docx", "A 21129-2024")</f>
        <v/>
      </c>
      <c r="AC92">
        <f>HYPERLINK("https://klasma.github.io/Logging_0480/tillsyn/A 21129-2024 tillsynsbegäran.docx", "A 21129-2024")</f>
        <v/>
      </c>
      <c r="AD92">
        <f>HYPERLINK("https://klasma.github.io/Logging_0480/tillsynsmail/A 21129-2024 tillsynsbegäran mail.docx", "A 21129-2024")</f>
        <v/>
      </c>
    </row>
    <row r="93" ht="15" customHeight="1">
      <c r="A93" t="inlineStr">
        <is>
          <t>A 21021-2026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46145</v>
      </c>
      <c r="E93" s="1" t="n">
        <v>46282</v>
      </c>
      <c r="F93" t="inlineStr">
        <is>
          <t>SÖDERMANLANDS LÄN</t>
        </is>
      </c>
      <c r="G93" t="inlineStr">
        <is>
          <t>NYKÖPING</t>
        </is>
      </c>
      <c r="I93" t="n">
        <v>3.4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Fläcknycklar</t>
        </is>
      </c>
      <c r="W93">
        <f>HYPERLINK("https://klasma.github.io/Logging_0480/artfynd/A 21021-2026 artfynd.xlsx", "A 21021-2026")</f>
        <v/>
      </c>
      <c r="X93">
        <f>HYPERLINK("https://klasma.github.io/Logging_0480/kartor/A 21021-2026 karta.png", "A 21021-2026")</f>
        <v/>
      </c>
      <c r="Y93">
        <f>HYPERLINK("https://klasma.github.io/Logging_0480/kartor_geotiff/A 21021-2026 georefererad karta.tif", "A 21021-2026")</f>
        <v/>
      </c>
      <c r="AA93">
        <f>HYPERLINK("https://klasma.github.io/Logging_0480/klagomål/A 21021-2026 FSC-klagomål.docx", "A 21021-2026")</f>
        <v/>
      </c>
      <c r="AB93">
        <f>HYPERLINK("https://klasma.github.io/Logging_0480/klagomålsmail/A 21021-2026 FSC-klagomål mail.docx", "A 21021-2026")</f>
        <v/>
      </c>
      <c r="AC93">
        <f>HYPERLINK("https://klasma.github.io/Logging_0480/tillsyn/A 21021-2026 tillsynsbegäran.docx", "A 21021-2026")</f>
        <v/>
      </c>
      <c r="AD93">
        <f>HYPERLINK("https://klasma.github.io/Logging_0480/tillsynsmail/A 21021-2026 tillsynsbegäran mail.docx", "A 21021-2026")</f>
        <v/>
      </c>
    </row>
    <row r="94" ht="15" customHeight="1">
      <c r="A94" t="inlineStr">
        <is>
          <t>A 5509-2023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44960</v>
      </c>
      <c r="E94" s="1" t="n">
        <v>46282</v>
      </c>
      <c r="F94" t="inlineStr">
        <is>
          <t>SÖDERMANLANDS LÄN</t>
        </is>
      </c>
      <c r="G94" t="inlineStr">
        <is>
          <t>NYKÖPING</t>
        </is>
      </c>
      <c r="I94" t="n">
        <v>1.2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HYPERLINK("https://klasma.github.io/Logging_0480/artfynd/A 5509-2023 artfynd.xlsx", "A 5509-2023")</f>
        <v/>
      </c>
      <c r="X94">
        <f>HYPERLINK("https://klasma.github.io/Logging_0480/kartor/A 5509-2023 karta.png", "A 5509-2023")</f>
        <v/>
      </c>
      <c r="Y94">
        <f>HYPERLINK("https://klasma.github.io/Logging_0480/kartor_geotiff/A 5509-2023 georefererad karta.tif", "A 5509-2023")</f>
        <v/>
      </c>
      <c r="AA94">
        <f>HYPERLINK("https://klasma.github.io/Logging_0480/klagomål/A 5509-2023 FSC-klagomål.docx", "A 5509-2023")</f>
        <v/>
      </c>
      <c r="AB94">
        <f>HYPERLINK("https://klasma.github.io/Logging_0480/klagomålsmail/A 5509-2023 FSC-klagomål mail.docx", "A 5509-2023")</f>
        <v/>
      </c>
      <c r="AC94">
        <f>HYPERLINK("https://klasma.github.io/Logging_0480/tillsyn/A 5509-2023 tillsynsbegäran.docx", "A 5509-2023")</f>
        <v/>
      </c>
      <c r="AD94">
        <f>HYPERLINK("https://klasma.github.io/Logging_0480/tillsynsmail/A 5509-2023 tillsynsbegäran mail.docx", "A 5509-2023")</f>
        <v/>
      </c>
    </row>
    <row r="95" ht="15" customHeight="1">
      <c r="A95" t="inlineStr">
        <is>
          <t>A 20415-2024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46282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6.4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Gulsparv</t>
        </is>
      </c>
      <c r="W95">
        <f>HYPERLINK("https://klasma.github.io/Logging_0480/artfynd/A 20415-2024 artfynd.xlsx", "A 20415-2024")</f>
        <v/>
      </c>
      <c r="X95">
        <f>HYPERLINK("https://klasma.github.io/Logging_0480/kartor/A 20415-2024 karta.png", "A 20415-2024")</f>
        <v/>
      </c>
      <c r="Y95">
        <f>HYPERLINK("https://klasma.github.io/Logging_0480/kartor_geotiff/A 20415-2024 georefererad karta.tif", "A 20415-2024")</f>
        <v/>
      </c>
      <c r="AA95">
        <f>HYPERLINK("https://klasma.github.io/Logging_0480/klagomål/A 20415-2024 FSC-klagomål.docx", "A 20415-2024")</f>
        <v/>
      </c>
      <c r="AB95">
        <f>HYPERLINK("https://klasma.github.io/Logging_0480/klagomålsmail/A 20415-2024 FSC-klagomål mail.docx", "A 20415-2024")</f>
        <v/>
      </c>
      <c r="AC95">
        <f>HYPERLINK("https://klasma.github.io/Logging_0480/tillsyn/A 20415-2024 tillsynsbegäran.docx", "A 20415-2024")</f>
        <v/>
      </c>
      <c r="AD95">
        <f>HYPERLINK("https://klasma.github.io/Logging_0480/tillsynsmail/A 20415-2024 tillsynsbegäran mail.docx", "A 20415-2024")</f>
        <v/>
      </c>
      <c r="AE95">
        <f>HYPERLINK("https://klasma.github.io/Logging_0480/fåglar/A 20415-2024 prioriterade fågelarter.docx", "A 20415-2024")</f>
        <v/>
      </c>
    </row>
    <row r="96" ht="15" customHeight="1">
      <c r="A96" t="inlineStr">
        <is>
          <t>A 20425-2024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45435</v>
      </c>
      <c r="E96" s="1" t="n">
        <v>46282</v>
      </c>
      <c r="F96" t="inlineStr">
        <is>
          <t>SÖDERMANLANDS LÄN</t>
        </is>
      </c>
      <c r="G96" t="inlineStr">
        <is>
          <t>NYKÖPING</t>
        </is>
      </c>
      <c r="H96" t="inlineStr">
        <is>
          <t>Kommuner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Skogsalm</t>
        </is>
      </c>
      <c r="W96">
        <f>HYPERLINK("https://klasma.github.io/Logging_0480/artfynd/A 20425-2024 artfynd.xlsx", "A 20425-2024")</f>
        <v/>
      </c>
      <c r="X96">
        <f>HYPERLINK("https://klasma.github.io/Logging_0480/kartor/A 20425-2024 karta.png", "A 20425-2024")</f>
        <v/>
      </c>
      <c r="Y96">
        <f>HYPERLINK("https://klasma.github.io/Logging_0480/kartor_geotiff/A 20425-2024 georefererad karta.tif", "A 20425-2024")</f>
        <v/>
      </c>
      <c r="AA96">
        <f>HYPERLINK("https://klasma.github.io/Logging_0480/klagomål/A 20425-2024 FSC-klagomål.docx", "A 20425-2024")</f>
        <v/>
      </c>
      <c r="AB96">
        <f>HYPERLINK("https://klasma.github.io/Logging_0480/klagomålsmail/A 20425-2024 FSC-klagomål mail.docx", "A 20425-2024")</f>
        <v/>
      </c>
      <c r="AC96">
        <f>HYPERLINK("https://klasma.github.io/Logging_0480/tillsyn/A 20425-2024 tillsynsbegäran.docx", "A 20425-2024")</f>
        <v/>
      </c>
      <c r="AD96">
        <f>HYPERLINK("https://klasma.github.io/Logging_0480/tillsynsmail/A 20425-2024 tillsynsbegäran mail.docx", "A 20425-2024")</f>
        <v/>
      </c>
    </row>
    <row r="97" ht="15" customHeight="1">
      <c r="A97" t="inlineStr">
        <is>
          <t>A 13724-2024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45390</v>
      </c>
      <c r="E97" s="1" t="n">
        <v>46282</v>
      </c>
      <c r="F97" t="inlineStr">
        <is>
          <t>SÖDERMANLANDS LÄN</t>
        </is>
      </c>
      <c r="G97" t="inlineStr">
        <is>
          <t>NYKÖPING</t>
        </is>
      </c>
      <c r="I97" t="n">
        <v>0.9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Dropptaggsvamp</t>
        </is>
      </c>
      <c r="W97">
        <f>HYPERLINK("https://klasma.github.io/Logging_0480/artfynd/A 13724-2024 artfynd.xlsx", "A 13724-2024")</f>
        <v/>
      </c>
      <c r="X97">
        <f>HYPERLINK("https://klasma.github.io/Logging_0480/kartor/A 13724-2024 karta.png", "A 13724-2024")</f>
        <v/>
      </c>
      <c r="Y97">
        <f>HYPERLINK("https://klasma.github.io/Logging_0480/kartor_geotiff/A 13724-2024 georefererad karta.tif", "A 13724-2024")</f>
        <v/>
      </c>
      <c r="AA97">
        <f>HYPERLINK("https://klasma.github.io/Logging_0480/klagomål/A 13724-2024 FSC-klagomål.docx", "A 13724-2024")</f>
        <v/>
      </c>
      <c r="AB97">
        <f>HYPERLINK("https://klasma.github.io/Logging_0480/klagomålsmail/A 13724-2024 FSC-klagomål mail.docx", "A 13724-2024")</f>
        <v/>
      </c>
      <c r="AC97">
        <f>HYPERLINK("https://klasma.github.io/Logging_0480/tillsyn/A 13724-2024 tillsynsbegäran.docx", "A 13724-2024")</f>
        <v/>
      </c>
      <c r="AD97">
        <f>HYPERLINK("https://klasma.github.io/Logging_0480/tillsynsmail/A 13724-2024 tillsynsbegäran mail.docx", "A 13724-2024")</f>
        <v/>
      </c>
    </row>
    <row r="98" ht="15" customHeight="1">
      <c r="A98" t="inlineStr">
        <is>
          <t>A 22495-2026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46155</v>
      </c>
      <c r="E98" s="1" t="n">
        <v>46282</v>
      </c>
      <c r="F98" t="inlineStr">
        <is>
          <t>SÖDERMANLANDS LÄN</t>
        </is>
      </c>
      <c r="G98" t="inlineStr">
        <is>
          <t>NYKÖPING</t>
        </is>
      </c>
      <c r="H98" t="inlineStr">
        <is>
          <t>Holmen skog AB</t>
        </is>
      </c>
      <c r="I98" t="n">
        <v>2.6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Vedticka</t>
        </is>
      </c>
      <c r="W98">
        <f>HYPERLINK("https://klasma.github.io/Logging_0480/artfynd/A 22495-2026 artfynd.xlsx", "A 22495-2026")</f>
        <v/>
      </c>
      <c r="X98">
        <f>HYPERLINK("https://klasma.github.io/Logging_0480/kartor/A 22495-2026 karta.png", "A 22495-2026")</f>
        <v/>
      </c>
      <c r="Y98">
        <f>HYPERLINK("https://klasma.github.io/Logging_0480/kartor_geotiff/A 22495-2026 georefererad karta.tif", "A 22495-2026")</f>
        <v/>
      </c>
      <c r="AA98">
        <f>HYPERLINK("https://klasma.github.io/Logging_0480/klagomål/A 22495-2026 FSC-klagomål.docx", "A 22495-2026")</f>
        <v/>
      </c>
      <c r="AB98">
        <f>HYPERLINK("https://klasma.github.io/Logging_0480/klagomålsmail/A 22495-2026 FSC-klagomål mail.docx", "A 22495-2026")</f>
        <v/>
      </c>
      <c r="AC98">
        <f>HYPERLINK("https://klasma.github.io/Logging_0480/tillsyn/A 22495-2026 tillsynsbegäran.docx", "A 22495-2026")</f>
        <v/>
      </c>
      <c r="AD98">
        <f>HYPERLINK("https://klasma.github.io/Logging_0480/tillsynsmail/A 22495-2026 tillsynsbegäran mail.docx", "A 22495-2026")</f>
        <v/>
      </c>
    </row>
    <row r="99" ht="15" customHeight="1">
      <c r="A99" t="inlineStr">
        <is>
          <t>A 2837-2025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45677</v>
      </c>
      <c r="E99" s="1" t="n">
        <v>46282</v>
      </c>
      <c r="F99" t="inlineStr">
        <is>
          <t>SÖDERMANLANDS LÄN</t>
        </is>
      </c>
      <c r="G99" t="inlineStr">
        <is>
          <t>NYKÖPING</t>
        </is>
      </c>
      <c r="I99" t="n">
        <v>5.2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4</v>
      </c>
      <c r="U99" t="n">
        <v>0</v>
      </c>
      <c r="V99" s="2" t="inlineStr">
        <is>
          <t>Hasselticka</t>
        </is>
      </c>
      <c r="W99">
        <f>HYPERLINK("https://klasma.github.io/Logging_0480/artfynd/A 2837-2025 artfynd.xlsx", "A 2837-2025")</f>
        <v/>
      </c>
      <c r="X99">
        <f>HYPERLINK("https://klasma.github.io/Logging_0480/kartor/A 2837-2025 karta.png", "A 2837-2025")</f>
        <v/>
      </c>
      <c r="Y99">
        <f>HYPERLINK("https://klasma.github.io/Logging_0480/kartor_geotiff/A 2837-2025 georefererad karta.tif", "A 2837-2025")</f>
        <v/>
      </c>
      <c r="AA99">
        <f>HYPERLINK("https://klasma.github.io/Logging_0480/klagomål/A 2837-2025 FSC-klagomål.docx", "A 2837-2025")</f>
        <v/>
      </c>
      <c r="AB99">
        <f>HYPERLINK("https://klasma.github.io/Logging_0480/klagomålsmail/A 2837-2025 FSC-klagomål mail.docx", "A 2837-2025")</f>
        <v/>
      </c>
      <c r="AC99">
        <f>HYPERLINK("https://klasma.github.io/Logging_0480/tillsyn/A 2837-2025 tillsynsbegäran.docx", "A 2837-2025")</f>
        <v/>
      </c>
      <c r="AD99">
        <f>HYPERLINK("https://klasma.github.io/Logging_0480/tillsynsmail/A 2837-2025 tillsynsbegäran mail.docx", "A 2837-2025")</f>
        <v/>
      </c>
    </row>
    <row r="100" ht="15" customHeight="1">
      <c r="A100" t="inlineStr">
        <is>
          <t>A 35318-2024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45530</v>
      </c>
      <c r="E100" s="1" t="n">
        <v>46282</v>
      </c>
      <c r="F100" t="inlineStr">
        <is>
          <t>SÖDERMANLANDS LÄN</t>
        </is>
      </c>
      <c r="G100" t="inlineStr">
        <is>
          <t>NYKÖPING</t>
        </is>
      </c>
      <c r="I100" t="n">
        <v>7.6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Gullviva</t>
        </is>
      </c>
      <c r="W100">
        <f>HYPERLINK("https://klasma.github.io/Logging_0480/artfynd/A 35318-2024 artfynd.xlsx", "A 35318-2024")</f>
        <v/>
      </c>
      <c r="X100">
        <f>HYPERLINK("https://klasma.github.io/Logging_0480/kartor/A 35318-2024 karta.png", "A 35318-2024")</f>
        <v/>
      </c>
      <c r="Y100">
        <f>HYPERLINK("https://klasma.github.io/Logging_0480/kartor_geotiff/A 35318-2024 georefererad karta.tif", "A 35318-2024")</f>
        <v/>
      </c>
      <c r="AA100">
        <f>HYPERLINK("https://klasma.github.io/Logging_0480/klagomål/A 35318-2024 FSC-klagomål.docx", "A 35318-2024")</f>
        <v/>
      </c>
      <c r="AB100">
        <f>HYPERLINK("https://klasma.github.io/Logging_0480/klagomålsmail/A 35318-2024 FSC-klagomål mail.docx", "A 35318-2024")</f>
        <v/>
      </c>
      <c r="AC100">
        <f>HYPERLINK("https://klasma.github.io/Logging_0480/tillsyn/A 35318-2024 tillsynsbegäran.docx", "A 35318-2024")</f>
        <v/>
      </c>
      <c r="AD100">
        <f>HYPERLINK("https://klasma.github.io/Logging_0480/tillsynsmail/A 35318-2024 tillsynsbegäran mail.docx", "A 35318-2024")</f>
        <v/>
      </c>
    </row>
    <row r="101" ht="15" customHeight="1">
      <c r="A101" t="inlineStr">
        <is>
          <t>A 28542-2023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45103</v>
      </c>
      <c r="E101" s="1" t="n">
        <v>46282</v>
      </c>
      <c r="F101" t="inlineStr">
        <is>
          <t>SÖDERMANLANDS LÄN</t>
        </is>
      </c>
      <c r="G101" t="inlineStr">
        <is>
          <t>NYKÖPING</t>
        </is>
      </c>
      <c r="I101" t="n">
        <v>2.8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HYPERLINK("https://klasma.github.io/Logging_0480/artfynd/A 28542-2023 artfynd.xlsx", "A 28542-2023")</f>
        <v/>
      </c>
      <c r="X101">
        <f>HYPERLINK("https://klasma.github.io/Logging_0480/kartor/A 28542-2023 karta.png", "A 28542-2023")</f>
        <v/>
      </c>
      <c r="Y101">
        <f>HYPERLINK("https://klasma.github.io/Logging_0480/kartor_geotiff/A 28542-2023 georefererad karta.tif", "A 28542-2023")</f>
        <v/>
      </c>
      <c r="Z101">
        <f>HYPERLINK("https://klasma.github.io/Logging_0480/knärot/A 28542-2023 karta knärot.png", "A 28542-2023")</f>
        <v/>
      </c>
      <c r="AA101">
        <f>HYPERLINK("https://klasma.github.io/Logging_0480/klagomål/A 28542-2023 FSC-klagomål.docx", "A 28542-2023")</f>
        <v/>
      </c>
      <c r="AB101">
        <f>HYPERLINK("https://klasma.github.io/Logging_0480/klagomålsmail/A 28542-2023 FSC-klagomål mail.docx", "A 28542-2023")</f>
        <v/>
      </c>
      <c r="AC101">
        <f>HYPERLINK("https://klasma.github.io/Logging_0480/tillsyn/A 28542-2023 tillsynsbegäran.docx", "A 28542-2023")</f>
        <v/>
      </c>
      <c r="AD101">
        <f>HYPERLINK("https://klasma.github.io/Logging_0480/tillsynsmail/A 28542-2023 tillsynsbegäran mail.docx", "A 28542-2023")</f>
        <v/>
      </c>
    </row>
    <row r="102" ht="15" customHeight="1">
      <c r="A102" t="inlineStr">
        <is>
          <t>A 32627-2026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46240</v>
      </c>
      <c r="E102" s="1" t="n">
        <v>46282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Holmen skog AB</t>
        </is>
      </c>
      <c r="I102" t="n">
        <v>2.4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Motaggsvamp</t>
        </is>
      </c>
      <c r="W102">
        <f>HYPERLINK("https://klasma.github.io/Logging_0480/artfynd/A 32627-2026 artfynd.xlsx", "A 32627-2026")</f>
        <v/>
      </c>
      <c r="X102">
        <f>HYPERLINK("https://klasma.github.io/Logging_0480/kartor/A 32627-2026 karta.png", "A 32627-2026")</f>
        <v/>
      </c>
      <c r="Y102">
        <f>HYPERLINK("https://klasma.github.io/Logging_0480/kartor_geotiff/A 32627-2026 georefererad karta.tif", "A 32627-2026")</f>
        <v/>
      </c>
      <c r="AA102">
        <f>HYPERLINK("https://klasma.github.io/Logging_0480/klagomål/A 32627-2026 FSC-klagomål.docx", "A 32627-2026")</f>
        <v/>
      </c>
      <c r="AB102">
        <f>HYPERLINK("https://klasma.github.io/Logging_0480/klagomålsmail/A 32627-2026 FSC-klagomål mail.docx", "A 32627-2026")</f>
        <v/>
      </c>
      <c r="AC102">
        <f>HYPERLINK("https://klasma.github.io/Logging_0480/tillsyn/A 32627-2026 tillsynsbegäran.docx", "A 32627-2026")</f>
        <v/>
      </c>
      <c r="AD102">
        <f>HYPERLINK("https://klasma.github.io/Logging_0480/tillsynsmail/A 32627-2026 tillsynsbegäran mail.docx", "A 32627-2026")</f>
        <v/>
      </c>
    </row>
    <row r="103" ht="15" customHeight="1">
      <c r="A103" t="inlineStr">
        <is>
          <t>A 20325-2023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45056</v>
      </c>
      <c r="E103" s="1" t="n">
        <v>46282</v>
      </c>
      <c r="F103" t="inlineStr">
        <is>
          <t>SÖDERMANLANDS LÄN</t>
        </is>
      </c>
      <c r="G103" t="inlineStr">
        <is>
          <t>NYKÖPING</t>
        </is>
      </c>
      <c r="I103" t="n">
        <v>0.2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Kamjordstjärna</t>
        </is>
      </c>
      <c r="W103">
        <f>HYPERLINK("https://klasma.github.io/Logging_0480/artfynd/A 20325-2023 artfynd.xlsx", "A 20325-2023")</f>
        <v/>
      </c>
      <c r="X103">
        <f>HYPERLINK("https://klasma.github.io/Logging_0480/kartor/A 20325-2023 karta.png", "A 20325-2023")</f>
        <v/>
      </c>
      <c r="Y103">
        <f>HYPERLINK("https://klasma.github.io/Logging_0480/kartor_geotiff/A 20325-2023 georefererad karta.tif", "A 20325-2023")</f>
        <v/>
      </c>
      <c r="AA103">
        <f>HYPERLINK("https://klasma.github.io/Logging_0480/klagomål/A 20325-2023 FSC-klagomål.docx", "A 20325-2023")</f>
        <v/>
      </c>
      <c r="AB103">
        <f>HYPERLINK("https://klasma.github.io/Logging_0480/klagomålsmail/A 20325-2023 FSC-klagomål mail.docx", "A 20325-2023")</f>
        <v/>
      </c>
      <c r="AC103">
        <f>HYPERLINK("https://klasma.github.io/Logging_0480/tillsyn/A 20325-2023 tillsynsbegäran.docx", "A 20325-2023")</f>
        <v/>
      </c>
      <c r="AD103">
        <f>HYPERLINK("https://klasma.github.io/Logging_0480/tillsynsmail/A 20325-2023 tillsynsbegäran mail.docx", "A 20325-2023")</f>
        <v/>
      </c>
    </row>
    <row r="104" ht="15" customHeight="1">
      <c r="A104" t="inlineStr">
        <is>
          <t>A 9973-2022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46282</v>
      </c>
      <c r="F104" t="inlineStr">
        <is>
          <t>SÖDERMANLANDS LÄN</t>
        </is>
      </c>
      <c r="G104" t="inlineStr">
        <is>
          <t>NYKÖPING</t>
        </is>
      </c>
      <c r="I104" t="n">
        <v>18.3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Grön sköldmossa</t>
        </is>
      </c>
      <c r="W104">
        <f>HYPERLINK("https://klasma.github.io/Logging_0480/artfynd/A 9973-2022 artfynd.xlsx", "A 9973-2022")</f>
        <v/>
      </c>
      <c r="X104">
        <f>HYPERLINK("https://klasma.github.io/Logging_0480/kartor/A 9973-2022 karta.png", "A 9973-2022")</f>
        <v/>
      </c>
      <c r="Y104">
        <f>HYPERLINK("https://klasma.github.io/Logging_0480/kartor_geotiff/A 9973-2022 georefererad karta.tif", "A 9973-2022")</f>
        <v/>
      </c>
      <c r="AA104">
        <f>HYPERLINK("https://klasma.github.io/Logging_0480/klagomål/A 9973-2022 FSC-klagomål.docx", "A 9973-2022")</f>
        <v/>
      </c>
      <c r="AB104">
        <f>HYPERLINK("https://klasma.github.io/Logging_0480/klagomålsmail/A 9973-2022 FSC-klagomål mail.docx", "A 9973-2022")</f>
        <v/>
      </c>
      <c r="AC104">
        <f>HYPERLINK("https://klasma.github.io/Logging_0480/tillsyn/A 9973-2022 tillsynsbegäran.docx", "A 9973-2022")</f>
        <v/>
      </c>
      <c r="AD104">
        <f>HYPERLINK("https://klasma.github.io/Logging_0480/tillsynsmail/A 9973-2022 tillsynsbegäran mail.docx", "A 9973-2022")</f>
        <v/>
      </c>
    </row>
    <row r="105" ht="15" customHeight="1">
      <c r="A105" t="inlineStr">
        <is>
          <t>A 5385-2026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46050</v>
      </c>
      <c r="E105" s="1" t="n">
        <v>46282</v>
      </c>
      <c r="F105" t="inlineStr">
        <is>
          <t>SÖDERMANLANDS LÄN</t>
        </is>
      </c>
      <c r="G105" t="inlineStr">
        <is>
          <t>NYKÖPING</t>
        </is>
      </c>
      <c r="I105" t="n">
        <v>3.5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Spillkråka</t>
        </is>
      </c>
      <c r="W105">
        <f>HYPERLINK("https://klasma.github.io/Logging_0480/artfynd/A 5385-2026 artfynd.xlsx", "A 5385-2026")</f>
        <v/>
      </c>
      <c r="X105">
        <f>HYPERLINK("https://klasma.github.io/Logging_0480/kartor/A 5385-2026 karta.png", "A 5385-2026")</f>
        <v/>
      </c>
      <c r="Y105">
        <f>HYPERLINK("https://klasma.github.io/Logging_0480/kartor_geotiff/A 5385-2026 georefererad karta.tif", "A 5385-2026")</f>
        <v/>
      </c>
      <c r="AA105">
        <f>HYPERLINK("https://klasma.github.io/Logging_0480/klagomål/A 5385-2026 FSC-klagomål.docx", "A 5385-2026")</f>
        <v/>
      </c>
      <c r="AB105">
        <f>HYPERLINK("https://klasma.github.io/Logging_0480/klagomålsmail/A 5385-2026 FSC-klagomål mail.docx", "A 5385-2026")</f>
        <v/>
      </c>
      <c r="AC105">
        <f>HYPERLINK("https://klasma.github.io/Logging_0480/tillsyn/A 5385-2026 tillsynsbegäran.docx", "A 5385-2026")</f>
        <v/>
      </c>
      <c r="AD105">
        <f>HYPERLINK("https://klasma.github.io/Logging_0480/tillsynsmail/A 5385-2026 tillsynsbegäran mail.docx", "A 5385-2026")</f>
        <v/>
      </c>
      <c r="AE105">
        <f>HYPERLINK("https://klasma.github.io/Logging_0480/fåglar/A 5385-2026 prioriterade fågelarter.docx", "A 5385-2026")</f>
        <v/>
      </c>
    </row>
    <row r="106" ht="15" customHeight="1">
      <c r="A106" t="inlineStr">
        <is>
          <t>A 13038-2024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45385</v>
      </c>
      <c r="E106" s="1" t="n">
        <v>46282</v>
      </c>
      <c r="F106" t="inlineStr">
        <is>
          <t>SÖDERMANLANDS LÄN</t>
        </is>
      </c>
      <c r="G106" t="inlineStr">
        <is>
          <t>NYKÖPING</t>
        </is>
      </c>
      <c r="I106" t="n">
        <v>3.8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t="n">
        <v>0</v>
      </c>
      <c r="V106" s="2" t="inlineStr">
        <is>
          <t>Knärot</t>
        </is>
      </c>
      <c r="W106">
        <f>HYPERLINK("https://klasma.github.io/Logging_0480/artfynd/A 13038-2024 artfynd.xlsx", "A 13038-2024")</f>
        <v/>
      </c>
      <c r="X106">
        <f>HYPERLINK("https://klasma.github.io/Logging_0480/kartor/A 13038-2024 karta.png", "A 13038-2024")</f>
        <v/>
      </c>
      <c r="Y106">
        <f>HYPERLINK("https://klasma.github.io/Logging_0480/kartor_geotiff/A 13038-2024 georefererad karta.tif", "A 13038-2024")</f>
        <v/>
      </c>
      <c r="Z106">
        <f>HYPERLINK("https://klasma.github.io/Logging_0480/knärot/A 13038-2024 karta knärot.png", "A 13038-2024")</f>
        <v/>
      </c>
      <c r="AA106">
        <f>HYPERLINK("https://klasma.github.io/Logging_0480/klagomål/A 13038-2024 FSC-klagomål.docx", "A 13038-2024")</f>
        <v/>
      </c>
      <c r="AB106">
        <f>HYPERLINK("https://klasma.github.io/Logging_0480/klagomålsmail/A 13038-2024 FSC-klagomål mail.docx", "A 13038-2024")</f>
        <v/>
      </c>
      <c r="AC106">
        <f>HYPERLINK("https://klasma.github.io/Logging_0480/tillsyn/A 13038-2024 tillsynsbegäran.docx", "A 13038-2024")</f>
        <v/>
      </c>
      <c r="AD106">
        <f>HYPERLINK("https://klasma.github.io/Logging_0480/tillsynsmail/A 13038-2024 tillsynsbegäran mail.docx", "A 13038-2024")</f>
        <v/>
      </c>
    </row>
    <row r="107" ht="15" customHeight="1">
      <c r="A107" t="inlineStr">
        <is>
          <t>A 51258-2024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45603</v>
      </c>
      <c r="E107" s="1" t="n">
        <v>46282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Sveaskog</t>
        </is>
      </c>
      <c r="I107" t="n">
        <v>2.6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Grönpyrola</t>
        </is>
      </c>
      <c r="W107">
        <f>HYPERLINK("https://klasma.github.io/Logging_0480/artfynd/A 51258-2024 artfynd.xlsx", "A 51258-2024")</f>
        <v/>
      </c>
      <c r="X107">
        <f>HYPERLINK("https://klasma.github.io/Logging_0480/kartor/A 51258-2024 karta.png", "A 51258-2024")</f>
        <v/>
      </c>
      <c r="Y107">
        <f>HYPERLINK("https://klasma.github.io/Logging_0480/kartor_geotiff/A 51258-2024 georefererad karta.tif", "A 51258-2024")</f>
        <v/>
      </c>
      <c r="AA107">
        <f>HYPERLINK("https://klasma.github.io/Logging_0480/klagomål/A 51258-2024 FSC-klagomål.docx", "A 51258-2024")</f>
        <v/>
      </c>
      <c r="AB107">
        <f>HYPERLINK("https://klasma.github.io/Logging_0480/klagomålsmail/A 51258-2024 FSC-klagomål mail.docx", "A 51258-2024")</f>
        <v/>
      </c>
      <c r="AC107">
        <f>HYPERLINK("https://klasma.github.io/Logging_0480/tillsyn/A 51258-2024 tillsynsbegäran.docx", "A 51258-2024")</f>
        <v/>
      </c>
      <c r="AD107">
        <f>HYPERLINK("https://klasma.github.io/Logging_0480/tillsynsmail/A 51258-2024 tillsynsbegäran mail.docx", "A 51258-2024")</f>
        <v/>
      </c>
    </row>
    <row r="108" ht="15" customHeight="1">
      <c r="A108" t="inlineStr">
        <is>
          <t>A 31182-2026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46217</v>
      </c>
      <c r="E108" s="1" t="n">
        <v>46282</v>
      </c>
      <c r="F108" t="inlineStr">
        <is>
          <t>SÖDERMANLANDS LÄN</t>
        </is>
      </c>
      <c r="G108" t="inlineStr">
        <is>
          <t>NYKÖPING</t>
        </is>
      </c>
      <c r="I108" t="n">
        <v>5.1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Grönpyrola</t>
        </is>
      </c>
      <c r="W108">
        <f>HYPERLINK("https://klasma.github.io/Logging_0480/artfynd/A 31182-2026 artfynd.xlsx", "A 31182-2026")</f>
        <v/>
      </c>
      <c r="X108">
        <f>HYPERLINK("https://klasma.github.io/Logging_0480/kartor/A 31182-2026 karta.png", "A 31182-2026")</f>
        <v/>
      </c>
      <c r="Y108">
        <f>HYPERLINK("https://klasma.github.io/Logging_0480/kartor_geotiff/A 31182-2026 georefererad karta.tif", "A 31182-2026")</f>
        <v/>
      </c>
      <c r="AA108">
        <f>HYPERLINK("https://klasma.github.io/Logging_0480/klagomål/A 31182-2026 FSC-klagomål.docx", "A 31182-2026")</f>
        <v/>
      </c>
      <c r="AB108">
        <f>HYPERLINK("https://klasma.github.io/Logging_0480/klagomålsmail/A 31182-2026 FSC-klagomål mail.docx", "A 31182-2026")</f>
        <v/>
      </c>
      <c r="AC108">
        <f>HYPERLINK("https://klasma.github.io/Logging_0480/tillsyn/A 31182-2026 tillsynsbegäran.docx", "A 31182-2026")</f>
        <v/>
      </c>
      <c r="AD108">
        <f>HYPERLINK("https://klasma.github.io/Logging_0480/tillsynsmail/A 31182-2026 tillsynsbegäran mail.docx", "A 31182-2026")</f>
        <v/>
      </c>
    </row>
    <row r="109" ht="15" customHeight="1">
      <c r="A109" t="inlineStr">
        <is>
          <t>A 35122-2023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45145</v>
      </c>
      <c r="E109" s="1" t="n">
        <v>46282</v>
      </c>
      <c r="F109" t="inlineStr">
        <is>
          <t>SÖDERMANLANDS LÄN</t>
        </is>
      </c>
      <c r="G109" t="inlineStr">
        <is>
          <t>NYKÖPING</t>
        </is>
      </c>
      <c r="I109" t="n">
        <v>3.2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HYPERLINK("https://klasma.github.io/Logging_0480/artfynd/A 35122-2023 artfynd.xlsx", "A 35122-2023")</f>
        <v/>
      </c>
      <c r="X109">
        <f>HYPERLINK("https://klasma.github.io/Logging_0480/kartor/A 35122-2023 karta.png", "A 35122-2023")</f>
        <v/>
      </c>
      <c r="Y109">
        <f>HYPERLINK("https://klasma.github.io/Logging_0480/kartor_geotiff/A 35122-2023 georefererad karta.tif", "A 35122-2023")</f>
        <v/>
      </c>
      <c r="AA109">
        <f>HYPERLINK("https://klasma.github.io/Logging_0480/klagomål/A 35122-2023 FSC-klagomål.docx", "A 35122-2023")</f>
        <v/>
      </c>
      <c r="AB109">
        <f>HYPERLINK("https://klasma.github.io/Logging_0480/klagomålsmail/A 35122-2023 FSC-klagomål mail.docx", "A 35122-2023")</f>
        <v/>
      </c>
      <c r="AC109">
        <f>HYPERLINK("https://klasma.github.io/Logging_0480/tillsyn/A 35122-2023 tillsynsbegäran.docx", "A 35122-2023")</f>
        <v/>
      </c>
      <c r="AD109">
        <f>HYPERLINK("https://klasma.github.io/Logging_0480/tillsynsmail/A 35122-2023 tillsynsbegäran mail.docx", "A 35122-2023")</f>
        <v/>
      </c>
    </row>
    <row r="110" ht="15" customHeight="1">
      <c r="A110" t="inlineStr">
        <is>
          <t>A 31998-2026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46232</v>
      </c>
      <c r="E110" s="1" t="n">
        <v>46282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Sveaskog</t>
        </is>
      </c>
      <c r="I110" t="n">
        <v>12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Fläcknycklar</t>
        </is>
      </c>
      <c r="W110">
        <f>HYPERLINK("https://klasma.github.io/Logging_0480/artfynd/A 31998-2026 artfynd.xlsx", "A 31998-2026")</f>
        <v/>
      </c>
      <c r="X110">
        <f>HYPERLINK("https://klasma.github.io/Logging_0480/kartor/A 31998-2026 karta.png", "A 31998-2026")</f>
        <v/>
      </c>
      <c r="Y110">
        <f>HYPERLINK("https://klasma.github.io/Logging_0480/kartor_geotiff/A 31998-2026 georefererad karta.tif", "A 31998-2026")</f>
        <v/>
      </c>
      <c r="AA110">
        <f>HYPERLINK("https://klasma.github.io/Logging_0480/klagomål/A 31998-2026 FSC-klagomål.docx", "A 31998-2026")</f>
        <v/>
      </c>
      <c r="AB110">
        <f>HYPERLINK("https://klasma.github.io/Logging_0480/klagomålsmail/A 31998-2026 FSC-klagomål mail.docx", "A 31998-2026")</f>
        <v/>
      </c>
      <c r="AC110">
        <f>HYPERLINK("https://klasma.github.io/Logging_0480/tillsyn/A 31998-2026 tillsynsbegäran.docx", "A 31998-2026")</f>
        <v/>
      </c>
      <c r="AD110">
        <f>HYPERLINK("https://klasma.github.io/Logging_0480/tillsynsmail/A 31998-2026 tillsynsbegäran mail.docx", "A 31998-2026")</f>
        <v/>
      </c>
    </row>
    <row r="111" ht="15" customHeight="1">
      <c r="A111" t="inlineStr">
        <is>
          <t>A 56080-2024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45624</v>
      </c>
      <c r="E111" s="1" t="n">
        <v>46282</v>
      </c>
      <c r="F111" t="inlineStr">
        <is>
          <t>SÖDERMANLANDS LÄN</t>
        </is>
      </c>
      <c r="G111" t="inlineStr">
        <is>
          <t>NYKÖPING</t>
        </is>
      </c>
      <c r="I111" t="n">
        <v>5.5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Ärtsångare</t>
        </is>
      </c>
      <c r="W111">
        <f>HYPERLINK("https://klasma.github.io/Logging_0480/artfynd/A 56080-2024 artfynd.xlsx", "A 56080-2024")</f>
        <v/>
      </c>
      <c r="X111">
        <f>HYPERLINK("https://klasma.github.io/Logging_0480/kartor/A 56080-2024 karta.png", "A 56080-2024")</f>
        <v/>
      </c>
      <c r="Y111">
        <f>HYPERLINK("https://klasma.github.io/Logging_0480/kartor_geotiff/A 56080-2024 georefererad karta.tif", "A 56080-2024")</f>
        <v/>
      </c>
      <c r="AA111">
        <f>HYPERLINK("https://klasma.github.io/Logging_0480/klagomål/A 56080-2024 FSC-klagomål.docx", "A 56080-2024")</f>
        <v/>
      </c>
      <c r="AB111">
        <f>HYPERLINK("https://klasma.github.io/Logging_0480/klagomålsmail/A 56080-2024 FSC-klagomål mail.docx", "A 56080-2024")</f>
        <v/>
      </c>
      <c r="AC111">
        <f>HYPERLINK("https://klasma.github.io/Logging_0480/tillsyn/A 56080-2024 tillsynsbegäran.docx", "A 56080-2024")</f>
        <v/>
      </c>
      <c r="AD111">
        <f>HYPERLINK("https://klasma.github.io/Logging_0480/tillsynsmail/A 56080-2024 tillsynsbegäran mail.docx", "A 56080-2024")</f>
        <v/>
      </c>
    </row>
    <row r="112" ht="15" customHeight="1">
      <c r="A112" t="inlineStr">
        <is>
          <t>S 447-2021</t>
        </is>
      </c>
      <c r="B112" t="inlineStr">
        <is>
          <t>samrådsanmälan</t>
        </is>
      </c>
      <c r="C112" t="inlineStr">
        <is>
          <t>Åtgärd i nyckelbiotop</t>
        </is>
      </c>
      <c r="D112" s="1" t="n">
        <v>44260</v>
      </c>
      <c r="E112" s="1" t="n">
        <v>46282</v>
      </c>
      <c r="F112" t="inlineStr">
        <is>
          <t>SÖDERMANLANDS LÄN</t>
        </is>
      </c>
      <c r="G112" t="inlineStr">
        <is>
          <t>NYKÖPING</t>
        </is>
      </c>
      <c r="I112" t="n">
        <v>3.4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Lunglav</t>
        </is>
      </c>
      <c r="W112">
        <f>HYPERLINK("https://klasma.github.io/Logging_0480/artfynd/S 447-2021 artfynd.xlsx", "S 447-2021")</f>
        <v/>
      </c>
      <c r="X112">
        <f>HYPERLINK("https://klasma.github.io/Logging_0480/kartor/S 447-2021 karta.png", "S 447-2021")</f>
        <v/>
      </c>
      <c r="Y112">
        <f>HYPERLINK("https://klasma.github.io/Logging_0480/kartor_geotiff/S 447-2021 georefererad karta.tif", "S 447-2021")</f>
        <v/>
      </c>
      <c r="AA112">
        <f>HYPERLINK("https://klasma.github.io/Logging_0480/klagomål/S 447-2021 FSC-klagomål.docx", "S 447-2021")</f>
        <v/>
      </c>
      <c r="AB112">
        <f>HYPERLINK("https://klasma.github.io/Logging_0480/klagomålsmail/S 447-2021 FSC-klagomål mail.docx", "S 447-2021")</f>
        <v/>
      </c>
      <c r="AC112">
        <f>HYPERLINK("https://klasma.github.io/Logging_0480/tillsyn/S 447-2021 tillsynsbegäran.docx", "S 447-2021")</f>
        <v/>
      </c>
      <c r="AD112">
        <f>HYPERLINK("https://klasma.github.io/Logging_0480/tillsynsmail/S 447-2021 tillsynsbegäran mail.docx", "S 447-2021")</f>
        <v/>
      </c>
    </row>
    <row r="113" ht="15" customHeight="1">
      <c r="A113" t="inlineStr">
        <is>
          <t>S 2305-2026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46268</v>
      </c>
      <c r="E113" s="1" t="n">
        <v>46282</v>
      </c>
      <c r="F113" t="inlineStr">
        <is>
          <t>SÖDERMANLANDS LÄN</t>
        </is>
      </c>
      <c r="G113" t="inlineStr">
        <is>
          <t>NYKÖPING</t>
        </is>
      </c>
      <c r="I113" t="n">
        <v>2.1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Vanlig padda</t>
        </is>
      </c>
      <c r="W113">
        <f>HYPERLINK("https://klasma.github.io/Logging_0480/artfynd/S 2305-2026 artfynd.xlsx", "S 2305-2026")</f>
        <v/>
      </c>
      <c r="X113">
        <f>HYPERLINK("https://klasma.github.io/Logging_0480/kartor/S 2305-2026 karta.png", "S 2305-2026")</f>
        <v/>
      </c>
      <c r="Y113">
        <f>HYPERLINK("https://klasma.github.io/Logging_0480/kartor_geotiff/S 2305-2026 georefererad karta.tif", "S 2305-2026")</f>
        <v/>
      </c>
      <c r="AA113">
        <f>HYPERLINK("https://klasma.github.io/Logging_0480/klagomål/S 2305-2026 FSC-klagomål.docx", "S 2305-2026")</f>
        <v/>
      </c>
      <c r="AB113">
        <f>HYPERLINK("https://klasma.github.io/Logging_0480/klagomålsmail/S 2305-2026 FSC-klagomål mail.docx", "S 2305-2026")</f>
        <v/>
      </c>
      <c r="AC113">
        <f>HYPERLINK("https://klasma.github.io/Logging_0480/tillsyn/S 2305-2026 tillsynsbegäran.docx", "S 2305-2026")</f>
        <v/>
      </c>
      <c r="AD113">
        <f>HYPERLINK("https://klasma.github.io/Logging_0480/tillsynsmail/S 2305-2026 tillsynsbegäran mail.docx", "S 2305-2026")</f>
        <v/>
      </c>
    </row>
    <row r="114" ht="15" customHeight="1">
      <c r="A114" t="inlineStr">
        <is>
          <t>A 74404-2021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44560</v>
      </c>
      <c r="E114" s="1" t="n">
        <v>46282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Kyrkan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51569-2022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44870</v>
      </c>
      <c r="E115" s="1" t="n">
        <v>46282</v>
      </c>
      <c r="F115" t="inlineStr">
        <is>
          <t>SÖDERMANLANDS LÄN</t>
        </is>
      </c>
      <c r="G115" t="inlineStr">
        <is>
          <t>NYKÖPING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44811</v>
      </c>
      <c r="E116" s="1" t="n">
        <v>46282</v>
      </c>
      <c r="F116" t="inlineStr">
        <is>
          <t>SÖDERMANLANDS LÄN</t>
        </is>
      </c>
      <c r="G116" t="inlineStr">
        <is>
          <t>NYKÖPING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63017-2021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46282</v>
      </c>
      <c r="F117" t="inlineStr">
        <is>
          <t>SÖDERMANLANDS LÄN</t>
        </is>
      </c>
      <c r="G117" t="inlineStr">
        <is>
          <t>NYKÖPING</t>
        </is>
      </c>
      <c r="I117" t="n">
        <v>21.9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44656</v>
      </c>
      <c r="E118" s="1" t="n">
        <v>46282</v>
      </c>
      <c r="F118" t="inlineStr">
        <is>
          <t>SÖDERMANLANDS LÄN</t>
        </is>
      </c>
      <c r="G118" t="inlineStr">
        <is>
          <t>NYKÖPING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46282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59776-2021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46282</v>
      </c>
      <c r="F120" t="inlineStr">
        <is>
          <t>SÖDERMANLANDS LÄN</t>
        </is>
      </c>
      <c r="G120" t="inlineStr">
        <is>
          <t>NYKÖPING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64162-2021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46282</v>
      </c>
      <c r="F121" t="inlineStr">
        <is>
          <t>SÖDERMANLANDS LÄN</t>
        </is>
      </c>
      <c r="G121" t="inlineStr">
        <is>
          <t>NYKÖPING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53201-2021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44466</v>
      </c>
      <c r="E122" s="1" t="n">
        <v>46282</v>
      </c>
      <c r="F122" t="inlineStr">
        <is>
          <t>SÖDERMANLANDS LÄN</t>
        </is>
      </c>
      <c r="G122" t="inlineStr">
        <is>
          <t>NYKÖPING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46282</v>
      </c>
      <c r="F123" t="inlineStr">
        <is>
          <t>SÖDERMANLANDS LÄN</t>
        </is>
      </c>
      <c r="G123" t="inlineStr">
        <is>
          <t>NYKÖPING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31538-2022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44775</v>
      </c>
      <c r="E124" s="1" t="n">
        <v>46282</v>
      </c>
      <c r="F124" t="inlineStr">
        <is>
          <t>SÖDERMANLANDS LÄN</t>
        </is>
      </c>
      <c r="G124" t="inlineStr">
        <is>
          <t>NYKÖPING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30865-2022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44767</v>
      </c>
      <c r="E125" s="1" t="n">
        <v>46282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Holmen skog AB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44774</v>
      </c>
      <c r="E126" s="1" t="n">
        <v>46282</v>
      </c>
      <c r="F126" t="inlineStr">
        <is>
          <t>SÖDERMANLANDS LÄN</t>
        </is>
      </c>
      <c r="G126" t="inlineStr">
        <is>
          <t>NYKÖPING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25714-2022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44733</v>
      </c>
      <c r="E127" s="1" t="n">
        <v>46282</v>
      </c>
      <c r="F127" t="inlineStr">
        <is>
          <t>SÖDERMANLANDS LÄN</t>
        </is>
      </c>
      <c r="G127" t="inlineStr">
        <is>
          <t>NYKÖPING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44753</v>
      </c>
      <c r="E128" s="1" t="n">
        <v>46282</v>
      </c>
      <c r="F128" t="inlineStr">
        <is>
          <t>SÖDERMANLANDS LÄN</t>
        </is>
      </c>
      <c r="G128" t="inlineStr">
        <is>
          <t>NYKÖPING</t>
        </is>
      </c>
      <c r="H128" t="inlineStr">
        <is>
          <t>Kyrkan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44873</v>
      </c>
      <c r="E129" s="1" t="n">
        <v>46282</v>
      </c>
      <c r="F129" t="inlineStr">
        <is>
          <t>SÖDERMANLANDS LÄN</t>
        </is>
      </c>
      <c r="G129" t="inlineStr">
        <is>
          <t>NYKÖPING</t>
        </is>
      </c>
      <c r="I129" t="n">
        <v>14.6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44652</v>
      </c>
      <c r="E130" s="1" t="n">
        <v>46282</v>
      </c>
      <c r="F130" t="inlineStr">
        <is>
          <t>SÖDERMANLANDS LÄN</t>
        </is>
      </c>
      <c r="G130" t="inlineStr">
        <is>
          <t>NYKÖPING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44659</v>
      </c>
      <c r="E131" s="1" t="n">
        <v>46282</v>
      </c>
      <c r="F131" t="inlineStr">
        <is>
          <t>SÖDERMANLANDS LÄN</t>
        </is>
      </c>
      <c r="G131" t="inlineStr">
        <is>
          <t>NYKÖPING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38166-2022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44812</v>
      </c>
      <c r="E132" s="1" t="n">
        <v>46282</v>
      </c>
      <c r="F132" t="inlineStr">
        <is>
          <t>SÖDERMANLANDS LÄN</t>
        </is>
      </c>
      <c r="G132" t="inlineStr">
        <is>
          <t>NYKÖPING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46282</v>
      </c>
      <c r="F133" t="inlineStr">
        <is>
          <t>SÖDERMANLANDS LÄN</t>
        </is>
      </c>
      <c r="G133" t="inlineStr">
        <is>
          <t>NYKÖPING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44732</v>
      </c>
      <c r="E134" s="1" t="n">
        <v>46282</v>
      </c>
      <c r="F134" t="inlineStr">
        <is>
          <t>SÖDERMANLANDS LÄN</t>
        </is>
      </c>
      <c r="G134" t="inlineStr">
        <is>
          <t>NYKÖPING</t>
        </is>
      </c>
      <c r="H134" t="inlineStr">
        <is>
          <t>Övriga Aktiebolag</t>
        </is>
      </c>
      <c r="I134" t="n">
        <v>8.300000000000001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44790</v>
      </c>
      <c r="E135" s="1" t="n">
        <v>46282</v>
      </c>
      <c r="F135" t="inlineStr">
        <is>
          <t>SÖDERMANLANDS LÄN</t>
        </is>
      </c>
      <c r="G135" t="inlineStr">
        <is>
          <t>NYKÖPING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52090-2022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44873</v>
      </c>
      <c r="E136" s="1" t="n">
        <v>46282</v>
      </c>
      <c r="F136" t="inlineStr">
        <is>
          <t>SÖDERMANLANDS LÄN</t>
        </is>
      </c>
      <c r="G136" t="inlineStr">
        <is>
          <t>NYKÖPING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44581</v>
      </c>
      <c r="E137" s="1" t="n">
        <v>46282</v>
      </c>
      <c r="F137" t="inlineStr">
        <is>
          <t>SÖDERMANLANDS LÄN</t>
        </is>
      </c>
      <c r="G137" t="inlineStr">
        <is>
          <t>NYKÖPING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10357-2022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44623</v>
      </c>
      <c r="E138" s="1" t="n">
        <v>46282</v>
      </c>
      <c r="F138" t="inlineStr">
        <is>
          <t>SÖDERMANLANDS LÄN</t>
        </is>
      </c>
      <c r="G138" t="inlineStr">
        <is>
          <t>NYKÖPING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44705</v>
      </c>
      <c r="E139" s="1" t="n">
        <v>46282</v>
      </c>
      <c r="F139" t="inlineStr">
        <is>
          <t>SÖDERMANLANDS LÄN</t>
        </is>
      </c>
      <c r="G139" t="inlineStr">
        <is>
          <t>NYKÖPING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44690</v>
      </c>
      <c r="E140" s="1" t="n">
        <v>46282</v>
      </c>
      <c r="F140" t="inlineStr">
        <is>
          <t>SÖDERMANLANDS LÄN</t>
        </is>
      </c>
      <c r="G140" t="inlineStr">
        <is>
          <t>NYKÖPING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8783-2022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46282</v>
      </c>
      <c r="F141" t="inlineStr">
        <is>
          <t>SÖDERMANLANDS LÄN</t>
        </is>
      </c>
      <c r="G141" t="inlineStr">
        <is>
          <t>NYKÖPING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46282</v>
      </c>
      <c r="F142" t="inlineStr">
        <is>
          <t>SÖDERMANLANDS LÄN</t>
        </is>
      </c>
      <c r="G142" t="inlineStr">
        <is>
          <t>NYKÖPING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44659</v>
      </c>
      <c r="E143" s="1" t="n">
        <v>46282</v>
      </c>
      <c r="F143" t="inlineStr">
        <is>
          <t>SÖDERMANLANDS LÄN</t>
        </is>
      </c>
      <c r="G143" t="inlineStr">
        <is>
          <t>NYKÖPING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64157-2021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44510</v>
      </c>
      <c r="E144" s="1" t="n">
        <v>46282</v>
      </c>
      <c r="F144" t="inlineStr">
        <is>
          <t>SÖDERMANLANDS LÄN</t>
        </is>
      </c>
      <c r="G144" t="inlineStr">
        <is>
          <t>NYKÖPING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69255-2021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44530</v>
      </c>
      <c r="E145" s="1" t="n">
        <v>46282</v>
      </c>
      <c r="F145" t="inlineStr">
        <is>
          <t>SÖDERMANLANDS LÄN</t>
        </is>
      </c>
      <c r="G145" t="inlineStr">
        <is>
          <t>NYKÖPING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59592-2021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44491</v>
      </c>
      <c r="E146" s="1" t="n">
        <v>46282</v>
      </c>
      <c r="F146" t="inlineStr">
        <is>
          <t>SÖDERMANLANDS LÄN</t>
        </is>
      </c>
      <c r="G146" t="inlineStr">
        <is>
          <t>NYKÖPING</t>
        </is>
      </c>
      <c r="H146" t="inlineStr">
        <is>
          <t>Kyrkan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16957-2022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44676</v>
      </c>
      <c r="E147" s="1" t="n">
        <v>46282</v>
      </c>
      <c r="F147" t="inlineStr">
        <is>
          <t>SÖDERMANLANDS LÄN</t>
        </is>
      </c>
      <c r="G147" t="inlineStr">
        <is>
          <t>NYKÖPING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38368-2022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44812</v>
      </c>
      <c r="E148" s="1" t="n">
        <v>46282</v>
      </c>
      <c r="F148" t="inlineStr">
        <is>
          <t>SÖDERMANLANDS LÄN</t>
        </is>
      </c>
      <c r="G148" t="inlineStr">
        <is>
          <t>NYKÖPING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62076-2021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44502</v>
      </c>
      <c r="E149" s="1" t="n">
        <v>46282</v>
      </c>
      <c r="F149" t="inlineStr">
        <is>
          <t>SÖDERMANLANDS LÄN</t>
        </is>
      </c>
      <c r="G149" t="inlineStr">
        <is>
          <t>NYKÖPING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69247-2021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44530</v>
      </c>
      <c r="E150" s="1" t="n">
        <v>46282</v>
      </c>
      <c r="F150" t="inlineStr">
        <is>
          <t>SÖDERMANLANDS LÄN</t>
        </is>
      </c>
      <c r="G150" t="inlineStr">
        <is>
          <t>NYKÖPING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55706-2021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44476</v>
      </c>
      <c r="E151" s="1" t="n">
        <v>46282</v>
      </c>
      <c r="F151" t="inlineStr">
        <is>
          <t>SÖDERMANLANDS LÄN</t>
        </is>
      </c>
      <c r="G151" t="inlineStr">
        <is>
          <t>NYKÖPING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61248-2021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44498</v>
      </c>
      <c r="E152" s="1" t="n">
        <v>46282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Holmen skog AB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63055-2021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44505</v>
      </c>
      <c r="E153" s="1" t="n">
        <v>46282</v>
      </c>
      <c r="F153" t="inlineStr">
        <is>
          <t>SÖDERMANLANDS LÄN</t>
        </is>
      </c>
      <c r="G153" t="inlineStr">
        <is>
          <t>NYKÖPING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63052-2021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44505</v>
      </c>
      <c r="E154" s="1" t="n">
        <v>46282</v>
      </c>
      <c r="F154" t="inlineStr">
        <is>
          <t>SÖDERMANLANDS LÄN</t>
        </is>
      </c>
      <c r="G154" t="inlineStr">
        <is>
          <t>NYKÖPING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46282</v>
      </c>
      <c r="F155" t="inlineStr">
        <is>
          <t>SÖDERMANLANDS LÄN</t>
        </is>
      </c>
      <c r="G155" t="inlineStr">
        <is>
          <t>NYKÖPING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15466-2022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44662</v>
      </c>
      <c r="E156" s="1" t="n">
        <v>46282</v>
      </c>
      <c r="F156" t="inlineStr">
        <is>
          <t>SÖDERMANLANDS LÄN</t>
        </is>
      </c>
      <c r="G156" t="inlineStr">
        <is>
          <t>NYKÖPING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30859-2022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44767</v>
      </c>
      <c r="E157" s="1" t="n">
        <v>46282</v>
      </c>
      <c r="F157" t="inlineStr">
        <is>
          <t>SÖDERMANLANDS LÄN</t>
        </is>
      </c>
      <c r="G157" t="inlineStr">
        <is>
          <t>NYKÖPING</t>
        </is>
      </c>
      <c r="H157" t="inlineStr">
        <is>
          <t>Holmen skog AB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54234-2021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44470</v>
      </c>
      <c r="E158" s="1" t="n">
        <v>46282</v>
      </c>
      <c r="F158" t="inlineStr">
        <is>
          <t>SÖDERMANLANDS LÄN</t>
        </is>
      </c>
      <c r="G158" t="inlineStr">
        <is>
          <t>NYKÖPING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55288-2022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44887</v>
      </c>
      <c r="E159" s="1" t="n">
        <v>46282</v>
      </c>
      <c r="F159" t="inlineStr">
        <is>
          <t>SÖDERMANLANDS LÄN</t>
        </is>
      </c>
      <c r="G159" t="inlineStr">
        <is>
          <t>NYKÖPING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28503-2022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44747</v>
      </c>
      <c r="E160" s="1" t="n">
        <v>46282</v>
      </c>
      <c r="F160" t="inlineStr">
        <is>
          <t>SÖDERMANLANDS LÄN</t>
        </is>
      </c>
      <c r="G160" t="inlineStr">
        <is>
          <t>NYKÖPING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32841-2022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44784</v>
      </c>
      <c r="E161" s="1" t="n">
        <v>46282</v>
      </c>
      <c r="F161" t="inlineStr">
        <is>
          <t>SÖDERMANLANDS LÄN</t>
        </is>
      </c>
      <c r="G161" t="inlineStr">
        <is>
          <t>NYKÖPING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41139-2022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44825</v>
      </c>
      <c r="E162" s="1" t="n">
        <v>46282</v>
      </c>
      <c r="F162" t="inlineStr">
        <is>
          <t>SÖDERMANLANDS LÄN</t>
        </is>
      </c>
      <c r="G162" t="inlineStr">
        <is>
          <t>NYKÖPING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36634-2022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44804</v>
      </c>
      <c r="E163" s="1" t="n">
        <v>46282</v>
      </c>
      <c r="F163" t="inlineStr">
        <is>
          <t>SÖDERMANLANDS LÄN</t>
        </is>
      </c>
      <c r="G163" t="inlineStr">
        <is>
          <t>NYKÖPING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44733</v>
      </c>
      <c r="E164" s="1" t="n">
        <v>46282</v>
      </c>
      <c r="F164" t="inlineStr">
        <is>
          <t>SÖDERMANLANDS LÄN</t>
        </is>
      </c>
      <c r="G164" t="inlineStr">
        <is>
          <t>NYKÖPING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44733</v>
      </c>
      <c r="E165" s="1" t="n">
        <v>46282</v>
      </c>
      <c r="F165" t="inlineStr">
        <is>
          <t>SÖDERMANLANDS LÄN</t>
        </is>
      </c>
      <c r="G165" t="inlineStr">
        <is>
          <t>NYKÖPING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25718-2022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44733</v>
      </c>
      <c r="E166" s="1" t="n">
        <v>46282</v>
      </c>
      <c r="F166" t="inlineStr">
        <is>
          <t>SÖDERMANLANDS LÄN</t>
        </is>
      </c>
      <c r="G166" t="inlineStr">
        <is>
          <t>NYKÖPING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8523-2022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44613</v>
      </c>
      <c r="E167" s="1" t="n">
        <v>46282</v>
      </c>
      <c r="F167" t="inlineStr">
        <is>
          <t>SÖDERMANLANDS LÄN</t>
        </is>
      </c>
      <c r="G167" t="inlineStr">
        <is>
          <t>NYKÖPING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32671-2022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44783</v>
      </c>
      <c r="E168" s="1" t="n">
        <v>46282</v>
      </c>
      <c r="F168" t="inlineStr">
        <is>
          <t>SÖDERMANLANDS LÄN</t>
        </is>
      </c>
      <c r="G168" t="inlineStr">
        <is>
          <t>NYKÖPING</t>
        </is>
      </c>
      <c r="H168" t="inlineStr">
        <is>
          <t>Holmen skog AB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8778-2022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46282</v>
      </c>
      <c r="F169" t="inlineStr">
        <is>
          <t>SÖDERMANLANDS LÄN</t>
        </is>
      </c>
      <c r="G169" t="inlineStr">
        <is>
          <t>NYKÖPING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54029-2022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44881</v>
      </c>
      <c r="E170" s="1" t="n">
        <v>46282</v>
      </c>
      <c r="F170" t="inlineStr">
        <is>
          <t>SÖDERMANLANDS LÄN</t>
        </is>
      </c>
      <c r="G170" t="inlineStr">
        <is>
          <t>NYKÖPING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44812</v>
      </c>
      <c r="E171" s="1" t="n">
        <v>46282</v>
      </c>
      <c r="F171" t="inlineStr">
        <is>
          <t>SÖDERMANLANDS LÄN</t>
        </is>
      </c>
      <c r="G171" t="inlineStr">
        <is>
          <t>NYKÖPING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42092-2022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44830</v>
      </c>
      <c r="E172" s="1" t="n">
        <v>46282</v>
      </c>
      <c r="F172" t="inlineStr">
        <is>
          <t>SÖDERMANLANDS LÄN</t>
        </is>
      </c>
      <c r="G172" t="inlineStr">
        <is>
          <t>NYKÖPING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70791-2021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44536</v>
      </c>
      <c r="E173" s="1" t="n">
        <v>46282</v>
      </c>
      <c r="F173" t="inlineStr">
        <is>
          <t>SÖDERMANLANDS LÄN</t>
        </is>
      </c>
      <c r="G173" t="inlineStr">
        <is>
          <t>NYKÖPING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44813</v>
      </c>
      <c r="E174" s="1" t="n">
        <v>46282</v>
      </c>
      <c r="F174" t="inlineStr">
        <is>
          <t>SÖDERMANLANDS LÄN</t>
        </is>
      </c>
      <c r="G174" t="inlineStr">
        <is>
          <t>NYKÖPING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17541-2022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44679</v>
      </c>
      <c r="E175" s="1" t="n">
        <v>46282</v>
      </c>
      <c r="F175" t="inlineStr">
        <is>
          <t>SÖDERMANLANDS LÄN</t>
        </is>
      </c>
      <c r="G175" t="inlineStr">
        <is>
          <t>NYKÖPING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20775-2022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44701</v>
      </c>
      <c r="E176" s="1" t="n">
        <v>46282</v>
      </c>
      <c r="F176" t="inlineStr">
        <is>
          <t>SÖDERMANLANDS LÄN</t>
        </is>
      </c>
      <c r="G176" t="inlineStr">
        <is>
          <t>NYKÖPING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21088-2022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44704</v>
      </c>
      <c r="E177" s="1" t="n">
        <v>46282</v>
      </c>
      <c r="F177" t="inlineStr">
        <is>
          <t>SÖDERMANLANDS LÄN</t>
        </is>
      </c>
      <c r="G177" t="inlineStr">
        <is>
          <t>NYKÖPING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47372-2022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44853</v>
      </c>
      <c r="E178" s="1" t="n">
        <v>46282</v>
      </c>
      <c r="F178" t="inlineStr">
        <is>
          <t>SÖDERMANLANDS LÄN</t>
        </is>
      </c>
      <c r="G178" t="inlineStr">
        <is>
          <t>NYKÖPING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46282</v>
      </c>
      <c r="F179" t="inlineStr">
        <is>
          <t>SÖDERMANLANDS LÄN</t>
        </is>
      </c>
      <c r="G179" t="inlineStr">
        <is>
          <t>NYKÖPING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23922-2022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44722</v>
      </c>
      <c r="E180" s="1" t="n">
        <v>46282</v>
      </c>
      <c r="F180" t="inlineStr">
        <is>
          <t>SÖDERMANLANDS LÄN</t>
        </is>
      </c>
      <c r="G180" t="inlineStr">
        <is>
          <t>NYKÖPING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71175-2021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44539</v>
      </c>
      <c r="E181" s="1" t="n">
        <v>46282</v>
      </c>
      <c r="F181" t="inlineStr">
        <is>
          <t>SÖDERMANLANDS LÄN</t>
        </is>
      </c>
      <c r="G181" t="inlineStr">
        <is>
          <t>NYKÖPING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14384-2022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44652</v>
      </c>
      <c r="E182" s="1" t="n">
        <v>46282</v>
      </c>
      <c r="F182" t="inlineStr">
        <is>
          <t>SÖDERMANLANDS LÄN</t>
        </is>
      </c>
      <c r="G182" t="inlineStr">
        <is>
          <t>NYKÖPING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44658</v>
      </c>
      <c r="E183" s="1" t="n">
        <v>46282</v>
      </c>
      <c r="F183" t="inlineStr">
        <is>
          <t>SÖDERMANLANDS LÄN</t>
        </is>
      </c>
      <c r="G183" t="inlineStr">
        <is>
          <t>NYKÖPING</t>
        </is>
      </c>
      <c r="H183" t="inlineStr">
        <is>
          <t>Allmännings- och besparingsskogar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66939-2021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44522</v>
      </c>
      <c r="E184" s="1" t="n">
        <v>46282</v>
      </c>
      <c r="F184" t="inlineStr">
        <is>
          <t>SÖDERMANLANDS LÄN</t>
        </is>
      </c>
      <c r="G184" t="inlineStr">
        <is>
          <t>NYKÖPING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66860-2021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44522</v>
      </c>
      <c r="E185" s="1" t="n">
        <v>46282</v>
      </c>
      <c r="F185" t="inlineStr">
        <is>
          <t>SÖDERMANLANDS LÄN</t>
        </is>
      </c>
      <c r="G185" t="inlineStr">
        <is>
          <t>NYKÖPING</t>
        </is>
      </c>
      <c r="H185" t="inlineStr">
        <is>
          <t>Holmen skog AB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44882</v>
      </c>
      <c r="E186" s="1" t="n">
        <v>46282</v>
      </c>
      <c r="F186" t="inlineStr">
        <is>
          <t>SÖDERMANLANDS LÄN</t>
        </is>
      </c>
      <c r="G186" t="inlineStr">
        <is>
          <t>NYKÖPING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49763-2022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44862</v>
      </c>
      <c r="E187" s="1" t="n">
        <v>46282</v>
      </c>
      <c r="F187" t="inlineStr">
        <is>
          <t>SÖDERMANLANDS LÄN</t>
        </is>
      </c>
      <c r="G187" t="inlineStr">
        <is>
          <t>NYKÖPING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69598-2021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46282</v>
      </c>
      <c r="F188" t="inlineStr">
        <is>
          <t>SÖDERMANLANDS LÄN</t>
        </is>
      </c>
      <c r="G188" t="inlineStr">
        <is>
          <t>NYKÖPING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69252-2021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44530</v>
      </c>
      <c r="E189" s="1" t="n">
        <v>46282</v>
      </c>
      <c r="F189" t="inlineStr">
        <is>
          <t>SÖDERMANLANDS LÄN</t>
        </is>
      </c>
      <c r="G189" t="inlineStr">
        <is>
          <t>NYKÖPING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71103-2021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44537</v>
      </c>
      <c r="E190" s="1" t="n">
        <v>46282</v>
      </c>
      <c r="F190" t="inlineStr">
        <is>
          <t>SÖDERMANLANDS LÄN</t>
        </is>
      </c>
      <c r="G190" t="inlineStr">
        <is>
          <t>NYKÖPING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23107-2022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44719</v>
      </c>
      <c r="E191" s="1" t="n">
        <v>46282</v>
      </c>
      <c r="F191" t="inlineStr">
        <is>
          <t>SÖDERMANLANDS LÄN</t>
        </is>
      </c>
      <c r="G191" t="inlineStr">
        <is>
          <t>NYKÖPING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28511-2022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44748</v>
      </c>
      <c r="E192" s="1" t="n">
        <v>46282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Holmen skog AB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44813</v>
      </c>
      <c r="E193" s="1" t="n">
        <v>46282</v>
      </c>
      <c r="F193" t="inlineStr">
        <is>
          <t>SÖDERMANLANDS LÄN</t>
        </is>
      </c>
      <c r="G193" t="inlineStr">
        <is>
          <t>NYKÖPING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67825-2021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44525</v>
      </c>
      <c r="E194" s="1" t="n">
        <v>46282</v>
      </c>
      <c r="F194" t="inlineStr">
        <is>
          <t>SÖDERMANLANDS LÄN</t>
        </is>
      </c>
      <c r="G194" t="inlineStr">
        <is>
          <t>NYKÖPING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52535-2021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46282</v>
      </c>
      <c r="F195" t="inlineStr">
        <is>
          <t>SÖDERMANLANDS LÄN</t>
        </is>
      </c>
      <c r="G195" t="inlineStr">
        <is>
          <t>NYKÖPING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21815-2022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44709</v>
      </c>
      <c r="E196" s="1" t="n">
        <v>46282</v>
      </c>
      <c r="F196" t="inlineStr">
        <is>
          <t>SÖDERMANLANDS LÄN</t>
        </is>
      </c>
      <c r="G196" t="inlineStr">
        <is>
          <t>NYKÖPING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21818-2022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44709</v>
      </c>
      <c r="E197" s="1" t="n">
        <v>46282</v>
      </c>
      <c r="F197" t="inlineStr">
        <is>
          <t>SÖDERMANLANDS LÄN</t>
        </is>
      </c>
      <c r="G197" t="inlineStr">
        <is>
          <t>NYKÖPING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71107-2021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44537</v>
      </c>
      <c r="E198" s="1" t="n">
        <v>46282</v>
      </c>
      <c r="F198" t="inlineStr">
        <is>
          <t>SÖDERMANLANDS LÄN</t>
        </is>
      </c>
      <c r="G198" t="inlineStr">
        <is>
          <t>NYKÖPING</t>
        </is>
      </c>
      <c r="I198" t="n">
        <v>6.8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25130-2022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44729</v>
      </c>
      <c r="E199" s="1" t="n">
        <v>46282</v>
      </c>
      <c r="F199" t="inlineStr">
        <is>
          <t>SÖDERMANLANDS LÄN</t>
        </is>
      </c>
      <c r="G199" t="inlineStr">
        <is>
          <t>NYKÖPING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22393-2022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44713</v>
      </c>
      <c r="E200" s="1" t="n">
        <v>46282</v>
      </c>
      <c r="F200" t="inlineStr">
        <is>
          <t>SÖDERMANLANDS LÄN</t>
        </is>
      </c>
      <c r="G200" t="inlineStr">
        <is>
          <t>NYKÖPING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55272-2021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46282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Holmen skog AB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10873-2022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44627</v>
      </c>
      <c r="E202" s="1" t="n">
        <v>46282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Övriga Aktiebolag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63006-2021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44505</v>
      </c>
      <c r="E203" s="1" t="n">
        <v>46282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Holmen skog AB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52045-2021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44463</v>
      </c>
      <c r="E204" s="1" t="n">
        <v>46282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Sveaskog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52055-2021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44462</v>
      </c>
      <c r="E205" s="1" t="n">
        <v>46282</v>
      </c>
      <c r="F205" t="inlineStr">
        <is>
          <t>SÖDERMANLANDS LÄN</t>
        </is>
      </c>
      <c r="G205" t="inlineStr">
        <is>
          <t>NYKÖPING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10276-2024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45365</v>
      </c>
      <c r="E206" s="1" t="n">
        <v>46282</v>
      </c>
      <c r="F206" t="inlineStr">
        <is>
          <t>SÖDERMANLANDS LÄN</t>
        </is>
      </c>
      <c r="G206" t="inlineStr">
        <is>
          <t>NYKÖPING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44774</v>
      </c>
      <c r="E207" s="1" t="n">
        <v>46282</v>
      </c>
      <c r="F207" t="inlineStr">
        <is>
          <t>SÖDERMANLANDS LÄN</t>
        </is>
      </c>
      <c r="G207" t="inlineStr">
        <is>
          <t>NYKÖPING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62432-2023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45268</v>
      </c>
      <c r="E208" s="1" t="n">
        <v>46282</v>
      </c>
      <c r="F208" t="inlineStr">
        <is>
          <t>SÖDERMANLANDS LÄN</t>
        </is>
      </c>
      <c r="G208" t="inlineStr">
        <is>
          <t>NYKÖPING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11068-2024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45370</v>
      </c>
      <c r="E209" s="1" t="n">
        <v>46282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Kommuner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18525-2024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45424</v>
      </c>
      <c r="E210" s="1" t="n">
        <v>46282</v>
      </c>
      <c r="F210" t="inlineStr">
        <is>
          <t>SÖDERMANLANDS LÄN</t>
        </is>
      </c>
      <c r="G210" t="inlineStr">
        <is>
          <t>NYKÖPING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21984-2024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45443</v>
      </c>
      <c r="E211" s="1" t="n">
        <v>46282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Holmen skog AB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59613-2021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44491</v>
      </c>
      <c r="E212" s="1" t="n">
        <v>46282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Övriga Aktiebolag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49942-2022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44865</v>
      </c>
      <c r="E213" s="1" t="n">
        <v>46282</v>
      </c>
      <c r="F213" t="inlineStr">
        <is>
          <t>SÖDERMANLANDS LÄN</t>
        </is>
      </c>
      <c r="G213" t="inlineStr">
        <is>
          <t>NYKÖPING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45301</v>
      </c>
      <c r="E214" s="1" t="n">
        <v>46282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Övriga Aktiebolag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64099-2021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44509</v>
      </c>
      <c r="E215" s="1" t="n">
        <v>46282</v>
      </c>
      <c r="F215" t="inlineStr">
        <is>
          <t>SÖDERMANLANDS LÄN</t>
        </is>
      </c>
      <c r="G215" t="inlineStr">
        <is>
          <t>NYKÖPING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30859-2023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45110</v>
      </c>
      <c r="E216" s="1" t="n">
        <v>46282</v>
      </c>
      <c r="F216" t="inlineStr">
        <is>
          <t>SÖDERMANLANDS LÄN</t>
        </is>
      </c>
      <c r="G216" t="inlineStr">
        <is>
          <t>NYKÖPING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45210</v>
      </c>
      <c r="E217" s="1" t="n">
        <v>46282</v>
      </c>
      <c r="F217" t="inlineStr">
        <is>
          <t>SÖDERMANLANDS LÄN</t>
        </is>
      </c>
      <c r="G217" t="inlineStr">
        <is>
          <t>NYKÖPING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49291-2023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45210</v>
      </c>
      <c r="E218" s="1" t="n">
        <v>46282</v>
      </c>
      <c r="F218" t="inlineStr">
        <is>
          <t>SÖDERMANLANDS LÄN</t>
        </is>
      </c>
      <c r="G218" t="inlineStr">
        <is>
          <t>NYKÖPING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68500-2021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44529</v>
      </c>
      <c r="E219" s="1" t="n">
        <v>46282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Övriga Aktiebolag</t>
        </is>
      </c>
      <c r="I219" t="n">
        <v>13.1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2510-2022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44579</v>
      </c>
      <c r="E220" s="1" t="n">
        <v>46282</v>
      </c>
      <c r="F220" t="inlineStr">
        <is>
          <t>SÖDERMANLANDS LÄN</t>
        </is>
      </c>
      <c r="G220" t="inlineStr">
        <is>
          <t>NYKÖPING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35020-2023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45143</v>
      </c>
      <c r="E221" s="1" t="n">
        <v>46282</v>
      </c>
      <c r="F221" t="inlineStr">
        <is>
          <t>SÖDERMANLANDS LÄN</t>
        </is>
      </c>
      <c r="G221" t="inlineStr">
        <is>
          <t>NYKÖPING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12226-2024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45378</v>
      </c>
      <c r="E222" s="1" t="n">
        <v>46282</v>
      </c>
      <c r="F222" t="inlineStr">
        <is>
          <t>SÖDERMANLANDS LÄN</t>
        </is>
      </c>
      <c r="G222" t="inlineStr">
        <is>
          <t>NYKÖPING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21137-2023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45062</v>
      </c>
      <c r="E223" s="1" t="n">
        <v>46282</v>
      </c>
      <c r="F223" t="inlineStr">
        <is>
          <t>SÖDERMANLANDS LÄN</t>
        </is>
      </c>
      <c r="G223" t="inlineStr">
        <is>
          <t>NYKÖPING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43581-2022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44837</v>
      </c>
      <c r="E224" s="1" t="n">
        <v>46282</v>
      </c>
      <c r="F224" t="inlineStr">
        <is>
          <t>SÖDERMANLANDS LÄN</t>
        </is>
      </c>
      <c r="G224" t="inlineStr">
        <is>
          <t>NYKÖPING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9913-2022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44620</v>
      </c>
      <c r="E225" s="1" t="n">
        <v>46282</v>
      </c>
      <c r="F225" t="inlineStr">
        <is>
          <t>SÖDERMANLANDS LÄN</t>
        </is>
      </c>
      <c r="G225" t="inlineStr">
        <is>
          <t>NYKÖPING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45352</v>
      </c>
      <c r="E226" s="1" t="n">
        <v>46282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Kommuner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45930-2022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44846</v>
      </c>
      <c r="E227" s="1" t="n">
        <v>46282</v>
      </c>
      <c r="F227" t="inlineStr">
        <is>
          <t>SÖDERMANLANDS LÄN</t>
        </is>
      </c>
      <c r="G227" t="inlineStr">
        <is>
          <t>NYKÖPING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44582</v>
      </c>
      <c r="E228" s="1" t="n">
        <v>46282</v>
      </c>
      <c r="F228" t="inlineStr">
        <is>
          <t>SÖDERMANLANDS LÄN</t>
        </is>
      </c>
      <c r="G228" t="inlineStr">
        <is>
          <t>NYKÖPING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47138-2023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45201</v>
      </c>
      <c r="E229" s="1" t="n">
        <v>46282</v>
      </c>
      <c r="F229" t="inlineStr">
        <is>
          <t>SÖDERMANLANDS LÄN</t>
        </is>
      </c>
      <c r="G229" t="inlineStr">
        <is>
          <t>NYKÖPING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60117-2023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45258</v>
      </c>
      <c r="E230" s="1" t="n">
        <v>46282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Övriga Aktiebolag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4854-2023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44957</v>
      </c>
      <c r="E231" s="1" t="n">
        <v>46282</v>
      </c>
      <c r="F231" t="inlineStr">
        <is>
          <t>SÖDERMANLANDS LÄN</t>
        </is>
      </c>
      <c r="G231" t="inlineStr">
        <is>
          <t>NYKÖPING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44191-2022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44839</v>
      </c>
      <c r="E232" s="1" t="n">
        <v>46282</v>
      </c>
      <c r="F232" t="inlineStr">
        <is>
          <t>SÖDERMANLANDS LÄN</t>
        </is>
      </c>
      <c r="G232" t="inlineStr">
        <is>
          <t>NYKÖPING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11718-2023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44992</v>
      </c>
      <c r="E233" s="1" t="n">
        <v>46282</v>
      </c>
      <c r="F233" t="inlineStr">
        <is>
          <t>SÖDERMANLANDS LÄN</t>
        </is>
      </c>
      <c r="G233" t="inlineStr">
        <is>
          <t>NYKÖPING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17691-2023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45037</v>
      </c>
      <c r="E234" s="1" t="n">
        <v>46282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Sveaskog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45672</v>
      </c>
      <c r="E235" s="1" t="n">
        <v>46282</v>
      </c>
      <c r="F235" t="inlineStr">
        <is>
          <t>SÖDERMANLANDS LÄN</t>
        </is>
      </c>
      <c r="G235" t="inlineStr">
        <is>
          <t>NYKÖPING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18941-2023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45044</v>
      </c>
      <c r="E236" s="1" t="n">
        <v>46282</v>
      </c>
      <c r="F236" t="inlineStr">
        <is>
          <t>SÖDERMANLANDS LÄN</t>
        </is>
      </c>
      <c r="G236" t="inlineStr">
        <is>
          <t>NYKÖPING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17897-2024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45419</v>
      </c>
      <c r="E237" s="1" t="n">
        <v>46282</v>
      </c>
      <c r="F237" t="inlineStr">
        <is>
          <t>SÖDERMANLANDS LÄN</t>
        </is>
      </c>
      <c r="G237" t="inlineStr">
        <is>
          <t>NYKÖPING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17900-2024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45419</v>
      </c>
      <c r="E238" s="1" t="n">
        <v>46282</v>
      </c>
      <c r="F238" t="inlineStr">
        <is>
          <t>SÖDERMANLANDS LÄN</t>
        </is>
      </c>
      <c r="G238" t="inlineStr">
        <is>
          <t>NYKÖPING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25796-2022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44733</v>
      </c>
      <c r="E239" s="1" t="n">
        <v>46282</v>
      </c>
      <c r="F239" t="inlineStr">
        <is>
          <t>SÖDERMANLANDS LÄN</t>
        </is>
      </c>
      <c r="G239" t="inlineStr">
        <is>
          <t>NYKÖPING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18510-2024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45424</v>
      </c>
      <c r="E240" s="1" t="n">
        <v>46282</v>
      </c>
      <c r="F240" t="inlineStr">
        <is>
          <t>SÖDERMANLANDS LÄN</t>
        </is>
      </c>
      <c r="G240" t="inlineStr">
        <is>
          <t>NYKÖPING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39253-2023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46282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Holmen skog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8415-2023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44977</v>
      </c>
      <c r="E242" s="1" t="n">
        <v>46282</v>
      </c>
      <c r="F242" t="inlineStr">
        <is>
          <t>SÖDERMANLANDS LÄN</t>
        </is>
      </c>
      <c r="G242" t="inlineStr">
        <is>
          <t>NYKÖPING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45443</v>
      </c>
      <c r="E243" s="1" t="n">
        <v>46282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Holmen skog AB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44968</v>
      </c>
      <c r="E244" s="1" t="n">
        <v>46282</v>
      </c>
      <c r="F244" t="inlineStr">
        <is>
          <t>SÖDERMANLANDS LÄN</t>
        </is>
      </c>
      <c r="G244" t="inlineStr">
        <is>
          <t>NYKÖPING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8751-2023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44978</v>
      </c>
      <c r="E245" s="1" t="n">
        <v>46282</v>
      </c>
      <c r="F245" t="inlineStr">
        <is>
          <t>SÖDERMANLANDS LÄN</t>
        </is>
      </c>
      <c r="G245" t="inlineStr">
        <is>
          <t>NYKÖPING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35951-2023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45148</v>
      </c>
      <c r="E246" s="1" t="n">
        <v>46282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Kommuner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11363-2023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44990</v>
      </c>
      <c r="E247" s="1" t="n">
        <v>46282</v>
      </c>
      <c r="F247" t="inlineStr">
        <is>
          <t>SÖDERMANLANDS LÄN</t>
        </is>
      </c>
      <c r="G247" t="inlineStr">
        <is>
          <t>NYKÖPING</t>
        </is>
      </c>
      <c r="H247" t="inlineStr">
        <is>
          <t>Allmännings- och besparingsskogar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57836-2023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45247</v>
      </c>
      <c r="E248" s="1" t="n">
        <v>46282</v>
      </c>
      <c r="F248" t="inlineStr">
        <is>
          <t>SÖDERMANLANDS LÄN</t>
        </is>
      </c>
      <c r="G248" t="inlineStr">
        <is>
          <t>NYKÖPING</t>
        </is>
      </c>
      <c r="H248" t="inlineStr">
        <is>
          <t>Övriga Aktiebolag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56928-2023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45244</v>
      </c>
      <c r="E249" s="1" t="n">
        <v>46282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Övriga Aktiebolag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44964</v>
      </c>
      <c r="E250" s="1" t="n">
        <v>46282</v>
      </c>
      <c r="F250" t="inlineStr">
        <is>
          <t>SÖDERMANLANDS LÄN</t>
        </is>
      </c>
      <c r="G250" t="inlineStr">
        <is>
          <t>NYKÖPING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65109-2021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44515</v>
      </c>
      <c r="E251" s="1" t="n">
        <v>46282</v>
      </c>
      <c r="F251" t="inlineStr">
        <is>
          <t>SÖDERMANLANDS LÄN</t>
        </is>
      </c>
      <c r="G251" t="inlineStr">
        <is>
          <t>NYKÖPING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45282-2022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44844</v>
      </c>
      <c r="E252" s="1" t="n">
        <v>46282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Holmen skog AB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14257-2024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45393</v>
      </c>
      <c r="E253" s="1" t="n">
        <v>46282</v>
      </c>
      <c r="F253" t="inlineStr">
        <is>
          <t>SÖDERMANLANDS LÄN</t>
        </is>
      </c>
      <c r="G253" t="inlineStr">
        <is>
          <t>NYKÖPING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35469-2023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45146</v>
      </c>
      <c r="E254" s="1" t="n">
        <v>46282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Holmen skog AB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68401-2021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44529</v>
      </c>
      <c r="E255" s="1" t="n">
        <v>46282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Övriga Aktiebolag</t>
        </is>
      </c>
      <c r="I255" t="n">
        <v>16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67736-2021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44525</v>
      </c>
      <c r="E256" s="1" t="n">
        <v>46282</v>
      </c>
      <c r="F256" t="inlineStr">
        <is>
          <t>SÖDERMANLANDS LÄN</t>
        </is>
      </c>
      <c r="G256" t="inlineStr">
        <is>
          <t>NYKÖPING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37733-2023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45159</v>
      </c>
      <c r="E257" s="1" t="n">
        <v>46282</v>
      </c>
      <c r="F257" t="inlineStr">
        <is>
          <t>SÖDERMANLANDS LÄN</t>
        </is>
      </c>
      <c r="G257" t="inlineStr">
        <is>
          <t>NYKÖPING</t>
        </is>
      </c>
      <c r="H257" t="inlineStr">
        <is>
          <t>Kommuner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62948-2023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45271</v>
      </c>
      <c r="E258" s="1" t="n">
        <v>46282</v>
      </c>
      <c r="F258" t="inlineStr">
        <is>
          <t>SÖDERMANLANDS LÄN</t>
        </is>
      </c>
      <c r="G258" t="inlineStr">
        <is>
          <t>NYKÖPING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72117-2021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44543</v>
      </c>
      <c r="E259" s="1" t="n">
        <v>46282</v>
      </c>
      <c r="F259" t="inlineStr">
        <is>
          <t>SÖDERMANLANDS LÄN</t>
        </is>
      </c>
      <c r="G259" t="inlineStr">
        <is>
          <t>NYKÖPING</t>
        </is>
      </c>
      <c r="I259" t="n">
        <v>14.9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38607-2023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45162</v>
      </c>
      <c r="E260" s="1" t="n">
        <v>46282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Kommuner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37361-2024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45540</v>
      </c>
      <c r="E261" s="1" t="n">
        <v>46282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Holmen skog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38149-2024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45545</v>
      </c>
      <c r="E262" s="1" t="n">
        <v>46282</v>
      </c>
      <c r="F262" t="inlineStr">
        <is>
          <t>SÖDERMANLANDS LÄN</t>
        </is>
      </c>
      <c r="G262" t="inlineStr">
        <is>
          <t>NYKÖPING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41137-2022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44825</v>
      </c>
      <c r="E263" s="1" t="n">
        <v>46282</v>
      </c>
      <c r="F263" t="inlineStr">
        <is>
          <t>SÖDERMANLANDS LÄN</t>
        </is>
      </c>
      <c r="G263" t="inlineStr">
        <is>
          <t>NYKÖPING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6519-2023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44965</v>
      </c>
      <c r="E264" s="1" t="n">
        <v>46282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Kyrkan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45239</v>
      </c>
      <c r="E265" s="1" t="n">
        <v>46282</v>
      </c>
      <c r="F265" t="inlineStr">
        <is>
          <t>SÖDERMANLANDS LÄN</t>
        </is>
      </c>
      <c r="G265" t="inlineStr">
        <is>
          <t>NYKÖPING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46027</v>
      </c>
      <c r="E266" s="1" t="n">
        <v>46282</v>
      </c>
      <c r="F266" t="inlineStr">
        <is>
          <t>SÖDERMANLANDS LÄN</t>
        </is>
      </c>
      <c r="G266" t="inlineStr">
        <is>
          <t>NYKÖPING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38745-2023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45161</v>
      </c>
      <c r="E267" s="1" t="n">
        <v>46282</v>
      </c>
      <c r="F267" t="inlineStr">
        <is>
          <t>SÖDERMANLANDS LÄN</t>
        </is>
      </c>
      <c r="G267" t="inlineStr">
        <is>
          <t>NYKÖPING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48709-2022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44859</v>
      </c>
      <c r="E268" s="1" t="n">
        <v>46282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Holmen skog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53413-2022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44879</v>
      </c>
      <c r="E269" s="1" t="n">
        <v>46282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Övriga Aktiebolag</t>
        </is>
      </c>
      <c r="I269" t="n">
        <v>8.800000000000001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12153-2025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45729</v>
      </c>
      <c r="E270" s="1" t="n">
        <v>46282</v>
      </c>
      <c r="F270" t="inlineStr">
        <is>
          <t>SÖDERMANLANDS LÄN</t>
        </is>
      </c>
      <c r="G270" t="inlineStr">
        <is>
          <t>NYKÖPING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10435-2022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44623</v>
      </c>
      <c r="E271" s="1" t="n">
        <v>46282</v>
      </c>
      <c r="F271" t="inlineStr">
        <is>
          <t>SÖDERMANLANDS LÄN</t>
        </is>
      </c>
      <c r="G271" t="inlineStr">
        <is>
          <t>NYKÖPING</t>
        </is>
      </c>
      <c r="I271" t="n">
        <v>6.4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817-2026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46030</v>
      </c>
      <c r="E272" s="1" t="n">
        <v>46282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Holmen skog AB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45335</v>
      </c>
      <c r="E273" s="1" t="n">
        <v>46282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Holmen skog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13863-2022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44649</v>
      </c>
      <c r="E274" s="1" t="n">
        <v>46282</v>
      </c>
      <c r="F274" t="inlineStr">
        <is>
          <t>SÖDERMANLANDS LÄN</t>
        </is>
      </c>
      <c r="G274" t="inlineStr">
        <is>
          <t>NYKÖPING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27975-2022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44744</v>
      </c>
      <c r="E275" s="1" t="n">
        <v>46282</v>
      </c>
      <c r="F275" t="inlineStr">
        <is>
          <t>SÖDERMANLANDS LÄN</t>
        </is>
      </c>
      <c r="G275" t="inlineStr">
        <is>
          <t>NYKÖPING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2900-2024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45315</v>
      </c>
      <c r="E276" s="1" t="n">
        <v>46282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Kyrkan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45672</v>
      </c>
      <c r="E277" s="1" t="n">
        <v>46282</v>
      </c>
      <c r="F277" t="inlineStr">
        <is>
          <t>SÖDERMANLANDS LÄN</t>
        </is>
      </c>
      <c r="G277" t="inlineStr">
        <is>
          <t>NYKÖPING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46030</v>
      </c>
      <c r="E278" s="1" t="n">
        <v>46282</v>
      </c>
      <c r="F278" t="inlineStr">
        <is>
          <t>SÖDERMANLANDS LÄN</t>
        </is>
      </c>
      <c r="G278" t="inlineStr">
        <is>
          <t>NYKÖPING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51244-2024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45603</v>
      </c>
      <c r="E279" s="1" t="n">
        <v>46282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Sveaskog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38846-2023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45163</v>
      </c>
      <c r="E280" s="1" t="n">
        <v>46282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Holmen skog AB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35178-2023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45145</v>
      </c>
      <c r="E281" s="1" t="n">
        <v>46282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Holmen skog AB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68401-2021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44529</v>
      </c>
      <c r="E282" s="1" t="n">
        <v>46282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Övriga Aktiebolag</t>
        </is>
      </c>
      <c r="I282" t="n">
        <v>16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52546-2023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45218</v>
      </c>
      <c r="E283" s="1" t="n">
        <v>46282</v>
      </c>
      <c r="F283" t="inlineStr">
        <is>
          <t>SÖDERMANLANDS LÄN</t>
        </is>
      </c>
      <c r="G283" t="inlineStr">
        <is>
          <t>NYKÖPING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12844-2025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45733</v>
      </c>
      <c r="E284" s="1" t="n">
        <v>46282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39310-2023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45166</v>
      </c>
      <c r="E285" s="1" t="n">
        <v>46282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Holmen skog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38034-2023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45160</v>
      </c>
      <c r="E286" s="1" t="n">
        <v>46282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Kommuner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27874-2025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45817</v>
      </c>
      <c r="E287" s="1" t="n">
        <v>46282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Holmen skog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27805-2025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45817</v>
      </c>
      <c r="E288" s="1" t="n">
        <v>46282</v>
      </c>
      <c r="F288" t="inlineStr">
        <is>
          <t>SÖDERMANLANDS LÄN</t>
        </is>
      </c>
      <c r="G288" t="inlineStr">
        <is>
          <t>NYKÖPING</t>
        </is>
      </c>
      <c r="H288" t="inlineStr">
        <is>
          <t>Holmen skog AB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27947-2025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45817</v>
      </c>
      <c r="E289" s="1" t="n">
        <v>46282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Holmen skog AB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16981-2023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45033</v>
      </c>
      <c r="E290" s="1" t="n">
        <v>46282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Holmen skog AB</t>
        </is>
      </c>
      <c r="I290" t="n">
        <v>16.5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53335-2023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45229</v>
      </c>
      <c r="E291" s="1" t="n">
        <v>46282</v>
      </c>
      <c r="F291" t="inlineStr">
        <is>
          <t>SÖDERMANLANDS LÄN</t>
        </is>
      </c>
      <c r="G291" t="inlineStr">
        <is>
          <t>NYKÖPING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39068-2025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45888</v>
      </c>
      <c r="E292" s="1" t="n">
        <v>46282</v>
      </c>
      <c r="F292" t="inlineStr">
        <is>
          <t>SÖDERMANLANDS LÄN</t>
        </is>
      </c>
      <c r="G292" t="inlineStr">
        <is>
          <t>NYKÖPING</t>
        </is>
      </c>
      <c r="I292" t="n">
        <v>15.2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28646-2025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45819</v>
      </c>
      <c r="E293" s="1" t="n">
        <v>46282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Sveaskog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35361-2025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45854</v>
      </c>
      <c r="E294" s="1" t="n">
        <v>46282</v>
      </c>
      <c r="F294" t="inlineStr">
        <is>
          <t>SÖDERMANLANDS LÄN</t>
        </is>
      </c>
      <c r="G294" t="inlineStr">
        <is>
          <t>NYKÖPING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15056-2025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45743</v>
      </c>
      <c r="E295" s="1" t="n">
        <v>46282</v>
      </c>
      <c r="F295" t="inlineStr">
        <is>
          <t>SÖDERMANLANDS LÄN</t>
        </is>
      </c>
      <c r="G295" t="inlineStr">
        <is>
          <t>NYKÖPING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7223-2023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44970</v>
      </c>
      <c r="E296" s="1" t="n">
        <v>46282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4150-2025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45685</v>
      </c>
      <c r="E297" s="1" t="n">
        <v>46282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Holmen skog AB</t>
        </is>
      </c>
      <c r="I297" t="n">
        <v>9.800000000000001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63882-2023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45278</v>
      </c>
      <c r="E298" s="1" t="n">
        <v>46282</v>
      </c>
      <c r="F298" t="inlineStr">
        <is>
          <t>SÖDERMANLANDS LÄN</t>
        </is>
      </c>
      <c r="G298" t="inlineStr">
        <is>
          <t>NYKÖPING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1686-2026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46034</v>
      </c>
      <c r="E299" s="1" t="n">
        <v>46282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Holmen skog AB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31034-2025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45831</v>
      </c>
      <c r="E300" s="1" t="n">
        <v>46282</v>
      </c>
      <c r="F300" t="inlineStr">
        <is>
          <t>SÖDERMANLANDS LÄN</t>
        </is>
      </c>
      <c r="G300" t="inlineStr">
        <is>
          <t>NYKÖPING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33271-2024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45518</v>
      </c>
      <c r="E301" s="1" t="n">
        <v>46282</v>
      </c>
      <c r="F301" t="inlineStr">
        <is>
          <t>SÖDERMANLANDS LÄN</t>
        </is>
      </c>
      <c r="G301" t="inlineStr">
        <is>
          <t>NYKÖPING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30706-2025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46282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Sveaskog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59159-2022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44896</v>
      </c>
      <c r="E303" s="1" t="n">
        <v>46282</v>
      </c>
      <c r="F303" t="inlineStr">
        <is>
          <t>SÖDERMANLANDS LÄN</t>
        </is>
      </c>
      <c r="G303" t="inlineStr">
        <is>
          <t>NYKÖPING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33683-2023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45132</v>
      </c>
      <c r="E304" s="1" t="n">
        <v>46282</v>
      </c>
      <c r="F304" t="inlineStr">
        <is>
          <t>SÖDERMANLANDS LÄN</t>
        </is>
      </c>
      <c r="G304" t="inlineStr">
        <is>
          <t>NYKÖPING</t>
        </is>
      </c>
      <c r="H304" t="inlineStr">
        <is>
          <t>Holmen skog AB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42749-2025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46282</v>
      </c>
      <c r="F305" t="inlineStr">
        <is>
          <t>SÖDERMANLANDS LÄN</t>
        </is>
      </c>
      <c r="G305" t="inlineStr">
        <is>
          <t>NYKÖPING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2425-2026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46036</v>
      </c>
      <c r="E306" s="1" t="n">
        <v>46282</v>
      </c>
      <c r="F306" t="inlineStr">
        <is>
          <t>SÖDERMANLANDS LÄN</t>
        </is>
      </c>
      <c r="G306" t="inlineStr">
        <is>
          <t>NYKÖPING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38735-2023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45161</v>
      </c>
      <c r="E307" s="1" t="n">
        <v>46282</v>
      </c>
      <c r="F307" t="inlineStr">
        <is>
          <t>SÖDERMANLANDS LÄN</t>
        </is>
      </c>
      <c r="G307" t="inlineStr">
        <is>
          <t>NYKÖPING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31928-2025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45834</v>
      </c>
      <c r="E308" s="1" t="n">
        <v>46282</v>
      </c>
      <c r="F308" t="inlineStr">
        <is>
          <t>SÖDERMANLANDS LÄN</t>
        </is>
      </c>
      <c r="G308" t="inlineStr">
        <is>
          <t>NYKÖPING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31922-2025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45834</v>
      </c>
      <c r="E309" s="1" t="n">
        <v>46282</v>
      </c>
      <c r="F309" t="inlineStr">
        <is>
          <t>SÖDERMANLANDS LÄN</t>
        </is>
      </c>
      <c r="G309" t="inlineStr">
        <is>
          <t>NYKÖPING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42246-2022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44830</v>
      </c>
      <c r="E310" s="1" t="n">
        <v>46282</v>
      </c>
      <c r="F310" t="inlineStr">
        <is>
          <t>SÖDERMANLANDS LÄN</t>
        </is>
      </c>
      <c r="G310" t="inlineStr">
        <is>
          <t>NYKÖPING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31923-2025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45834</v>
      </c>
      <c r="E311" s="1" t="n">
        <v>46282</v>
      </c>
      <c r="F311" t="inlineStr">
        <is>
          <t>SÖDERMANLANDS LÄN</t>
        </is>
      </c>
      <c r="G311" t="inlineStr">
        <is>
          <t>NYKÖPING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31929-2025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45834</v>
      </c>
      <c r="E312" s="1" t="n">
        <v>46282</v>
      </c>
      <c r="F312" t="inlineStr">
        <is>
          <t>SÖDERMANLANDS LÄN</t>
        </is>
      </c>
      <c r="G312" t="inlineStr">
        <is>
          <t>NYKÖPING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52068-2023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45216</v>
      </c>
      <c r="E313" s="1" t="n">
        <v>46282</v>
      </c>
      <c r="F313" t="inlineStr">
        <is>
          <t>SÖDERMANLANDS LÄN</t>
        </is>
      </c>
      <c r="G313" t="inlineStr">
        <is>
          <t>NYKÖPING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9167-2023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44980</v>
      </c>
      <c r="E314" s="1" t="n">
        <v>46282</v>
      </c>
      <c r="F314" t="inlineStr">
        <is>
          <t>SÖDERMANLANDS LÄN</t>
        </is>
      </c>
      <c r="G314" t="inlineStr">
        <is>
          <t>NYKÖPING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9200-2023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44976</v>
      </c>
      <c r="E315" s="1" t="n">
        <v>46282</v>
      </c>
      <c r="F315" t="inlineStr">
        <is>
          <t>SÖDERMANLANDS LÄN</t>
        </is>
      </c>
      <c r="G315" t="inlineStr">
        <is>
          <t>NYKÖPING</t>
        </is>
      </c>
      <c r="I315" t="n">
        <v>11.1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50776-2022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44867</v>
      </c>
      <c r="E316" s="1" t="n">
        <v>46282</v>
      </c>
      <c r="F316" t="inlineStr">
        <is>
          <t>SÖDERMANLANDS LÄN</t>
        </is>
      </c>
      <c r="G316" t="inlineStr">
        <is>
          <t>NYKÖPING</t>
        </is>
      </c>
      <c r="I316" t="n">
        <v>13.4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2401-2026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46036</v>
      </c>
      <c r="E317" s="1" t="n">
        <v>46282</v>
      </c>
      <c r="F317" t="inlineStr">
        <is>
          <t>SÖDERMANLANDS LÄN</t>
        </is>
      </c>
      <c r="G317" t="inlineStr">
        <is>
          <t>NYKÖPING</t>
        </is>
      </c>
      <c r="I317" t="n">
        <v>10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44236-2025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45915</v>
      </c>
      <c r="E318" s="1" t="n">
        <v>46282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Holmen skog AB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33382-2025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45841</v>
      </c>
      <c r="E319" s="1" t="n">
        <v>46282</v>
      </c>
      <c r="F319" t="inlineStr">
        <is>
          <t>SÖDERMANLANDS LÄN</t>
        </is>
      </c>
      <c r="G319" t="inlineStr">
        <is>
          <t>NYKÖPING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38472-2023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45162</v>
      </c>
      <c r="E320" s="1" t="n">
        <v>46282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Kommuner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18604-2023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45043</v>
      </c>
      <c r="E321" s="1" t="n">
        <v>46282</v>
      </c>
      <c r="F321" t="inlineStr">
        <is>
          <t>SÖDERMANLANDS LÄN</t>
        </is>
      </c>
      <c r="G321" t="inlineStr">
        <is>
          <t>NYKÖPING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45123-2025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45919</v>
      </c>
      <c r="E322" s="1" t="n">
        <v>46282</v>
      </c>
      <c r="F322" t="inlineStr">
        <is>
          <t>SÖDERMANLANDS LÄN</t>
        </is>
      </c>
      <c r="G322" t="inlineStr">
        <is>
          <t>NYKÖPING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33764-2025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45842</v>
      </c>
      <c r="E323" s="1" t="n">
        <v>46282</v>
      </c>
      <c r="F323" t="inlineStr">
        <is>
          <t>SÖDERMANLANDS LÄN</t>
        </is>
      </c>
      <c r="G323" t="inlineStr">
        <is>
          <t>NYKÖPING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33773-2025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45842</v>
      </c>
      <c r="E324" s="1" t="n">
        <v>46282</v>
      </c>
      <c r="F324" t="inlineStr">
        <is>
          <t>SÖDERMANLANDS LÄN</t>
        </is>
      </c>
      <c r="G324" t="inlineStr">
        <is>
          <t>NYKÖPING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4885-2024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45329</v>
      </c>
      <c r="E325" s="1" t="n">
        <v>46282</v>
      </c>
      <c r="F325" t="inlineStr">
        <is>
          <t>SÖDERMANLANDS LÄN</t>
        </is>
      </c>
      <c r="G325" t="inlineStr">
        <is>
          <t>NYKÖPING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33767-2025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45842</v>
      </c>
      <c r="E326" s="1" t="n">
        <v>46282</v>
      </c>
      <c r="F326" t="inlineStr">
        <is>
          <t>SÖDERMANLANDS LÄN</t>
        </is>
      </c>
      <c r="G326" t="inlineStr">
        <is>
          <t>NYKÖPING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34012-2025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45844</v>
      </c>
      <c r="E327" s="1" t="n">
        <v>46282</v>
      </c>
      <c r="F327" t="inlineStr">
        <is>
          <t>SÖDERMANLANDS LÄN</t>
        </is>
      </c>
      <c r="G327" t="inlineStr">
        <is>
          <t>NYKÖPING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9386-2024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45359</v>
      </c>
      <c r="E328" s="1" t="n">
        <v>46282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Holmen skog AB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33762-2025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45842</v>
      </c>
      <c r="E329" s="1" t="n">
        <v>46282</v>
      </c>
      <c r="F329" t="inlineStr">
        <is>
          <t>SÖDERMANLANDS LÄN</t>
        </is>
      </c>
      <c r="G329" t="inlineStr">
        <is>
          <t>NYKÖPING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60104-2023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45258</v>
      </c>
      <c r="E330" s="1" t="n">
        <v>46282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Övriga Aktiebolag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2223-2026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46036</v>
      </c>
      <c r="E331" s="1" t="n">
        <v>46282</v>
      </c>
      <c r="F331" t="inlineStr">
        <is>
          <t>SÖDERMANLANDS LÄN</t>
        </is>
      </c>
      <c r="G331" t="inlineStr">
        <is>
          <t>NYKÖPING</t>
        </is>
      </c>
      <c r="I331" t="n">
        <v>11.7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46036</v>
      </c>
      <c r="E332" s="1" t="n">
        <v>46282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Holmen skog AB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35419-2025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45855</v>
      </c>
      <c r="E333" s="1" t="n">
        <v>46282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13763-2025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45737</v>
      </c>
      <c r="E334" s="1" t="n">
        <v>46282</v>
      </c>
      <c r="F334" t="inlineStr">
        <is>
          <t>SÖDERMANLANDS LÄN</t>
        </is>
      </c>
      <c r="G334" t="inlineStr">
        <is>
          <t>NYKÖPING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64159-2021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44510</v>
      </c>
      <c r="E335" s="1" t="n">
        <v>46282</v>
      </c>
      <c r="F335" t="inlineStr">
        <is>
          <t>SÖDERMANLANDS LÄN</t>
        </is>
      </c>
      <c r="G335" t="inlineStr">
        <is>
          <t>NYKÖPING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17234-2022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44678</v>
      </c>
      <c r="E336" s="1" t="n">
        <v>46282</v>
      </c>
      <c r="F336" t="inlineStr">
        <is>
          <t>SÖDERMANLANDS LÄN</t>
        </is>
      </c>
      <c r="G336" t="inlineStr">
        <is>
          <t>NYKÖPING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38317-2022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44812</v>
      </c>
      <c r="E337" s="1" t="n">
        <v>46282</v>
      </c>
      <c r="F337" t="inlineStr">
        <is>
          <t>SÖDERMANLANDS LÄN</t>
        </is>
      </c>
      <c r="G337" t="inlineStr">
        <is>
          <t>NYKÖPING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12887-2025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45733</v>
      </c>
      <c r="E338" s="1" t="n">
        <v>46282</v>
      </c>
      <c r="F338" t="inlineStr">
        <is>
          <t>SÖDERMANLANDS LÄN</t>
        </is>
      </c>
      <c r="G338" t="inlineStr">
        <is>
          <t>NYKÖPING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13955-2023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45008</v>
      </c>
      <c r="E339" s="1" t="n">
        <v>46282</v>
      </c>
      <c r="F339" t="inlineStr">
        <is>
          <t>SÖDERMANLANDS LÄN</t>
        </is>
      </c>
      <c r="G339" t="inlineStr">
        <is>
          <t>NYKÖPING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35415-2025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45855</v>
      </c>
      <c r="E340" s="1" t="n">
        <v>46282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Holmen skog AB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2428-2022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44579</v>
      </c>
      <c r="E341" s="1" t="n">
        <v>46282</v>
      </c>
      <c r="F341" t="inlineStr">
        <is>
          <t>SÖDERMANLANDS LÄN</t>
        </is>
      </c>
      <c r="G341" t="inlineStr">
        <is>
          <t>NYKÖPING</t>
        </is>
      </c>
      <c r="I341" t="n">
        <v>10.8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35732-2025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45860</v>
      </c>
      <c r="E342" s="1" t="n">
        <v>46282</v>
      </c>
      <c r="F342" t="inlineStr">
        <is>
          <t>SÖDERMANLANDS LÄN</t>
        </is>
      </c>
      <c r="G342" t="inlineStr">
        <is>
          <t>NYKÖPING</t>
        </is>
      </c>
      <c r="H342" t="inlineStr">
        <is>
          <t>Holmen skog AB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35455-2025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45855</v>
      </c>
      <c r="E343" s="1" t="n">
        <v>46282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45705</v>
      </c>
      <c r="E344" s="1" t="n">
        <v>46282</v>
      </c>
      <c r="F344" t="inlineStr">
        <is>
          <t>SÖDERMANLANDS LÄN</t>
        </is>
      </c>
      <c r="G344" t="inlineStr">
        <is>
          <t>NYKÖPING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43306-2023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45183</v>
      </c>
      <c r="E345" s="1" t="n">
        <v>46282</v>
      </c>
      <c r="F345" t="inlineStr">
        <is>
          <t>SÖDERMANLANDS LÄN</t>
        </is>
      </c>
      <c r="G345" t="inlineStr">
        <is>
          <t>NYKÖPING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24447-2023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45082</v>
      </c>
      <c r="E346" s="1" t="n">
        <v>46282</v>
      </c>
      <c r="F346" t="inlineStr">
        <is>
          <t>SÖDERMANLANDS LÄN</t>
        </is>
      </c>
      <c r="G346" t="inlineStr">
        <is>
          <t>NYKÖPING</t>
        </is>
      </c>
      <c r="I346" t="n">
        <v>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3473-2026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46042</v>
      </c>
      <c r="E347" s="1" t="n">
        <v>46282</v>
      </c>
      <c r="F347" t="inlineStr">
        <is>
          <t>SÖDERMANLANDS LÄN</t>
        </is>
      </c>
      <c r="G347" t="inlineStr">
        <is>
          <t>NYKÖPING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35467-2025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45855</v>
      </c>
      <c r="E348" s="1" t="n">
        <v>46282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2687-2023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44944</v>
      </c>
      <c r="E349" s="1" t="n">
        <v>46282</v>
      </c>
      <c r="F349" t="inlineStr">
        <is>
          <t>SÖDERMANLANDS LÄN</t>
        </is>
      </c>
      <c r="G349" t="inlineStr">
        <is>
          <t>NYKÖPING</t>
        </is>
      </c>
      <c r="I349" t="n">
        <v>14.9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46041</v>
      </c>
      <c r="E350" s="1" t="n">
        <v>46282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46041</v>
      </c>
      <c r="E351" s="1" t="n">
        <v>46282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Holmen skog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12529-2024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45379</v>
      </c>
      <c r="E352" s="1" t="n">
        <v>46282</v>
      </c>
      <c r="F352" t="inlineStr">
        <is>
          <t>SÖDERMANLANDS LÄN</t>
        </is>
      </c>
      <c r="G352" t="inlineStr">
        <is>
          <t>NYKÖPING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37941-2022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44810</v>
      </c>
      <c r="E353" s="1" t="n">
        <v>46282</v>
      </c>
      <c r="F353" t="inlineStr">
        <is>
          <t>SÖDERMANLANDS LÄN</t>
        </is>
      </c>
      <c r="G353" t="inlineStr">
        <is>
          <t>NYKÖPING</t>
        </is>
      </c>
      <c r="I353" t="n">
        <v>13.5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49613-2025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45938</v>
      </c>
      <c r="E354" s="1" t="n">
        <v>46282</v>
      </c>
      <c r="F354" t="inlineStr">
        <is>
          <t>SÖDERMANLANDS LÄN</t>
        </is>
      </c>
      <c r="G354" t="inlineStr">
        <is>
          <t>NYKÖPING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5210-2026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46049</v>
      </c>
      <c r="E355" s="1" t="n">
        <v>46282</v>
      </c>
      <c r="F355" t="inlineStr">
        <is>
          <t>SÖDERMANLANDS LÄN</t>
        </is>
      </c>
      <c r="G355" t="inlineStr">
        <is>
          <t>NYKÖPING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9842-2022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44620</v>
      </c>
      <c r="E356" s="1" t="n">
        <v>46282</v>
      </c>
      <c r="F356" t="inlineStr">
        <is>
          <t>SÖDERMANLANDS LÄN</t>
        </is>
      </c>
      <c r="G356" t="inlineStr">
        <is>
          <t>NYKÖPING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50340-2025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45944</v>
      </c>
      <c r="E357" s="1" t="n">
        <v>46282</v>
      </c>
      <c r="F357" t="inlineStr">
        <is>
          <t>SÖDERMANLANDS LÄN</t>
        </is>
      </c>
      <c r="G357" t="inlineStr">
        <is>
          <t>NYKÖPING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50874-2025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45946</v>
      </c>
      <c r="E358" s="1" t="n">
        <v>46282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Holmen skog AB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5202-2026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46049</v>
      </c>
      <c r="E359" s="1" t="n">
        <v>46282</v>
      </c>
      <c r="F359" t="inlineStr">
        <is>
          <t>SÖDERMANLANDS LÄN</t>
        </is>
      </c>
      <c r="G359" t="inlineStr">
        <is>
          <t>NYKÖPING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12800-2023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45001</v>
      </c>
      <c r="E360" s="1" t="n">
        <v>46282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Kyrkan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12538-2025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45730</v>
      </c>
      <c r="E361" s="1" t="n">
        <v>46282</v>
      </c>
      <c r="F361" t="inlineStr">
        <is>
          <t>SÖDERMANLANDS LÄN</t>
        </is>
      </c>
      <c r="G361" t="inlineStr">
        <is>
          <t>NYKÖPING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37907-2022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44811</v>
      </c>
      <c r="E362" s="1" t="n">
        <v>46282</v>
      </c>
      <c r="F362" t="inlineStr">
        <is>
          <t>SÖDERMANLANDS LÄN</t>
        </is>
      </c>
      <c r="G362" t="inlineStr">
        <is>
          <t>NYKÖPING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37911-2022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44810</v>
      </c>
      <c r="E363" s="1" t="n">
        <v>46282</v>
      </c>
      <c r="F363" t="inlineStr">
        <is>
          <t>SÖDERMANLANDS LÄN</t>
        </is>
      </c>
      <c r="G363" t="inlineStr">
        <is>
          <t>NYKÖPING</t>
        </is>
      </c>
      <c r="I363" t="n">
        <v>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5205-2026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46049</v>
      </c>
      <c r="E364" s="1" t="n">
        <v>46282</v>
      </c>
      <c r="F364" t="inlineStr">
        <is>
          <t>SÖDERMANLANDS LÄN</t>
        </is>
      </c>
      <c r="G364" t="inlineStr">
        <is>
          <t>NYKÖPING</t>
        </is>
      </c>
      <c r="I364" t="n">
        <v>7.5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5198-2026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46049</v>
      </c>
      <c r="E365" s="1" t="n">
        <v>46282</v>
      </c>
      <c r="F365" t="inlineStr">
        <is>
          <t>SÖDERMANLANDS LÄN</t>
        </is>
      </c>
      <c r="G365" t="inlineStr">
        <is>
          <t>NYKÖPING</t>
        </is>
      </c>
      <c r="I365" t="n">
        <v>9.5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5206-2026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46049</v>
      </c>
      <c r="E366" s="1" t="n">
        <v>46282</v>
      </c>
      <c r="F366" t="inlineStr">
        <is>
          <t>SÖDERMANLANDS LÄN</t>
        </is>
      </c>
      <c r="G366" t="inlineStr">
        <is>
          <t>NYKÖPING</t>
        </is>
      </c>
      <c r="I366" t="n">
        <v>6.9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50691-2025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45945</v>
      </c>
      <c r="E367" s="1" t="n">
        <v>46282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Kyrkan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50688-2025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45945</v>
      </c>
      <c r="E368" s="1" t="n">
        <v>46282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Kyrkan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31392-2022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44774</v>
      </c>
      <c r="E369" s="1" t="n">
        <v>46282</v>
      </c>
      <c r="F369" t="inlineStr">
        <is>
          <t>SÖDERMANLANDS LÄN</t>
        </is>
      </c>
      <c r="G369" t="inlineStr">
        <is>
          <t>NYKÖPING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41353-2025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45900</v>
      </c>
      <c r="E370" s="1" t="n">
        <v>46282</v>
      </c>
      <c r="F370" t="inlineStr">
        <is>
          <t>SÖDERMANLANDS LÄN</t>
        </is>
      </c>
      <c r="G370" t="inlineStr">
        <is>
          <t>NYKÖPING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5387-2026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46050</v>
      </c>
      <c r="E371" s="1" t="n">
        <v>46282</v>
      </c>
      <c r="F371" t="inlineStr">
        <is>
          <t>SÖDERMANLANDS LÄN</t>
        </is>
      </c>
      <c r="G371" t="inlineStr">
        <is>
          <t>NYKÖPING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39120-2022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44817</v>
      </c>
      <c r="E372" s="1" t="n">
        <v>46282</v>
      </c>
      <c r="F372" t="inlineStr">
        <is>
          <t>SÖDERMANLANDS LÄN</t>
        </is>
      </c>
      <c r="G372" t="inlineStr">
        <is>
          <t>NYKÖPING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42249-2022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44830</v>
      </c>
      <c r="E373" s="1" t="n">
        <v>46282</v>
      </c>
      <c r="F373" t="inlineStr">
        <is>
          <t>SÖDERMANLANDS LÄN</t>
        </is>
      </c>
      <c r="G373" t="inlineStr">
        <is>
          <t>NYKÖPING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6392-2023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44965</v>
      </c>
      <c r="E374" s="1" t="n">
        <v>46282</v>
      </c>
      <c r="F374" t="inlineStr">
        <is>
          <t>SÖDERMANLANDS LÄN</t>
        </is>
      </c>
      <c r="G374" t="inlineStr">
        <is>
          <t>NYKÖPING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28705-2025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45820</v>
      </c>
      <c r="E375" s="1" t="n">
        <v>46282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Holmen skog AB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52572-2025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45954</v>
      </c>
      <c r="E376" s="1" t="n">
        <v>46282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52585-2025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45954</v>
      </c>
      <c r="E377" s="1" t="n">
        <v>46282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Holmen skog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24504-2025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45798</v>
      </c>
      <c r="E378" s="1" t="n">
        <v>46282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Holmen skog AB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18827-2022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44690</v>
      </c>
      <c r="E379" s="1" t="n">
        <v>46282</v>
      </c>
      <c r="F379" t="inlineStr">
        <is>
          <t>SÖDERMANLANDS LÄN</t>
        </is>
      </c>
      <c r="G379" t="inlineStr">
        <is>
          <t>NYKÖPING</t>
        </is>
      </c>
      <c r="I379" t="n">
        <v>7.9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7303-2025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45702</v>
      </c>
      <c r="E380" s="1" t="n">
        <v>46282</v>
      </c>
      <c r="F380" t="inlineStr">
        <is>
          <t>SÖDERMANLANDS LÄN</t>
        </is>
      </c>
      <c r="G380" t="inlineStr">
        <is>
          <t>NYKÖPING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12139-2025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45729</v>
      </c>
      <c r="E381" s="1" t="n">
        <v>46282</v>
      </c>
      <c r="F381" t="inlineStr">
        <is>
          <t>SÖDERMANLANDS LÄN</t>
        </is>
      </c>
      <c r="G381" t="inlineStr">
        <is>
          <t>NYKÖPING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12140-2025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45729</v>
      </c>
      <c r="E382" s="1" t="n">
        <v>46282</v>
      </c>
      <c r="F382" t="inlineStr">
        <is>
          <t>SÖDERMANLANDS LÄN</t>
        </is>
      </c>
      <c r="G382" t="inlineStr">
        <is>
          <t>NYKÖPING</t>
        </is>
      </c>
      <c r="I382" t="n">
        <v>6.3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58650-2025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45986</v>
      </c>
      <c r="E383" s="1" t="n">
        <v>46282</v>
      </c>
      <c r="F383" t="inlineStr">
        <is>
          <t>SÖDERMANLANDS LÄN</t>
        </is>
      </c>
      <c r="G383" t="inlineStr">
        <is>
          <t>NYKÖPING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56268-2022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44890</v>
      </c>
      <c r="E384" s="1" t="n">
        <v>46282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Övriga Aktiebolag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58653-2025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45986</v>
      </c>
      <c r="E385" s="1" t="n">
        <v>46282</v>
      </c>
      <c r="F385" t="inlineStr">
        <is>
          <t>SÖDERMANLANDS LÄN</t>
        </is>
      </c>
      <c r="G385" t="inlineStr">
        <is>
          <t>NYKÖPING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43952-2022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44838</v>
      </c>
      <c r="E386" s="1" t="n">
        <v>46282</v>
      </c>
      <c r="F386" t="inlineStr">
        <is>
          <t>SÖDERMANLANDS LÄN</t>
        </is>
      </c>
      <c r="G386" t="inlineStr">
        <is>
          <t>NYKÖPING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55311-2025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45970</v>
      </c>
      <c r="E387" s="1" t="n">
        <v>46282</v>
      </c>
      <c r="F387" t="inlineStr">
        <is>
          <t>SÖDERMANLANDS LÄN</t>
        </is>
      </c>
      <c r="G387" t="inlineStr">
        <is>
          <t>NYKÖPING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44820-2022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44839</v>
      </c>
      <c r="E388" s="1" t="n">
        <v>46282</v>
      </c>
      <c r="F388" t="inlineStr">
        <is>
          <t>SÖDERMANLANDS LÄN</t>
        </is>
      </c>
      <c r="G388" t="inlineStr">
        <is>
          <t>NYKÖPING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44908-2022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44840</v>
      </c>
      <c r="E389" s="1" t="n">
        <v>46282</v>
      </c>
      <c r="F389" t="inlineStr">
        <is>
          <t>SÖDERMANLANDS LÄN</t>
        </is>
      </c>
      <c r="G389" t="inlineStr">
        <is>
          <t>NYKÖPING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21925-2022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44711</v>
      </c>
      <c r="E390" s="1" t="n">
        <v>46282</v>
      </c>
      <c r="F390" t="inlineStr">
        <is>
          <t>SÖDERMANLANDS LÄN</t>
        </is>
      </c>
      <c r="G390" t="inlineStr">
        <is>
          <t>NYKÖPING</t>
        </is>
      </c>
      <c r="I390" t="n">
        <v>5.7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6348-2023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44965</v>
      </c>
      <c r="E391" s="1" t="n">
        <v>46282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Kyrkan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10283-2024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45365</v>
      </c>
      <c r="E392" s="1" t="n">
        <v>46282</v>
      </c>
      <c r="F392" t="inlineStr">
        <is>
          <t>SÖDERMANLANDS LÄN</t>
        </is>
      </c>
      <c r="G392" t="inlineStr">
        <is>
          <t>NYKÖPING</t>
        </is>
      </c>
      <c r="I392" t="n">
        <v>6.7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6976-2023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44967</v>
      </c>
      <c r="E393" s="1" t="n">
        <v>46282</v>
      </c>
      <c r="F393" t="inlineStr">
        <is>
          <t>SÖDERMANLANDS LÄN</t>
        </is>
      </c>
      <c r="G393" t="inlineStr">
        <is>
          <t>NYKÖPING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58676-2025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45986</v>
      </c>
      <c r="E394" s="1" t="n">
        <v>46282</v>
      </c>
      <c r="F394" t="inlineStr">
        <is>
          <t>SÖDERMANLANDS LÄN</t>
        </is>
      </c>
      <c r="G394" t="inlineStr">
        <is>
          <t>NYKÖPING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56128-2025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46282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Holmen skog AB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9434-2026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46071</v>
      </c>
      <c r="E396" s="1" t="n">
        <v>46282</v>
      </c>
      <c r="F396" t="inlineStr">
        <is>
          <t>SÖDERMANLANDS LÄN</t>
        </is>
      </c>
      <c r="G396" t="inlineStr">
        <is>
          <t>NYKÖPING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57074-2025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45979</v>
      </c>
      <c r="E397" s="1" t="n">
        <v>46282</v>
      </c>
      <c r="F397" t="inlineStr">
        <is>
          <t>SÖDERMANLANDS LÄN</t>
        </is>
      </c>
      <c r="G397" t="inlineStr">
        <is>
          <t>NYKÖPING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9468-2026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46071</v>
      </c>
      <c r="E398" s="1" t="n">
        <v>46282</v>
      </c>
      <c r="F398" t="inlineStr">
        <is>
          <t>SÖDERMANLANDS LÄN</t>
        </is>
      </c>
      <c r="G398" t="inlineStr">
        <is>
          <t>NYKÖPING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9453-2026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46071</v>
      </c>
      <c r="E399" s="1" t="n">
        <v>46282</v>
      </c>
      <c r="F399" t="inlineStr">
        <is>
          <t>SÖDERMANLANDS LÄN</t>
        </is>
      </c>
      <c r="G399" t="inlineStr">
        <is>
          <t>NYKÖPING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50158-2022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44865</v>
      </c>
      <c r="E400" s="1" t="n">
        <v>46282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57324-2025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45980</v>
      </c>
      <c r="E401" s="1" t="n">
        <v>46282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Holmen skog AB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5642-2023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44960</v>
      </c>
      <c r="E402" s="1" t="n">
        <v>46282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Holmen skog AB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57937-2025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45982</v>
      </c>
      <c r="E403" s="1" t="n">
        <v>46282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Holmen skog AB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34218-2024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45524</v>
      </c>
      <c r="E404" s="1" t="n">
        <v>46282</v>
      </c>
      <c r="F404" t="inlineStr">
        <is>
          <t>SÖDERMANLANDS LÄN</t>
        </is>
      </c>
      <c r="G404" t="inlineStr">
        <is>
          <t>NYKÖPING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58786-2025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45986</v>
      </c>
      <c r="E405" s="1" t="n">
        <v>46282</v>
      </c>
      <c r="F405" t="inlineStr">
        <is>
          <t>SÖDERMANLANDS LÄN</t>
        </is>
      </c>
      <c r="G405" t="inlineStr">
        <is>
          <t>NYKÖPING</t>
        </is>
      </c>
      <c r="H405" t="inlineStr">
        <is>
          <t>Sveaskog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47370-2022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44853</v>
      </c>
      <c r="E406" s="1" t="n">
        <v>46282</v>
      </c>
      <c r="F406" t="inlineStr">
        <is>
          <t>SÖDERMANLANDS LÄN</t>
        </is>
      </c>
      <c r="G406" t="inlineStr">
        <is>
          <t>NYKÖPING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53738-2022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44880</v>
      </c>
      <c r="E407" s="1" t="n">
        <v>46282</v>
      </c>
      <c r="F407" t="inlineStr">
        <is>
          <t>SÖDERMANLANDS LÄN</t>
        </is>
      </c>
      <c r="G407" t="inlineStr">
        <is>
          <t>NYKÖPING</t>
        </is>
      </c>
      <c r="H407" t="inlineStr">
        <is>
          <t>Övriga Aktiebolag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59906-2025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45993</v>
      </c>
      <c r="E408" s="1" t="n">
        <v>46282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Holmen skog AB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59998-2025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45993</v>
      </c>
      <c r="E409" s="1" t="n">
        <v>46282</v>
      </c>
      <c r="F409" t="inlineStr">
        <is>
          <t>SÖDERMANLANDS LÄN</t>
        </is>
      </c>
      <c r="G409" t="inlineStr">
        <is>
          <t>NYKÖPING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39321-2023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45166</v>
      </c>
      <c r="E410" s="1" t="n">
        <v>46282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8710-2024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45356</v>
      </c>
      <c r="E411" s="1" t="n">
        <v>46282</v>
      </c>
      <c r="F411" t="inlineStr">
        <is>
          <t>SÖDERMANLANDS LÄN</t>
        </is>
      </c>
      <c r="G411" t="inlineStr">
        <is>
          <t>NYKÖPING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59991-2025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45993</v>
      </c>
      <c r="E412" s="1" t="n">
        <v>46282</v>
      </c>
      <c r="F412" t="inlineStr">
        <is>
          <t>SÖDERMANLANDS LÄN</t>
        </is>
      </c>
      <c r="G412" t="inlineStr">
        <is>
          <t>NYKÖPING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59992-2025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45993</v>
      </c>
      <c r="E413" s="1" t="n">
        <v>46282</v>
      </c>
      <c r="F413" t="inlineStr">
        <is>
          <t>SÖDERMANLANDS LÄN</t>
        </is>
      </c>
      <c r="G413" t="inlineStr">
        <is>
          <t>NYKÖPING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28973-2023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45096</v>
      </c>
      <c r="E414" s="1" t="n">
        <v>46282</v>
      </c>
      <c r="F414" t="inlineStr">
        <is>
          <t>SÖDERMANLANDS LÄN</t>
        </is>
      </c>
      <c r="G414" t="inlineStr">
        <is>
          <t>NYKÖPING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70092-2021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44536</v>
      </c>
      <c r="E415" s="1" t="n">
        <v>46282</v>
      </c>
      <c r="F415" t="inlineStr">
        <is>
          <t>SÖDERMANLANDS LÄN</t>
        </is>
      </c>
      <c r="G415" t="inlineStr">
        <is>
          <t>NYKÖPING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59917-2025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45993</v>
      </c>
      <c r="E416" s="1" t="n">
        <v>46282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Holmen skog AB</t>
        </is>
      </c>
      <c r="I416" t="n">
        <v>7.2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59995-2025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45993</v>
      </c>
      <c r="E417" s="1" t="n">
        <v>46282</v>
      </c>
      <c r="F417" t="inlineStr">
        <is>
          <t>SÖDERMANLANDS LÄN</t>
        </is>
      </c>
      <c r="G417" t="inlineStr">
        <is>
          <t>NYKÖPING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30907-2022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44767</v>
      </c>
      <c r="E418" s="1" t="n">
        <v>46282</v>
      </c>
      <c r="F418" t="inlineStr">
        <is>
          <t>SÖDERMANLANDS LÄN</t>
        </is>
      </c>
      <c r="G418" t="inlineStr">
        <is>
          <t>NYKÖPING</t>
        </is>
      </c>
      <c r="I418" t="n">
        <v>9.1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43880-2023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45187</v>
      </c>
      <c r="E419" s="1" t="n">
        <v>46282</v>
      </c>
      <c r="F419" t="inlineStr">
        <is>
          <t>SÖDERMANLANDS LÄN</t>
        </is>
      </c>
      <c r="G419" t="inlineStr">
        <is>
          <t>NYKÖPING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16906-2022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44676</v>
      </c>
      <c r="E420" s="1" t="n">
        <v>46282</v>
      </c>
      <c r="F420" t="inlineStr">
        <is>
          <t>SÖDERMANLANDS LÄN</t>
        </is>
      </c>
      <c r="G420" t="inlineStr">
        <is>
          <t>NYKÖPING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10955-2024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45370</v>
      </c>
      <c r="E421" s="1" t="n">
        <v>46282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Kommuner</t>
        </is>
      </c>
      <c r="I421" t="n">
        <v>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32836-2022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44784</v>
      </c>
      <c r="E422" s="1" t="n">
        <v>46282</v>
      </c>
      <c r="F422" t="inlineStr">
        <is>
          <t>SÖDERMANLANDS LÄN</t>
        </is>
      </c>
      <c r="G422" t="inlineStr">
        <is>
          <t>NYKÖPING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58493-2025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45985</v>
      </c>
      <c r="E423" s="1" t="n">
        <v>46282</v>
      </c>
      <c r="F423" t="inlineStr">
        <is>
          <t>SÖDERMANLANDS LÄN</t>
        </is>
      </c>
      <c r="G423" t="inlineStr">
        <is>
          <t>NYKÖPING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61253-2025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45999</v>
      </c>
      <c r="E424" s="1" t="n">
        <v>46282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Allmännings- och besparingsskogar</t>
        </is>
      </c>
      <c r="I424" t="n">
        <v>13.5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73877-2021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44553</v>
      </c>
      <c r="E425" s="1" t="n">
        <v>46282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Holmen skog AB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61254-2025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45999</v>
      </c>
      <c r="E426" s="1" t="n">
        <v>46282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Allmännings- och besparingsskogar</t>
        </is>
      </c>
      <c r="I426" t="n">
        <v>10.6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1820-2023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44938</v>
      </c>
      <c r="E427" s="1" t="n">
        <v>46282</v>
      </c>
      <c r="F427" t="inlineStr">
        <is>
          <t>SÖDERMANLANDS LÄN</t>
        </is>
      </c>
      <c r="G427" t="inlineStr">
        <is>
          <t>NYKÖPING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61357-2025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46001</v>
      </c>
      <c r="E428" s="1" t="n">
        <v>46282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Holmen skog AB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54183-2022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44881</v>
      </c>
      <c r="E429" s="1" t="n">
        <v>46282</v>
      </c>
      <c r="F429" t="inlineStr">
        <is>
          <t>SÖDERMANLANDS LÄN</t>
        </is>
      </c>
      <c r="G429" t="inlineStr">
        <is>
          <t>NYKÖPING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41099-2022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44825</v>
      </c>
      <c r="E430" s="1" t="n">
        <v>46282</v>
      </c>
      <c r="F430" t="inlineStr">
        <is>
          <t>SÖDERMANLANDS LÄN</t>
        </is>
      </c>
      <c r="G430" t="inlineStr">
        <is>
          <t>NYKÖPING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10687-2023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44988</v>
      </c>
      <c r="E431" s="1" t="n">
        <v>46282</v>
      </c>
      <c r="F431" t="inlineStr">
        <is>
          <t>SÖDERMANLANDS LÄN</t>
        </is>
      </c>
      <c r="G431" t="inlineStr">
        <is>
          <t>NYKÖPING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62323-2025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46003</v>
      </c>
      <c r="E432" s="1" t="n">
        <v>46282</v>
      </c>
      <c r="F432" t="inlineStr">
        <is>
          <t>SÖDERMANLANDS LÄN</t>
        </is>
      </c>
      <c r="G432" t="inlineStr">
        <is>
          <t>NYKÖPING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20798-2023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45058</v>
      </c>
      <c r="E433" s="1" t="n">
        <v>46282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Holmen skog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62517-2025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46007</v>
      </c>
      <c r="E434" s="1" t="n">
        <v>46282</v>
      </c>
      <c r="F434" t="inlineStr">
        <is>
          <t>SÖDERMANLANDS LÄN</t>
        </is>
      </c>
      <c r="G434" t="inlineStr">
        <is>
          <t>NYKÖPING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62492-2025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46007</v>
      </c>
      <c r="E435" s="1" t="n">
        <v>46282</v>
      </c>
      <c r="F435" t="inlineStr">
        <is>
          <t>SÖDERMANLANDS LÄN</t>
        </is>
      </c>
      <c r="G435" t="inlineStr">
        <is>
          <t>NYKÖPING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51880-2023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45216</v>
      </c>
      <c r="E436" s="1" t="n">
        <v>46282</v>
      </c>
      <c r="F436" t="inlineStr">
        <is>
          <t>SÖDERMANLANDS LÄN</t>
        </is>
      </c>
      <c r="G436" t="inlineStr">
        <is>
          <t>NYKÖPING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62115-2025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46006</v>
      </c>
      <c r="E437" s="1" t="n">
        <v>46282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Holmen skog AB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62113-2025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46006</v>
      </c>
      <c r="E438" s="1" t="n">
        <v>46282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Holmen skog AB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7496-2022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44607</v>
      </c>
      <c r="E439" s="1" t="n">
        <v>46282</v>
      </c>
      <c r="F439" t="inlineStr">
        <is>
          <t>SÖDERMANLANDS LÄN</t>
        </is>
      </c>
      <c r="G439" t="inlineStr">
        <is>
          <t>NYKÖPING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62917-2025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46009</v>
      </c>
      <c r="E440" s="1" t="n">
        <v>46282</v>
      </c>
      <c r="F440" t="inlineStr">
        <is>
          <t>SÖDERMANLANDS LÄN</t>
        </is>
      </c>
      <c r="G440" t="inlineStr">
        <is>
          <t>NYKÖPING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6125-2023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44964</v>
      </c>
      <c r="E441" s="1" t="n">
        <v>46282</v>
      </c>
      <c r="F441" t="inlineStr">
        <is>
          <t>SÖDERMANLANDS LÄN</t>
        </is>
      </c>
      <c r="G441" t="inlineStr">
        <is>
          <t>NYKÖPING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11978-2023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44995</v>
      </c>
      <c r="E442" s="1" t="n">
        <v>46282</v>
      </c>
      <c r="F442" t="inlineStr">
        <is>
          <t>SÖDERMANLANDS LÄN</t>
        </is>
      </c>
      <c r="G442" t="inlineStr">
        <is>
          <t>NYKÖPING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44964</v>
      </c>
      <c r="E443" s="1" t="n">
        <v>46282</v>
      </c>
      <c r="F443" t="inlineStr">
        <is>
          <t>SÖDERMANLANDS LÄN</t>
        </is>
      </c>
      <c r="G443" t="inlineStr">
        <is>
          <t>NYKÖPING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40635-2023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45170</v>
      </c>
      <c r="E444" s="1" t="n">
        <v>46282</v>
      </c>
      <c r="F444" t="inlineStr">
        <is>
          <t>SÖDERMANLANDS LÄN</t>
        </is>
      </c>
      <c r="G444" t="inlineStr">
        <is>
          <t>NYKÖPING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63293-2025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46010</v>
      </c>
      <c r="E445" s="1" t="n">
        <v>46282</v>
      </c>
      <c r="F445" t="inlineStr">
        <is>
          <t>SÖDERMANLANDS LÄN</t>
        </is>
      </c>
      <c r="G445" t="inlineStr">
        <is>
          <t>NYKÖPING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11728-2022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44634</v>
      </c>
      <c r="E446" s="1" t="n">
        <v>46282</v>
      </c>
      <c r="F446" t="inlineStr">
        <is>
          <t>SÖDERMANLANDS LÄN</t>
        </is>
      </c>
      <c r="G446" t="inlineStr">
        <is>
          <t>NYKÖPING</t>
        </is>
      </c>
      <c r="I446" t="n">
        <v>11.4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63322-2025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46010</v>
      </c>
      <c r="E447" s="1" t="n">
        <v>46282</v>
      </c>
      <c r="F447" t="inlineStr">
        <is>
          <t>SÖDERMANLANDS LÄN</t>
        </is>
      </c>
      <c r="G447" t="inlineStr">
        <is>
          <t>NYKÖPING</t>
        </is>
      </c>
      <c r="I447" t="n">
        <v>21.2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63246-2025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46010</v>
      </c>
      <c r="E448" s="1" t="n">
        <v>46282</v>
      </c>
      <c r="F448" t="inlineStr">
        <is>
          <t>SÖDERMANLANDS LÄN</t>
        </is>
      </c>
      <c r="G448" t="inlineStr">
        <is>
          <t>NYKÖPING</t>
        </is>
      </c>
      <c r="I448" t="n">
        <v>7.9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23327-2023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45076</v>
      </c>
      <c r="E449" s="1" t="n">
        <v>46282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Övriga Aktiebolag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22972-2023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45072</v>
      </c>
      <c r="E450" s="1" t="n">
        <v>46282</v>
      </c>
      <c r="F450" t="inlineStr">
        <is>
          <t>SÖDERMANLANDS LÄN</t>
        </is>
      </c>
      <c r="G450" t="inlineStr">
        <is>
          <t>NYKÖPING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49223-2022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44858</v>
      </c>
      <c r="E451" s="1" t="n">
        <v>46282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Övriga statliga verk och myndigheter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13260-2026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46093</v>
      </c>
      <c r="E452" s="1" t="n">
        <v>46282</v>
      </c>
      <c r="F452" t="inlineStr">
        <is>
          <t>SÖDERMANLANDS LÄN</t>
        </is>
      </c>
      <c r="G452" t="inlineStr">
        <is>
          <t>NYKÖPING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13254-2026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46093</v>
      </c>
      <c r="E453" s="1" t="n">
        <v>46282</v>
      </c>
      <c r="F453" t="inlineStr">
        <is>
          <t>SÖDERMANLANDS LÄN</t>
        </is>
      </c>
      <c r="G453" t="inlineStr">
        <is>
          <t>NYKÖPING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14402-2026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46100</v>
      </c>
      <c r="E454" s="1" t="n">
        <v>46282</v>
      </c>
      <c r="F454" t="inlineStr">
        <is>
          <t>SÖDERMANLANDS LÄN</t>
        </is>
      </c>
      <c r="G454" t="inlineStr">
        <is>
          <t>NYKÖPING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8006-2024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45350</v>
      </c>
      <c r="E455" s="1" t="n">
        <v>46282</v>
      </c>
      <c r="F455" t="inlineStr">
        <is>
          <t>SÖDERMANLANDS LÄN</t>
        </is>
      </c>
      <c r="G455" t="inlineStr">
        <is>
          <t>NYKÖPING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26561-2023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45092</v>
      </c>
      <c r="E456" s="1" t="n">
        <v>46282</v>
      </c>
      <c r="F456" t="inlineStr">
        <is>
          <t>SÖDERMANLANDS LÄN</t>
        </is>
      </c>
      <c r="G456" t="inlineStr">
        <is>
          <t>NYKÖPING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14363-2026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46100</v>
      </c>
      <c r="E457" s="1" t="n">
        <v>46282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Holmen skog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12144-2025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45729</v>
      </c>
      <c r="E458" s="1" t="n">
        <v>46282</v>
      </c>
      <c r="F458" t="inlineStr">
        <is>
          <t>SÖDERMANLANDS LÄN</t>
        </is>
      </c>
      <c r="G458" t="inlineStr">
        <is>
          <t>NYKÖPING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14384-2026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46100</v>
      </c>
      <c r="E459" s="1" t="n">
        <v>46282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Holmen skog AB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27944-2023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45098</v>
      </c>
      <c r="E460" s="1" t="n">
        <v>46282</v>
      </c>
      <c r="F460" t="inlineStr">
        <is>
          <t>SÖDERMANLANDS LÄN</t>
        </is>
      </c>
      <c r="G460" t="inlineStr">
        <is>
          <t>NYKÖPING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16072-2023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45027</v>
      </c>
      <c r="E461" s="1" t="n">
        <v>46282</v>
      </c>
      <c r="F461" t="inlineStr">
        <is>
          <t>SÖDERMANLANDS LÄN</t>
        </is>
      </c>
      <c r="G461" t="inlineStr">
        <is>
          <t>NYKÖPING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18204-2025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45761</v>
      </c>
      <c r="E462" s="1" t="n">
        <v>46282</v>
      </c>
      <c r="F462" t="inlineStr">
        <is>
          <t>SÖDERMANLANDS LÄN</t>
        </is>
      </c>
      <c r="G462" t="inlineStr">
        <is>
          <t>NYKÖPING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7008-2024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45343</v>
      </c>
      <c r="E463" s="1" t="n">
        <v>46282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Holmen skog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44943</v>
      </c>
      <c r="E464" s="1" t="n">
        <v>46282</v>
      </c>
      <c r="F464" t="inlineStr">
        <is>
          <t>SÖDERMANLANDS LÄN</t>
        </is>
      </c>
      <c r="G464" t="inlineStr">
        <is>
          <t>NYKÖPING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2544-2023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44943</v>
      </c>
      <c r="E465" s="1" t="n">
        <v>46282</v>
      </c>
      <c r="F465" t="inlineStr">
        <is>
          <t>SÖDERMANLANDS LÄN</t>
        </is>
      </c>
      <c r="G465" t="inlineStr">
        <is>
          <t>NYKÖPING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13963-2022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44650</v>
      </c>
      <c r="E466" s="1" t="n">
        <v>46282</v>
      </c>
      <c r="F466" t="inlineStr">
        <is>
          <t>SÖDERMANLANDS LÄN</t>
        </is>
      </c>
      <c r="G466" t="inlineStr">
        <is>
          <t>NYKÖPING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26993-2022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44740</v>
      </c>
      <c r="E467" s="1" t="n">
        <v>46282</v>
      </c>
      <c r="F467" t="inlineStr">
        <is>
          <t>SÖDERMANLANDS LÄN</t>
        </is>
      </c>
      <c r="G467" t="inlineStr">
        <is>
          <t>NYKÖPING</t>
        </is>
      </c>
      <c r="I467" t="n">
        <v>13.1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10211-2024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45364</v>
      </c>
      <c r="E468" s="1" t="n">
        <v>46282</v>
      </c>
      <c r="F468" t="inlineStr">
        <is>
          <t>SÖDERMANLANDS LÄN</t>
        </is>
      </c>
      <c r="G468" t="inlineStr">
        <is>
          <t>NYKÖPING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16881-2024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45410</v>
      </c>
      <c r="E469" s="1" t="n">
        <v>46282</v>
      </c>
      <c r="F469" t="inlineStr">
        <is>
          <t>SÖDERMANLANDS LÄN</t>
        </is>
      </c>
      <c r="G469" t="inlineStr">
        <is>
          <t>NYKÖPING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29551-2023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45106</v>
      </c>
      <c r="E470" s="1" t="n">
        <v>46282</v>
      </c>
      <c r="F470" t="inlineStr">
        <is>
          <t>SÖDERMANLANDS LÄN</t>
        </is>
      </c>
      <c r="G470" t="inlineStr">
        <is>
          <t>NYKÖPING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71115-2021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44537</v>
      </c>
      <c r="E471" s="1" t="n">
        <v>46282</v>
      </c>
      <c r="F471" t="inlineStr">
        <is>
          <t>SÖDERMANLANDS LÄN</t>
        </is>
      </c>
      <c r="G471" t="inlineStr">
        <is>
          <t>NYKÖPING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1742-2023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44938</v>
      </c>
      <c r="E472" s="1" t="n">
        <v>46282</v>
      </c>
      <c r="F472" t="inlineStr">
        <is>
          <t>SÖDERMANLANDS LÄN</t>
        </is>
      </c>
      <c r="G472" t="inlineStr">
        <is>
          <t>NYKÖPING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8140-2023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44974</v>
      </c>
      <c r="E473" s="1" t="n">
        <v>46282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32594-2022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44783</v>
      </c>
      <c r="E474" s="1" t="n">
        <v>46282</v>
      </c>
      <c r="F474" t="inlineStr">
        <is>
          <t>SÖDERMANLANDS LÄN</t>
        </is>
      </c>
      <c r="G474" t="inlineStr">
        <is>
          <t>NYKÖPING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8573-2023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44977</v>
      </c>
      <c r="E475" s="1" t="n">
        <v>46282</v>
      </c>
      <c r="F475" t="inlineStr">
        <is>
          <t>SÖDERMANLANDS LÄN</t>
        </is>
      </c>
      <c r="G475" t="inlineStr">
        <is>
          <t>NYKÖPING</t>
        </is>
      </c>
      <c r="H475" t="inlineStr">
        <is>
          <t>Övriga Aktiebolag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43585-2022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44837</v>
      </c>
      <c r="E476" s="1" t="n">
        <v>46282</v>
      </c>
      <c r="F476" t="inlineStr">
        <is>
          <t>SÖDERMANLANDS LÄN</t>
        </is>
      </c>
      <c r="G476" t="inlineStr">
        <is>
          <t>NYKÖPING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46022-2025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45924</v>
      </c>
      <c r="E477" s="1" t="n">
        <v>46282</v>
      </c>
      <c r="F477" t="inlineStr">
        <is>
          <t>SÖDERMANLANDS LÄN</t>
        </is>
      </c>
      <c r="G477" t="inlineStr">
        <is>
          <t>NYKÖPING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17074-2026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46114</v>
      </c>
      <c r="E478" s="1" t="n">
        <v>46282</v>
      </c>
      <c r="F478" t="inlineStr">
        <is>
          <t>SÖDERMANLANDS LÄN</t>
        </is>
      </c>
      <c r="G478" t="inlineStr">
        <is>
          <t>NYKÖPING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8388-2024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45352</v>
      </c>
      <c r="E479" s="1" t="n">
        <v>46282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Sveaskog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46737-2025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45926</v>
      </c>
      <c r="E480" s="1" t="n">
        <v>46282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9.4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12149-2023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44998</v>
      </c>
      <c r="E481" s="1" t="n">
        <v>46282</v>
      </c>
      <c r="F481" t="inlineStr">
        <is>
          <t>SÖDERMANLANDS LÄN</t>
        </is>
      </c>
      <c r="G481" t="inlineStr">
        <is>
          <t>NYKÖPING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43653-2022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44837</v>
      </c>
      <c r="E482" s="1" t="n">
        <v>46282</v>
      </c>
      <c r="F482" t="inlineStr">
        <is>
          <t>SÖDERMANLANDS LÄN</t>
        </is>
      </c>
      <c r="G482" t="inlineStr">
        <is>
          <t>NYKÖPING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43657-2022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44837</v>
      </c>
      <c r="E483" s="1" t="n">
        <v>46282</v>
      </c>
      <c r="F483" t="inlineStr">
        <is>
          <t>SÖDERMANLANDS LÄN</t>
        </is>
      </c>
      <c r="G483" t="inlineStr">
        <is>
          <t>NYKÖPING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10689-2023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44988</v>
      </c>
      <c r="E484" s="1" t="n">
        <v>46282</v>
      </c>
      <c r="F484" t="inlineStr">
        <is>
          <t>SÖDERMANLANDS LÄN</t>
        </is>
      </c>
      <c r="G484" t="inlineStr">
        <is>
          <t>NYKÖPING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47260-2023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45202</v>
      </c>
      <c r="E485" s="1" t="n">
        <v>46282</v>
      </c>
      <c r="F485" t="inlineStr">
        <is>
          <t>SÖDERMANLANDS LÄN</t>
        </is>
      </c>
      <c r="G485" t="inlineStr">
        <is>
          <t>NYKÖPING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12135-2025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45729</v>
      </c>
      <c r="E486" s="1" t="n">
        <v>46282</v>
      </c>
      <c r="F486" t="inlineStr">
        <is>
          <t>SÖDERMANLANDS LÄN</t>
        </is>
      </c>
      <c r="G486" t="inlineStr">
        <is>
          <t>NYKÖPING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10616-2025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45721</v>
      </c>
      <c r="E487" s="1" t="n">
        <v>46282</v>
      </c>
      <c r="F487" t="inlineStr">
        <is>
          <t>SÖDERMANLANDS LÄN</t>
        </is>
      </c>
      <c r="G487" t="inlineStr">
        <is>
          <t>NYKÖPING</t>
        </is>
      </c>
      <c r="I487" t="n">
        <v>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52373-2023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45224</v>
      </c>
      <c r="E488" s="1" t="n">
        <v>46282</v>
      </c>
      <c r="F488" t="inlineStr">
        <is>
          <t>SÖDERMANLANDS LÄN</t>
        </is>
      </c>
      <c r="G488" t="inlineStr">
        <is>
          <t>NYKÖPING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52374-2023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45224</v>
      </c>
      <c r="E489" s="1" t="n">
        <v>46282</v>
      </c>
      <c r="F489" t="inlineStr">
        <is>
          <t>SÖDERMANLANDS LÄN</t>
        </is>
      </c>
      <c r="G489" t="inlineStr">
        <is>
          <t>NYKÖPING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38508-2023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45162</v>
      </c>
      <c r="E490" s="1" t="n">
        <v>46282</v>
      </c>
      <c r="F490" t="inlineStr">
        <is>
          <t>SÖDERMANLANDS LÄN</t>
        </is>
      </c>
      <c r="G490" t="inlineStr">
        <is>
          <t>NYKÖPING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7824-2024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45349</v>
      </c>
      <c r="E491" s="1" t="n">
        <v>46282</v>
      </c>
      <c r="F491" t="inlineStr">
        <is>
          <t>SÖDERMANLANDS LÄN</t>
        </is>
      </c>
      <c r="G491" t="inlineStr">
        <is>
          <t>NYKÖPING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68041-2021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44525</v>
      </c>
      <c r="E492" s="1" t="n">
        <v>46282</v>
      </c>
      <c r="F492" t="inlineStr">
        <is>
          <t>SÖDERMANLANDS LÄN</t>
        </is>
      </c>
      <c r="G492" t="inlineStr">
        <is>
          <t>NYKÖPING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12826-2024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45384</v>
      </c>
      <c r="E493" s="1" t="n">
        <v>46282</v>
      </c>
      <c r="F493" t="inlineStr">
        <is>
          <t>SÖDERMANLANDS LÄN</t>
        </is>
      </c>
      <c r="G493" t="inlineStr">
        <is>
          <t>NYKÖPING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4683-2023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44957</v>
      </c>
      <c r="E494" s="1" t="n">
        <v>46282</v>
      </c>
      <c r="F494" t="inlineStr">
        <is>
          <t>SÖDERMANLANDS LÄN</t>
        </is>
      </c>
      <c r="G494" t="inlineStr">
        <is>
          <t>NYKÖPING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2255-2022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44578</v>
      </c>
      <c r="E495" s="1" t="n">
        <v>46282</v>
      </c>
      <c r="F495" t="inlineStr">
        <is>
          <t>SÖDERMANLANDS LÄN</t>
        </is>
      </c>
      <c r="G495" t="inlineStr">
        <is>
          <t>NYKÖPING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15047-2025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45743</v>
      </c>
      <c r="E496" s="1" t="n">
        <v>46282</v>
      </c>
      <c r="F496" t="inlineStr">
        <is>
          <t>SÖDERMANLANDS LÄN</t>
        </is>
      </c>
      <c r="G496" t="inlineStr">
        <is>
          <t>NYKÖPING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19807-2026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46135</v>
      </c>
      <c r="E497" s="1" t="n">
        <v>46282</v>
      </c>
      <c r="F497" t="inlineStr">
        <is>
          <t>SÖDERMANLANDS LÄN</t>
        </is>
      </c>
      <c r="G497" t="inlineStr">
        <is>
          <t>NYKÖPING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41132-2024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45559</v>
      </c>
      <c r="E498" s="1" t="n">
        <v>46282</v>
      </c>
      <c r="F498" t="inlineStr">
        <is>
          <t>SÖDERMANLANDS LÄN</t>
        </is>
      </c>
      <c r="G498" t="inlineStr">
        <is>
          <t>NYKÖPING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30639-2023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45112</v>
      </c>
      <c r="E499" s="1" t="n">
        <v>46282</v>
      </c>
      <c r="F499" t="inlineStr">
        <is>
          <t>SÖDERMANLANDS LÄN</t>
        </is>
      </c>
      <c r="G499" t="inlineStr">
        <is>
          <t>NYKÖPING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1398-2023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44936</v>
      </c>
      <c r="E500" s="1" t="n">
        <v>46282</v>
      </c>
      <c r="F500" t="inlineStr">
        <is>
          <t>SÖDERMANLANDS LÄN</t>
        </is>
      </c>
      <c r="G500" t="inlineStr">
        <is>
          <t>NYKÖPING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51241-2024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45603</v>
      </c>
      <c r="E501" s="1" t="n">
        <v>46282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Sveaskog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55312-2021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44475</v>
      </c>
      <c r="E502" s="1" t="n">
        <v>46282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Sveaskog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1392-2023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44936</v>
      </c>
      <c r="E503" s="1" t="n">
        <v>46282</v>
      </c>
      <c r="F503" t="inlineStr">
        <is>
          <t>SÖDERMANLANDS LÄN</t>
        </is>
      </c>
      <c r="G503" t="inlineStr">
        <is>
          <t>NYKÖPING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54065-2025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45964</v>
      </c>
      <c r="E504" s="1" t="n">
        <v>46282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Holmen skog AB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10639-2025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45721</v>
      </c>
      <c r="E505" s="1" t="n">
        <v>46282</v>
      </c>
      <c r="F505" t="inlineStr">
        <is>
          <t>SÖDERMANLANDS LÄN</t>
        </is>
      </c>
      <c r="G505" t="inlineStr">
        <is>
          <t>NYKÖPING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18551-2024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45425</v>
      </c>
      <c r="E506" s="1" t="n">
        <v>46282</v>
      </c>
      <c r="F506" t="inlineStr">
        <is>
          <t>SÖDERMANLANDS LÄN</t>
        </is>
      </c>
      <c r="G506" t="inlineStr">
        <is>
          <t>NYKÖPING</t>
        </is>
      </c>
      <c r="H506" t="inlineStr">
        <is>
          <t>Kommuner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21917-2022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44711</v>
      </c>
      <c r="E507" s="1" t="n">
        <v>46282</v>
      </c>
      <c r="F507" t="inlineStr">
        <is>
          <t>SÖDERMANLANDS LÄN</t>
        </is>
      </c>
      <c r="G507" t="inlineStr">
        <is>
          <t>NYKÖPING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1020-2026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46030</v>
      </c>
      <c r="E508" s="1" t="n">
        <v>46282</v>
      </c>
      <c r="F508" t="inlineStr">
        <is>
          <t>SÖDERMANLANDS LÄN</t>
        </is>
      </c>
      <c r="G508" t="inlineStr">
        <is>
          <t>NYKÖPING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51556-2024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45604</v>
      </c>
      <c r="E509" s="1" t="n">
        <v>46282</v>
      </c>
      <c r="F509" t="inlineStr">
        <is>
          <t>SÖDERMANLANDS LÄN</t>
        </is>
      </c>
      <c r="G509" t="inlineStr">
        <is>
          <t>NYKÖPING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4932-2024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45329</v>
      </c>
      <c r="E510" s="1" t="n">
        <v>46282</v>
      </c>
      <c r="F510" t="inlineStr">
        <is>
          <t>SÖDERMANLANDS LÄN</t>
        </is>
      </c>
      <c r="G510" t="inlineStr">
        <is>
          <t>NYKÖPING</t>
        </is>
      </c>
      <c r="I510" t="n">
        <v>17.8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58654-2025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45986</v>
      </c>
      <c r="E511" s="1" t="n">
        <v>46282</v>
      </c>
      <c r="F511" t="inlineStr">
        <is>
          <t>SÖDERMANLANDS LÄN</t>
        </is>
      </c>
      <c r="G511" t="inlineStr">
        <is>
          <t>NYKÖPING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17315-2024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45414</v>
      </c>
      <c r="E512" s="1" t="n">
        <v>46282</v>
      </c>
      <c r="F512" t="inlineStr">
        <is>
          <t>SÖDERMANLANDS LÄN</t>
        </is>
      </c>
      <c r="G512" t="inlineStr">
        <is>
          <t>NYKÖPING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28644-2025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45819</v>
      </c>
      <c r="E513" s="1" t="n">
        <v>46282</v>
      </c>
      <c r="F513" t="inlineStr">
        <is>
          <t>SÖDERMANLANDS LÄN</t>
        </is>
      </c>
      <c r="G513" t="inlineStr">
        <is>
          <t>NYKÖPING</t>
        </is>
      </c>
      <c r="H513" t="inlineStr">
        <is>
          <t>Sveaskog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9469-2022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44616</v>
      </c>
      <c r="E514" s="1" t="n">
        <v>46282</v>
      </c>
      <c r="F514" t="inlineStr">
        <is>
          <t>SÖDERMANLANDS LÄN</t>
        </is>
      </c>
      <c r="G514" t="inlineStr">
        <is>
          <t>NYKÖPING</t>
        </is>
      </c>
      <c r="I514" t="n">
        <v>5.1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29846-2025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45826</v>
      </c>
      <c r="E515" s="1" t="n">
        <v>46282</v>
      </c>
      <c r="F515" t="inlineStr">
        <is>
          <t>SÖDERMANLANDS LÄN</t>
        </is>
      </c>
      <c r="G515" t="inlineStr">
        <is>
          <t>NYKÖPING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13455-2022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44645</v>
      </c>
      <c r="E516" s="1" t="n">
        <v>46282</v>
      </c>
      <c r="F516" t="inlineStr">
        <is>
          <t>SÖDERMANLANDS LÄN</t>
        </is>
      </c>
      <c r="G516" t="inlineStr">
        <is>
          <t>NYKÖPING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20179-2026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46139</v>
      </c>
      <c r="E517" s="1" t="n">
        <v>46282</v>
      </c>
      <c r="F517" t="inlineStr">
        <is>
          <t>SÖDERMANLANDS LÄN</t>
        </is>
      </c>
      <c r="G517" t="inlineStr">
        <is>
          <t>NYKÖPING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53374-2021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44468</v>
      </c>
      <c r="E518" s="1" t="n">
        <v>46282</v>
      </c>
      <c r="F518" t="inlineStr">
        <is>
          <t>SÖDERMANLANDS LÄN</t>
        </is>
      </c>
      <c r="G518" t="inlineStr">
        <is>
          <t>NYKÖPING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57633-2024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45630</v>
      </c>
      <c r="E519" s="1" t="n">
        <v>46282</v>
      </c>
      <c r="F519" t="inlineStr">
        <is>
          <t>SÖDERMANLANDS LÄN</t>
        </is>
      </c>
      <c r="G519" t="inlineStr">
        <is>
          <t>NYKÖPING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20131-2022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44698</v>
      </c>
      <c r="E520" s="1" t="n">
        <v>46282</v>
      </c>
      <c r="F520" t="inlineStr">
        <is>
          <t>SÖDERMANLANDS LÄN</t>
        </is>
      </c>
      <c r="G520" t="inlineStr">
        <is>
          <t>NYKÖPING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41165-2024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45559</v>
      </c>
      <c r="E521" s="1" t="n">
        <v>46282</v>
      </c>
      <c r="F521" t="inlineStr">
        <is>
          <t>SÖDERMANLANDS LÄN</t>
        </is>
      </c>
      <c r="G521" t="inlineStr">
        <is>
          <t>NYKÖPING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51216-2024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45603</v>
      </c>
      <c r="E522" s="1" t="n">
        <v>46282</v>
      </c>
      <c r="F522" t="inlineStr">
        <is>
          <t>SÖDERMANLANDS LÄN</t>
        </is>
      </c>
      <c r="G522" t="inlineStr">
        <is>
          <t>NYKÖPING</t>
        </is>
      </c>
      <c r="H522" t="inlineStr">
        <is>
          <t>Sveaskog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24631-2022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44727</v>
      </c>
      <c r="E523" s="1" t="n">
        <v>46282</v>
      </c>
      <c r="F523" t="inlineStr">
        <is>
          <t>SÖDERMANLANDS LÄN</t>
        </is>
      </c>
      <c r="G523" t="inlineStr">
        <is>
          <t>NYKÖPING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28664-2025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45819</v>
      </c>
      <c r="E524" s="1" t="n">
        <v>46282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Sveaskog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72985-2021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44549</v>
      </c>
      <c r="E525" s="1" t="n">
        <v>46282</v>
      </c>
      <c r="F525" t="inlineStr">
        <is>
          <t>SÖDERMANLANDS LÄN</t>
        </is>
      </c>
      <c r="G525" t="inlineStr">
        <is>
          <t>NYKÖPING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16460-2023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45029</v>
      </c>
      <c r="E526" s="1" t="n">
        <v>46282</v>
      </c>
      <c r="F526" t="inlineStr">
        <is>
          <t>SÖDERMANLANDS LÄN</t>
        </is>
      </c>
      <c r="G526" t="inlineStr">
        <is>
          <t>NYKÖPING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20985-2023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45061</v>
      </c>
      <c r="E527" s="1" t="n">
        <v>46282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Holmen skog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21062-2023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45061</v>
      </c>
      <c r="E528" s="1" t="n">
        <v>46282</v>
      </c>
      <c r="F528" t="inlineStr">
        <is>
          <t>SÖDERMANLANDS LÄN</t>
        </is>
      </c>
      <c r="G528" t="inlineStr">
        <is>
          <t>NYKÖPING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7807-2025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45706</v>
      </c>
      <c r="E529" s="1" t="n">
        <v>46282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Kyrkan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2517-2022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44579</v>
      </c>
      <c r="E530" s="1" t="n">
        <v>46282</v>
      </c>
      <c r="F530" t="inlineStr">
        <is>
          <t>SÖDERMANLANDS LÄN</t>
        </is>
      </c>
      <c r="G530" t="inlineStr">
        <is>
          <t>NYKÖPING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47390-2025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45930</v>
      </c>
      <c r="E531" s="1" t="n">
        <v>46282</v>
      </c>
      <c r="F531" t="inlineStr">
        <is>
          <t>SÖDERMANLANDS LÄN</t>
        </is>
      </c>
      <c r="G531" t="inlineStr">
        <is>
          <t>NYKÖPING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24829-2024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45461</v>
      </c>
      <c r="E532" s="1" t="n">
        <v>46282</v>
      </c>
      <c r="F532" t="inlineStr">
        <is>
          <t>SÖDERMANLANDS LÄN</t>
        </is>
      </c>
      <c r="G532" t="inlineStr">
        <is>
          <t>NYKÖPING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65923-2021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44517</v>
      </c>
      <c r="E533" s="1" t="n">
        <v>46282</v>
      </c>
      <c r="F533" t="inlineStr">
        <is>
          <t>SÖDERMANLANDS LÄN</t>
        </is>
      </c>
      <c r="G533" t="inlineStr">
        <is>
          <t>NYKÖPING</t>
        </is>
      </c>
      <c r="I533" t="n">
        <v>5.5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7074-2024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45343</v>
      </c>
      <c r="E534" s="1" t="n">
        <v>46282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Kommuner</t>
        </is>
      </c>
      <c r="I534" t="n">
        <v>6.8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36163-2023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45149</v>
      </c>
      <c r="E535" s="1" t="n">
        <v>46282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Kommuner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11638-2024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45373</v>
      </c>
      <c r="E536" s="1" t="n">
        <v>46282</v>
      </c>
      <c r="F536" t="inlineStr">
        <is>
          <t>SÖDERMANLANDS LÄN</t>
        </is>
      </c>
      <c r="G536" t="inlineStr">
        <is>
          <t>NYKÖPING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17832-2024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45418</v>
      </c>
      <c r="E537" s="1" t="n">
        <v>46282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Kommuner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51243-2024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45603</v>
      </c>
      <c r="E538" s="1" t="n">
        <v>46282</v>
      </c>
      <c r="F538" t="inlineStr">
        <is>
          <t>SÖDERMANLANDS LÄN</t>
        </is>
      </c>
      <c r="G538" t="inlineStr">
        <is>
          <t>NYKÖPING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55506-2021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44475</v>
      </c>
      <c r="E539" s="1" t="n">
        <v>46282</v>
      </c>
      <c r="F539" t="inlineStr">
        <is>
          <t>SÖDERMANLANDS LÄN</t>
        </is>
      </c>
      <c r="G539" t="inlineStr">
        <is>
          <t>NYKÖPING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2445-2022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44579</v>
      </c>
      <c r="E540" s="1" t="n">
        <v>46282</v>
      </c>
      <c r="F540" t="inlineStr">
        <is>
          <t>SÖDERMANLANDS LÄN</t>
        </is>
      </c>
      <c r="G540" t="inlineStr">
        <is>
          <t>NYKÖPING</t>
        </is>
      </c>
      <c r="I540" t="n">
        <v>6.7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14930-2024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45398</v>
      </c>
      <c r="E541" s="1" t="n">
        <v>46282</v>
      </c>
      <c r="F541" t="inlineStr">
        <is>
          <t>SÖDERMANLANDS LÄN</t>
        </is>
      </c>
      <c r="G541" t="inlineStr">
        <is>
          <t>NYKÖPING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35019-2023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45143</v>
      </c>
      <c r="E542" s="1" t="n">
        <v>46282</v>
      </c>
      <c r="F542" t="inlineStr">
        <is>
          <t>SÖDERMANLANDS LÄN</t>
        </is>
      </c>
      <c r="G542" t="inlineStr">
        <is>
          <t>NYKÖPING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61618-2022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44916</v>
      </c>
      <c r="E543" s="1" t="n">
        <v>46282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Holmen skog AB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39356-2023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45166</v>
      </c>
      <c r="E544" s="1" t="n">
        <v>46282</v>
      </c>
      <c r="F544" t="inlineStr">
        <is>
          <t>SÖDERMANLANDS LÄN</t>
        </is>
      </c>
      <c r="G544" t="inlineStr">
        <is>
          <t>NYKÖPING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7131-2026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46058</v>
      </c>
      <c r="E545" s="1" t="n">
        <v>46282</v>
      </c>
      <c r="F545" t="inlineStr">
        <is>
          <t>SÖDERMANLANDS LÄN</t>
        </is>
      </c>
      <c r="G545" t="inlineStr">
        <is>
          <t>NYKÖPING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21022-2026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46145</v>
      </c>
      <c r="E546" s="1" t="n">
        <v>46282</v>
      </c>
      <c r="F546" t="inlineStr">
        <is>
          <t>SÖDERMANLANDS LÄN</t>
        </is>
      </c>
      <c r="G546" t="inlineStr">
        <is>
          <t>NYKÖPING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7756-2024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45348</v>
      </c>
      <c r="E547" s="1" t="n">
        <v>46282</v>
      </c>
      <c r="F547" t="inlineStr">
        <is>
          <t>SÖDERMANLANDS LÄN</t>
        </is>
      </c>
      <c r="G547" t="inlineStr">
        <is>
          <t>NYKÖPING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4406-2024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45327</v>
      </c>
      <c r="E548" s="1" t="n">
        <v>46282</v>
      </c>
      <c r="F548" t="inlineStr">
        <is>
          <t>SÖDERMANLANDS LÄN</t>
        </is>
      </c>
      <c r="G548" t="inlineStr">
        <is>
          <t>NYKÖPING</t>
        </is>
      </c>
      <c r="H548" t="inlineStr">
        <is>
          <t>Holmen skog AB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21020-2026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46145</v>
      </c>
      <c r="E549" s="1" t="n">
        <v>46282</v>
      </c>
      <c r="F549" t="inlineStr">
        <is>
          <t>SÖDERMANLANDS LÄN</t>
        </is>
      </c>
      <c r="G549" t="inlineStr">
        <is>
          <t>NYKÖPING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38155-2022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44812</v>
      </c>
      <c r="E550" s="1" t="n">
        <v>46282</v>
      </c>
      <c r="F550" t="inlineStr">
        <is>
          <t>SÖDERMANLANDS LÄN</t>
        </is>
      </c>
      <c r="G550" t="inlineStr">
        <is>
          <t>NYKÖPING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64081-2023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45279</v>
      </c>
      <c r="E551" s="1" t="n">
        <v>46282</v>
      </c>
      <c r="F551" t="inlineStr">
        <is>
          <t>SÖDERMANLANDS LÄN</t>
        </is>
      </c>
      <c r="G551" t="inlineStr">
        <is>
          <t>NYKÖPING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5483-2023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44960</v>
      </c>
      <c r="E552" s="1" t="n">
        <v>46282</v>
      </c>
      <c r="F552" t="inlineStr">
        <is>
          <t>SÖDERMANLANDS LÄN</t>
        </is>
      </c>
      <c r="G552" t="inlineStr">
        <is>
          <t>NYKÖPING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21672-2026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46149</v>
      </c>
      <c r="E553" s="1" t="n">
        <v>46282</v>
      </c>
      <c r="F553" t="inlineStr">
        <is>
          <t>SÖDERMANLANDS LÄN</t>
        </is>
      </c>
      <c r="G553" t="inlineStr">
        <is>
          <t>NYKÖPING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21676-2026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46149</v>
      </c>
      <c r="E554" s="1" t="n">
        <v>46282</v>
      </c>
      <c r="F554" t="inlineStr">
        <is>
          <t>SÖDERMANLANDS LÄN</t>
        </is>
      </c>
      <c r="G554" t="inlineStr">
        <is>
          <t>NYKÖPING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51558-2024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45604</v>
      </c>
      <c r="E555" s="1" t="n">
        <v>46282</v>
      </c>
      <c r="F555" t="inlineStr">
        <is>
          <t>SÖDERMANLANDS LÄN</t>
        </is>
      </c>
      <c r="G555" t="inlineStr">
        <is>
          <t>NYKÖPING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57621-2024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45630</v>
      </c>
      <c r="E556" s="1" t="n">
        <v>46282</v>
      </c>
      <c r="F556" t="inlineStr">
        <is>
          <t>SÖDERMANLANDS LÄN</t>
        </is>
      </c>
      <c r="G556" t="inlineStr">
        <is>
          <t>NYKÖPING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9074-2026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46069</v>
      </c>
      <c r="E557" s="1" t="n">
        <v>46282</v>
      </c>
      <c r="F557" t="inlineStr">
        <is>
          <t>SÖDERMANLANDS LÄN</t>
        </is>
      </c>
      <c r="G557" t="inlineStr">
        <is>
          <t>NYKÖPING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32721-2022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44783</v>
      </c>
      <c r="E558" s="1" t="n">
        <v>46282</v>
      </c>
      <c r="F558" t="inlineStr">
        <is>
          <t>SÖDERMANLANDS LÄN</t>
        </is>
      </c>
      <c r="G558" t="inlineStr">
        <is>
          <t>NYKÖPING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48484-2022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44858</v>
      </c>
      <c r="E559" s="1" t="n">
        <v>46282</v>
      </c>
      <c r="F559" t="inlineStr">
        <is>
          <t>SÖDERMANLANDS LÄN</t>
        </is>
      </c>
      <c r="G559" t="inlineStr">
        <is>
          <t>NYKÖPING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2368-2023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44942</v>
      </c>
      <c r="E560" s="1" t="n">
        <v>46282</v>
      </c>
      <c r="F560" t="inlineStr">
        <is>
          <t>SÖDERMANLANDS LÄN</t>
        </is>
      </c>
      <c r="G560" t="inlineStr">
        <is>
          <t>NYKÖPING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20327-2023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45056</v>
      </c>
      <c r="E561" s="1" t="n">
        <v>46282</v>
      </c>
      <c r="F561" t="inlineStr">
        <is>
          <t>SÖDERMANLANDS LÄN</t>
        </is>
      </c>
      <c r="G561" t="inlineStr">
        <is>
          <t>NYKÖPING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22475-2026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46155</v>
      </c>
      <c r="E562" s="1" t="n">
        <v>46282</v>
      </c>
      <c r="F562" t="inlineStr">
        <is>
          <t>SÖDERMANLANDS LÄN</t>
        </is>
      </c>
      <c r="G562" t="inlineStr">
        <is>
          <t>NYKÖPING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60634-2022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44911</v>
      </c>
      <c r="E563" s="1" t="n">
        <v>46282</v>
      </c>
      <c r="F563" t="inlineStr">
        <is>
          <t>SÖDERMANLANDS LÄN</t>
        </is>
      </c>
      <c r="G563" t="inlineStr">
        <is>
          <t>NYKÖPING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13296-2023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45005</v>
      </c>
      <c r="E564" s="1" t="n">
        <v>46282</v>
      </c>
      <c r="F564" t="inlineStr">
        <is>
          <t>SÖDERMANLANDS LÄN</t>
        </is>
      </c>
      <c r="G564" t="inlineStr">
        <is>
          <t>NYKÖPING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69244-2021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44530</v>
      </c>
      <c r="E565" s="1" t="n">
        <v>46282</v>
      </c>
      <c r="F565" t="inlineStr">
        <is>
          <t>SÖDERMANLANDS LÄN</t>
        </is>
      </c>
      <c r="G565" t="inlineStr">
        <is>
          <t>NYKÖPING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5291-2023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44959</v>
      </c>
      <c r="E566" s="1" t="n">
        <v>46282</v>
      </c>
      <c r="F566" t="inlineStr">
        <is>
          <t>SÖDERMANLANDS LÄN</t>
        </is>
      </c>
      <c r="G566" t="inlineStr">
        <is>
          <t>NYKÖPING</t>
        </is>
      </c>
      <c r="I566" t="n">
        <v>6.5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38512-2023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45162</v>
      </c>
      <c r="E567" s="1" t="n">
        <v>46282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Kommuner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8378-2024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45351</v>
      </c>
      <c r="E568" s="1" t="n">
        <v>46282</v>
      </c>
      <c r="F568" t="inlineStr">
        <is>
          <t>SÖDERMANLANDS LÄN</t>
        </is>
      </c>
      <c r="G568" t="inlineStr">
        <is>
          <t>NYKÖPING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1739-2023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44938</v>
      </c>
      <c r="E569" s="1" t="n">
        <v>46282</v>
      </c>
      <c r="F569" t="inlineStr">
        <is>
          <t>SÖDERMANLANDS LÄN</t>
        </is>
      </c>
      <c r="G569" t="inlineStr">
        <is>
          <t>NYKÖPING</t>
        </is>
      </c>
      <c r="I569" t="n">
        <v>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8688-2025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45712</v>
      </c>
      <c r="E570" s="1" t="n">
        <v>46282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Holmen skog AB</t>
        </is>
      </c>
      <c r="I570" t="n">
        <v>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24891-2023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45085</v>
      </c>
      <c r="E571" s="1" t="n">
        <v>46282</v>
      </c>
      <c r="F571" t="inlineStr">
        <is>
          <t>SÖDERMANLANDS LÄN</t>
        </is>
      </c>
      <c r="G571" t="inlineStr">
        <is>
          <t>NYKÖPING</t>
        </is>
      </c>
      <c r="H571" t="inlineStr">
        <is>
          <t>Holmen skog AB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33863-2022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44790</v>
      </c>
      <c r="E572" s="1" t="n">
        <v>46282</v>
      </c>
      <c r="F572" t="inlineStr">
        <is>
          <t>SÖDERMANLANDS LÄN</t>
        </is>
      </c>
      <c r="G572" t="inlineStr">
        <is>
          <t>NYKÖPING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49902-2025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45940</v>
      </c>
      <c r="E573" s="1" t="n">
        <v>46282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Sveaskog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22176-2023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45069</v>
      </c>
      <c r="E574" s="1" t="n">
        <v>46282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Holmen skog AB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23063-2026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46161</v>
      </c>
      <c r="E575" s="1" t="n">
        <v>46282</v>
      </c>
      <c r="F575" t="inlineStr">
        <is>
          <t>SÖDERMANLANDS LÄN</t>
        </is>
      </c>
      <c r="G575" t="inlineStr">
        <is>
          <t>NYKÖPING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27563-2024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45474</v>
      </c>
      <c r="E576" s="1" t="n">
        <v>46282</v>
      </c>
      <c r="F576" t="inlineStr">
        <is>
          <t>SÖDERMANLANDS LÄN</t>
        </is>
      </c>
      <c r="G576" t="inlineStr">
        <is>
          <t>NYKÖPING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56228-2024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45624</v>
      </c>
      <c r="E577" s="1" t="n">
        <v>46282</v>
      </c>
      <c r="F577" t="inlineStr">
        <is>
          <t>SÖDERMANLANDS LÄN</t>
        </is>
      </c>
      <c r="G577" t="inlineStr">
        <is>
          <t>NYKÖPING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11755-2026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46084</v>
      </c>
      <c r="E578" s="1" t="n">
        <v>46282</v>
      </c>
      <c r="F578" t="inlineStr">
        <is>
          <t>SÖDERMANLANDS LÄN</t>
        </is>
      </c>
      <c r="G578" t="inlineStr">
        <is>
          <t>NYKÖPING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9836-2026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46072</v>
      </c>
      <c r="E579" s="1" t="n">
        <v>46282</v>
      </c>
      <c r="F579" t="inlineStr">
        <is>
          <t>SÖDERMANLANDS LÄN</t>
        </is>
      </c>
      <c r="G579" t="inlineStr">
        <is>
          <t>NYKÖPING</t>
        </is>
      </c>
      <c r="I579" t="n">
        <v>10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11757-2026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46084</v>
      </c>
      <c r="E580" s="1" t="n">
        <v>46282</v>
      </c>
      <c r="F580" t="inlineStr">
        <is>
          <t>SÖDERMANLANDS LÄN</t>
        </is>
      </c>
      <c r="G580" t="inlineStr">
        <is>
          <t>NYKÖPING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56851-2025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45978</v>
      </c>
      <c r="E581" s="1" t="n">
        <v>46282</v>
      </c>
      <c r="F581" t="inlineStr">
        <is>
          <t>SÖDERMANLANDS LÄN</t>
        </is>
      </c>
      <c r="G581" t="inlineStr">
        <is>
          <t>NYKÖPING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56770-2025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45978</v>
      </c>
      <c r="E582" s="1" t="n">
        <v>46282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Holmen skog AB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11753-2023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44992</v>
      </c>
      <c r="E583" s="1" t="n">
        <v>46282</v>
      </c>
      <c r="F583" t="inlineStr">
        <is>
          <t>SÖDERMANLANDS LÄN</t>
        </is>
      </c>
      <c r="G583" t="inlineStr">
        <is>
          <t>NYKÖPING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23637-2026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46163</v>
      </c>
      <c r="E584" s="1" t="n">
        <v>46282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Kyrkan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56845-2025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45978</v>
      </c>
      <c r="E585" s="1" t="n">
        <v>46282</v>
      </c>
      <c r="F585" t="inlineStr">
        <is>
          <t>SÖDERMANLANDS LÄN</t>
        </is>
      </c>
      <c r="G585" t="inlineStr">
        <is>
          <t>NYKÖPING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35252-2022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44798</v>
      </c>
      <c r="E586" s="1" t="n">
        <v>46282</v>
      </c>
      <c r="F586" t="inlineStr">
        <is>
          <t>SÖDERMANLANDS LÄN</t>
        </is>
      </c>
      <c r="G586" t="inlineStr">
        <is>
          <t>NYKÖPING</t>
        </is>
      </c>
      <c r="I586" t="n">
        <v>5.8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24798-2022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44728</v>
      </c>
      <c r="E587" s="1" t="n">
        <v>46282</v>
      </c>
      <c r="F587" t="inlineStr">
        <is>
          <t>SÖDERMANLANDS LÄN</t>
        </is>
      </c>
      <c r="G587" t="inlineStr">
        <is>
          <t>NYKÖPING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2598-2025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45674</v>
      </c>
      <c r="E588" s="1" t="n">
        <v>46282</v>
      </c>
      <c r="F588" t="inlineStr">
        <is>
          <t>SÖDERMANLANDS LÄN</t>
        </is>
      </c>
      <c r="G588" t="inlineStr">
        <is>
          <t>NYKÖPING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35532-2022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44799</v>
      </c>
      <c r="E589" s="1" t="n">
        <v>46282</v>
      </c>
      <c r="F589" t="inlineStr">
        <is>
          <t>SÖDERMANLANDS LÄN</t>
        </is>
      </c>
      <c r="G589" t="inlineStr">
        <is>
          <t>NYKÖPING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54024-2022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44881</v>
      </c>
      <c r="E590" s="1" t="n">
        <v>46282</v>
      </c>
      <c r="F590" t="inlineStr">
        <is>
          <t>SÖDERMANLANDS LÄN</t>
        </is>
      </c>
      <c r="G590" t="inlineStr">
        <is>
          <t>NYKÖPING</t>
        </is>
      </c>
      <c r="I590" t="n">
        <v>16.2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36015-2023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45148</v>
      </c>
      <c r="E591" s="1" t="n">
        <v>46282</v>
      </c>
      <c r="F591" t="inlineStr">
        <is>
          <t>SÖDERMANLANDS LÄN</t>
        </is>
      </c>
      <c r="G591" t="inlineStr">
        <is>
          <t>NYKÖPING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10622-2025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45721</v>
      </c>
      <c r="E592" s="1" t="n">
        <v>46282</v>
      </c>
      <c r="F592" t="inlineStr">
        <is>
          <t>SÖDERMANLANDS LÄN</t>
        </is>
      </c>
      <c r="G592" t="inlineStr">
        <is>
          <t>NYKÖPING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24152-2026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46168</v>
      </c>
      <c r="E593" s="1" t="n">
        <v>46282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Kyrkan</t>
        </is>
      </c>
      <c r="I593" t="n">
        <v>5.1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68024-2021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44525</v>
      </c>
      <c r="E594" s="1" t="n">
        <v>46282</v>
      </c>
      <c r="F594" t="inlineStr">
        <is>
          <t>SÖDERMANLANDS LÄN</t>
        </is>
      </c>
      <c r="G594" t="inlineStr">
        <is>
          <t>NYKÖPING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68030-2021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44525</v>
      </c>
      <c r="E595" s="1" t="n">
        <v>46282</v>
      </c>
      <c r="F595" t="inlineStr">
        <is>
          <t>SÖDERMANLANDS LÄN</t>
        </is>
      </c>
      <c r="G595" t="inlineStr">
        <is>
          <t>NYKÖPING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45926-2022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44846</v>
      </c>
      <c r="E596" s="1" t="n">
        <v>46282</v>
      </c>
      <c r="F596" t="inlineStr">
        <is>
          <t>SÖDERMANLANDS LÄN</t>
        </is>
      </c>
      <c r="G596" t="inlineStr">
        <is>
          <t>NYKÖPING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12111-2026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46086</v>
      </c>
      <c r="E597" s="1" t="n">
        <v>46282</v>
      </c>
      <c r="F597" t="inlineStr">
        <is>
          <t>SÖDERMANLANDS LÄN</t>
        </is>
      </c>
      <c r="G597" t="inlineStr">
        <is>
          <t>NYKÖPING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17460-2026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46120</v>
      </c>
      <c r="E598" s="1" t="n">
        <v>46282</v>
      </c>
      <c r="F598" t="inlineStr">
        <is>
          <t>SÖDERMANLANDS LÄN</t>
        </is>
      </c>
      <c r="G598" t="inlineStr">
        <is>
          <t>NYKÖPING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51699-2023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45222</v>
      </c>
      <c r="E599" s="1" t="n">
        <v>46282</v>
      </c>
      <c r="F599" t="inlineStr">
        <is>
          <t>SÖDERMANLANDS LÄN</t>
        </is>
      </c>
      <c r="G599" t="inlineStr">
        <is>
          <t>NYKÖPING</t>
        </is>
      </c>
      <c r="H599" t="inlineStr">
        <is>
          <t>Holmen skog AB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5485-2023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44960</v>
      </c>
      <c r="E600" s="1" t="n">
        <v>46282</v>
      </c>
      <c r="F600" t="inlineStr">
        <is>
          <t>SÖDERMANLANDS LÄN</t>
        </is>
      </c>
      <c r="G600" t="inlineStr">
        <is>
          <t>NYKÖPING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5526-2023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44960</v>
      </c>
      <c r="E601" s="1" t="n">
        <v>46282</v>
      </c>
      <c r="F601" t="inlineStr">
        <is>
          <t>SÖDERMANLANDS LÄN</t>
        </is>
      </c>
      <c r="G601" t="inlineStr">
        <is>
          <t>NYKÖPING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24285-2026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46169</v>
      </c>
      <c r="E602" s="1" t="n">
        <v>46282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Kyrkan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1912-2022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44575</v>
      </c>
      <c r="E603" s="1" t="n">
        <v>46282</v>
      </c>
      <c r="F603" t="inlineStr">
        <is>
          <t>SÖDERMANLANDS LÄN</t>
        </is>
      </c>
      <c r="G603" t="inlineStr">
        <is>
          <t>NYKÖPING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38394-2024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45546</v>
      </c>
      <c r="E604" s="1" t="n">
        <v>46282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Holmen skog AB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15397-2023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45019</v>
      </c>
      <c r="E605" s="1" t="n">
        <v>46282</v>
      </c>
      <c r="F605" t="inlineStr">
        <is>
          <t>SÖDERMANLANDS LÄN</t>
        </is>
      </c>
      <c r="G605" t="inlineStr">
        <is>
          <t>NYKÖPING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19763-2023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45051</v>
      </c>
      <c r="E606" s="1" t="n">
        <v>46282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Holmen skog AB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35458-2023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45146</v>
      </c>
      <c r="E607" s="1" t="n">
        <v>46282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Holmen skog AB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41288-2023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45174</v>
      </c>
      <c r="E608" s="1" t="n">
        <v>46282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Holmen skog AB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1777-2024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45307</v>
      </c>
      <c r="E609" s="1" t="n">
        <v>46282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Kommuner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1745-2023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44938</v>
      </c>
      <c r="E610" s="1" t="n">
        <v>46282</v>
      </c>
      <c r="F610" t="inlineStr">
        <is>
          <t>SÖDERMANLANDS LÄN</t>
        </is>
      </c>
      <c r="G610" t="inlineStr">
        <is>
          <t>NYKÖPING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13967-2026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46098</v>
      </c>
      <c r="E611" s="1" t="n">
        <v>46282</v>
      </c>
      <c r="F611" t="inlineStr">
        <is>
          <t>SÖDERMANLANDS LÄN</t>
        </is>
      </c>
      <c r="G611" t="inlineStr">
        <is>
          <t>NYKÖPING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58496-2025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45985</v>
      </c>
      <c r="E612" s="1" t="n">
        <v>46282</v>
      </c>
      <c r="F612" t="inlineStr">
        <is>
          <t>SÖDERMANLANDS LÄN</t>
        </is>
      </c>
      <c r="G612" t="inlineStr">
        <is>
          <t>NYKÖPING</t>
        </is>
      </c>
      <c r="I612" t="n">
        <v>9.699999999999999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25403-2026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46176</v>
      </c>
      <c r="E613" s="1" t="n">
        <v>46282</v>
      </c>
      <c r="F613" t="inlineStr">
        <is>
          <t>SÖDERMANLANDS LÄN</t>
        </is>
      </c>
      <c r="G613" t="inlineStr">
        <is>
          <t>NYKÖPING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1707-2023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44938</v>
      </c>
      <c r="E614" s="1" t="n">
        <v>46282</v>
      </c>
      <c r="F614" t="inlineStr">
        <is>
          <t>SÖDERMANLANDS LÄN</t>
        </is>
      </c>
      <c r="G614" t="inlineStr">
        <is>
          <t>NYKÖPING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25334-2026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46176</v>
      </c>
      <c r="E615" s="1" t="n">
        <v>46282</v>
      </c>
      <c r="F615" t="inlineStr">
        <is>
          <t>SÖDERMANLANDS LÄN</t>
        </is>
      </c>
      <c r="G615" t="inlineStr">
        <is>
          <t>NYKÖPING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25336-2026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46176</v>
      </c>
      <c r="E616" s="1" t="n">
        <v>46282</v>
      </c>
      <c r="F616" t="inlineStr">
        <is>
          <t>SÖDERMANLANDS LÄN</t>
        </is>
      </c>
      <c r="G616" t="inlineStr">
        <is>
          <t>NYKÖPING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3193-2022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44582</v>
      </c>
      <c r="E617" s="1" t="n">
        <v>46282</v>
      </c>
      <c r="F617" t="inlineStr">
        <is>
          <t>SÖDERMANLANDS LÄN</t>
        </is>
      </c>
      <c r="G617" t="inlineStr">
        <is>
          <t>NYKÖPING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5312-2024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45330</v>
      </c>
      <c r="E618" s="1" t="n">
        <v>46282</v>
      </c>
      <c r="F618" t="inlineStr">
        <is>
          <t>SÖDERMANLANDS LÄN</t>
        </is>
      </c>
      <c r="G618" t="inlineStr">
        <is>
          <t>NYKÖPING</t>
        </is>
      </c>
      <c r="I618" t="n">
        <v>10.9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23114-2023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45075</v>
      </c>
      <c r="E619" s="1" t="n">
        <v>46282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Sveaskog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24280-2022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44725</v>
      </c>
      <c r="E620" s="1" t="n">
        <v>46282</v>
      </c>
      <c r="F620" t="inlineStr">
        <is>
          <t>SÖDERMANLANDS LÄN</t>
        </is>
      </c>
      <c r="G620" t="inlineStr">
        <is>
          <t>NYKÖPING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7253-2022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44606</v>
      </c>
      <c r="E621" s="1" t="n">
        <v>46282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Allmännings- och besparingsskogar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67857-2021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44525</v>
      </c>
      <c r="E622" s="1" t="n">
        <v>46282</v>
      </c>
      <c r="F622" t="inlineStr">
        <is>
          <t>SÖDERMANLANDS LÄN</t>
        </is>
      </c>
      <c r="G622" t="inlineStr">
        <is>
          <t>NYKÖPING</t>
        </is>
      </c>
      <c r="H622" t="inlineStr">
        <is>
          <t>Sveaskog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30860-2023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45110</v>
      </c>
      <c r="E623" s="1" t="n">
        <v>46282</v>
      </c>
      <c r="F623" t="inlineStr">
        <is>
          <t>SÖDERMANLANDS LÄN</t>
        </is>
      </c>
      <c r="G623" t="inlineStr">
        <is>
          <t>NYKÖPING</t>
        </is>
      </c>
      <c r="I623" t="n">
        <v>11.5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12812-2025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45733</v>
      </c>
      <c r="E624" s="1" t="n">
        <v>46282</v>
      </c>
      <c r="F624" t="inlineStr">
        <is>
          <t>SÖDERMANLANDS LÄN</t>
        </is>
      </c>
      <c r="G624" t="inlineStr">
        <is>
          <t>NYKÖPING</t>
        </is>
      </c>
      <c r="H624" t="inlineStr">
        <is>
          <t>Holmen skog AB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1915-2022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44575</v>
      </c>
      <c r="E625" s="1" t="n">
        <v>46282</v>
      </c>
      <c r="F625" t="inlineStr">
        <is>
          <t>SÖDERMANLANDS LÄN</t>
        </is>
      </c>
      <c r="G625" t="inlineStr">
        <is>
          <t>NYKÖPING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53569-2022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44879</v>
      </c>
      <c r="E626" s="1" t="n">
        <v>46282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Övriga Aktiebolag</t>
        </is>
      </c>
      <c r="I626" t="n">
        <v>6.3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27206-2023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45096</v>
      </c>
      <c r="E627" s="1" t="n">
        <v>46282</v>
      </c>
      <c r="F627" t="inlineStr">
        <is>
          <t>SÖDERMANLANDS LÄN</t>
        </is>
      </c>
      <c r="G627" t="inlineStr">
        <is>
          <t>NYKÖPING</t>
        </is>
      </c>
      <c r="H627" t="inlineStr">
        <is>
          <t>Övriga Aktiebolag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5107-2023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44958</v>
      </c>
      <c r="E628" s="1" t="n">
        <v>46282</v>
      </c>
      <c r="F628" t="inlineStr">
        <is>
          <t>SÖDERMANLANDS LÄN</t>
        </is>
      </c>
      <c r="G628" t="inlineStr">
        <is>
          <t>NYKÖPING</t>
        </is>
      </c>
      <c r="I628" t="n">
        <v>4.4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26503-2026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46183</v>
      </c>
      <c r="E629" s="1" t="n">
        <v>46282</v>
      </c>
      <c r="F629" t="inlineStr">
        <is>
          <t>SÖDERMANLANDS LÄN</t>
        </is>
      </c>
      <c r="G629" t="inlineStr">
        <is>
          <t>NYKÖPING</t>
        </is>
      </c>
      <c r="I629" t="n">
        <v>7.2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3216-2023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44946</v>
      </c>
      <c r="E630" s="1" t="n">
        <v>46282</v>
      </c>
      <c r="F630" t="inlineStr">
        <is>
          <t>SÖDERMANLANDS LÄN</t>
        </is>
      </c>
      <c r="G630" t="inlineStr">
        <is>
          <t>NYKÖPING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19027-2026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46131</v>
      </c>
      <c r="E631" s="1" t="n">
        <v>46282</v>
      </c>
      <c r="F631" t="inlineStr">
        <is>
          <t>SÖDERMANLANDS LÄN</t>
        </is>
      </c>
      <c r="G631" t="inlineStr">
        <is>
          <t>NYKÖPING</t>
        </is>
      </c>
      <c r="I631" t="n">
        <v>12.4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26224-2026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46182</v>
      </c>
      <c r="E632" s="1" t="n">
        <v>46282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Sveaskog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39149-2023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45166</v>
      </c>
      <c r="E633" s="1" t="n">
        <v>46282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59733-2021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44494</v>
      </c>
      <c r="E634" s="1" t="n">
        <v>46282</v>
      </c>
      <c r="F634" t="inlineStr">
        <is>
          <t>SÖDERMANLANDS LÄN</t>
        </is>
      </c>
      <c r="G634" t="inlineStr">
        <is>
          <t>NYKÖPING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30855-2023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45110</v>
      </c>
      <c r="E635" s="1" t="n">
        <v>46282</v>
      </c>
      <c r="F635" t="inlineStr">
        <is>
          <t>SÖDERMANLANDS LÄN</t>
        </is>
      </c>
      <c r="G635" t="inlineStr">
        <is>
          <t>NYKÖPING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26685-2026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46184</v>
      </c>
      <c r="E636" s="1" t="n">
        <v>46282</v>
      </c>
      <c r="F636" t="inlineStr">
        <is>
          <t>SÖDERMANLANDS LÄN</t>
        </is>
      </c>
      <c r="G636" t="inlineStr">
        <is>
          <t>NYKÖPING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26643-2026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46184</v>
      </c>
      <c r="E637" s="1" t="n">
        <v>46282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Holmen skog AB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33126-2023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45114</v>
      </c>
      <c r="E638" s="1" t="n">
        <v>46282</v>
      </c>
      <c r="F638" t="inlineStr">
        <is>
          <t>SÖDERMANLANDS LÄN</t>
        </is>
      </c>
      <c r="G638" t="inlineStr">
        <is>
          <t>NYKÖPING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26686-2026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46184</v>
      </c>
      <c r="E639" s="1" t="n">
        <v>46282</v>
      </c>
      <c r="F639" t="inlineStr">
        <is>
          <t>SÖDERMANLANDS LÄN</t>
        </is>
      </c>
      <c r="G639" t="inlineStr">
        <is>
          <t>NYKÖPING</t>
        </is>
      </c>
      <c r="I639" t="n">
        <v>7.9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26687-2026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46184</v>
      </c>
      <c r="E640" s="1" t="n">
        <v>46282</v>
      </c>
      <c r="F640" t="inlineStr">
        <is>
          <t>SÖDERMANLANDS LÄN</t>
        </is>
      </c>
      <c r="G640" t="inlineStr">
        <is>
          <t>NYKÖPING</t>
        </is>
      </c>
      <c r="I640" t="n">
        <v>5.9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50156-2021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44456</v>
      </c>
      <c r="E641" s="1" t="n">
        <v>46282</v>
      </c>
      <c r="F641" t="inlineStr">
        <is>
          <t>SÖDERMANLANDS LÄN</t>
        </is>
      </c>
      <c r="G641" t="inlineStr">
        <is>
          <t>NYKÖPING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41222-2023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45170</v>
      </c>
      <c r="E642" s="1" t="n">
        <v>46282</v>
      </c>
      <c r="F642" t="inlineStr">
        <is>
          <t>SÖDERMANLANDS LÄN</t>
        </is>
      </c>
      <c r="G642" t="inlineStr">
        <is>
          <t>NYKÖPING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58281-2022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44901</v>
      </c>
      <c r="E643" s="1" t="n">
        <v>46282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Holmen skog AB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26848-2026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46185</v>
      </c>
      <c r="E644" s="1" t="n">
        <v>46282</v>
      </c>
      <c r="F644" t="inlineStr">
        <is>
          <t>SÖDERMANLANDS LÄN</t>
        </is>
      </c>
      <c r="G644" t="inlineStr">
        <is>
          <t>NYKÖPING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18478-2025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45762</v>
      </c>
      <c r="E645" s="1" t="n">
        <v>46282</v>
      </c>
      <c r="F645" t="inlineStr">
        <is>
          <t>SÖDERMANLANDS LÄN</t>
        </is>
      </c>
      <c r="G645" t="inlineStr">
        <is>
          <t>NYKÖPING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13858-2022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44649</v>
      </c>
      <c r="E646" s="1" t="n">
        <v>46282</v>
      </c>
      <c r="F646" t="inlineStr">
        <is>
          <t>SÖDERMANLANDS LÄN</t>
        </is>
      </c>
      <c r="G646" t="inlineStr">
        <is>
          <t>NYKÖPING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51725-2021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44462</v>
      </c>
      <c r="E647" s="1" t="n">
        <v>46282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Sveaskog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26839-2026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46282</v>
      </c>
      <c r="F648" t="inlineStr">
        <is>
          <t>SÖDERMANLANDS LÄN</t>
        </is>
      </c>
      <c r="G648" t="inlineStr">
        <is>
          <t>NYKÖPING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26841-2026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46185</v>
      </c>
      <c r="E649" s="1" t="n">
        <v>46282</v>
      </c>
      <c r="F649" t="inlineStr">
        <is>
          <t>SÖDERMANLANDS LÄN</t>
        </is>
      </c>
      <c r="G649" t="inlineStr">
        <is>
          <t>NYKÖPING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2668-2023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44944</v>
      </c>
      <c r="E650" s="1" t="n">
        <v>46282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Sveaskog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33653-2024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45520</v>
      </c>
      <c r="E651" s="1" t="n">
        <v>46282</v>
      </c>
      <c r="F651" t="inlineStr">
        <is>
          <t>SÖDERMANLANDS LÄN</t>
        </is>
      </c>
      <c r="G651" t="inlineStr">
        <is>
          <t>NYKÖPING</t>
        </is>
      </c>
      <c r="I651" t="n">
        <v>5.5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61007-2021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44497</v>
      </c>
      <c r="E652" s="1" t="n">
        <v>46282</v>
      </c>
      <c r="F652" t="inlineStr">
        <is>
          <t>SÖDERMANLANDS LÄN</t>
        </is>
      </c>
      <c r="G652" t="inlineStr">
        <is>
          <t>NYKÖPING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60512-2021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44496</v>
      </c>
      <c r="E653" s="1" t="n">
        <v>46282</v>
      </c>
      <c r="F653" t="inlineStr">
        <is>
          <t>SÖDERMANLANDS LÄN</t>
        </is>
      </c>
      <c r="G653" t="inlineStr">
        <is>
          <t>NYKÖPING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31424-2022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44774</v>
      </c>
      <c r="E654" s="1" t="n">
        <v>46282</v>
      </c>
      <c r="F654" t="inlineStr">
        <is>
          <t>SÖDERMANLANDS LÄN</t>
        </is>
      </c>
      <c r="G654" t="inlineStr">
        <is>
          <t>NYKÖPING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42368-2024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45564</v>
      </c>
      <c r="E655" s="1" t="n">
        <v>46282</v>
      </c>
      <c r="F655" t="inlineStr">
        <is>
          <t>SÖDERMANLANDS LÄN</t>
        </is>
      </c>
      <c r="G655" t="inlineStr">
        <is>
          <t>NYKÖPING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24497-2025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45798</v>
      </c>
      <c r="E656" s="1" t="n">
        <v>46282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Holmen skog AB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23207-2024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45452</v>
      </c>
      <c r="E657" s="1" t="n">
        <v>46282</v>
      </c>
      <c r="F657" t="inlineStr">
        <is>
          <t>SÖDERMANLANDS LÄN</t>
        </is>
      </c>
      <c r="G657" t="inlineStr">
        <is>
          <t>NYKÖPING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4182-2025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45685</v>
      </c>
      <c r="E658" s="1" t="n">
        <v>46282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Holmen skog AB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4124-2025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45685</v>
      </c>
      <c r="E659" s="1" t="n">
        <v>46282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Holmen skog AB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28137-2026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46195</v>
      </c>
      <c r="E660" s="1" t="n">
        <v>46282</v>
      </c>
      <c r="F660" t="inlineStr">
        <is>
          <t>SÖDERMANLANDS LÄN</t>
        </is>
      </c>
      <c r="G660" t="inlineStr">
        <is>
          <t>NYKÖPING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21480-2024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45441</v>
      </c>
      <c r="E661" s="1" t="n">
        <v>46282</v>
      </c>
      <c r="F661" t="inlineStr">
        <is>
          <t>SÖDERMANLANDS LÄN</t>
        </is>
      </c>
      <c r="G661" t="inlineStr">
        <is>
          <t>NYKÖPING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36573-2024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45537</v>
      </c>
      <c r="E662" s="1" t="n">
        <v>46282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Kommuner</t>
        </is>
      </c>
      <c r="I662" t="n">
        <v>4.8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1407-2025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45667</v>
      </c>
      <c r="E663" s="1" t="n">
        <v>46282</v>
      </c>
      <c r="F663" t="inlineStr">
        <is>
          <t>SÖDERMANLANDS LÄN</t>
        </is>
      </c>
      <c r="G663" t="inlineStr">
        <is>
          <t>NYKÖPING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58685-2025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45986</v>
      </c>
      <c r="E664" s="1" t="n">
        <v>46282</v>
      </c>
      <c r="F664" t="inlineStr">
        <is>
          <t>SÖDERMANLANDS LÄN</t>
        </is>
      </c>
      <c r="G664" t="inlineStr">
        <is>
          <t>NYKÖPING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32837-2022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44784</v>
      </c>
      <c r="E665" s="1" t="n">
        <v>46282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Kommuner</t>
        </is>
      </c>
      <c r="I665" t="n">
        <v>4.8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27894-2023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45098</v>
      </c>
      <c r="E666" s="1" t="n">
        <v>46282</v>
      </c>
      <c r="F666" t="inlineStr">
        <is>
          <t>SÖDERMANLANDS LÄN</t>
        </is>
      </c>
      <c r="G666" t="inlineStr">
        <is>
          <t>NYKÖPING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17247-2025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45756</v>
      </c>
      <c r="E667" s="1" t="n">
        <v>46282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Holmen skog AB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29485-2026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46198</v>
      </c>
      <c r="E668" s="1" t="n">
        <v>46282</v>
      </c>
      <c r="F668" t="inlineStr">
        <is>
          <t>SÖDERMANLANDS LÄN</t>
        </is>
      </c>
      <c r="G668" t="inlineStr">
        <is>
          <t>NYKÖPING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18918-2023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45044</v>
      </c>
      <c r="E669" s="1" t="n">
        <v>46282</v>
      </c>
      <c r="F669" t="inlineStr">
        <is>
          <t>SÖDERMANLANDS LÄN</t>
        </is>
      </c>
      <c r="G669" t="inlineStr">
        <is>
          <t>NYKÖPING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18926-2023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45044</v>
      </c>
      <c r="E670" s="1" t="n">
        <v>46282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Holmen skog AB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33095-2026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46245</v>
      </c>
      <c r="E671" s="1" t="n">
        <v>46282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Holmen skog AB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13027-2024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45385</v>
      </c>
      <c r="E672" s="1" t="n">
        <v>46282</v>
      </c>
      <c r="F672" t="inlineStr">
        <is>
          <t>SÖDERMANLANDS LÄN</t>
        </is>
      </c>
      <c r="G672" t="inlineStr">
        <is>
          <t>NYKÖPING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21142-2023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45062</v>
      </c>
      <c r="E673" s="1" t="n">
        <v>46282</v>
      </c>
      <c r="F673" t="inlineStr">
        <is>
          <t>SÖDERMANLANDS LÄN</t>
        </is>
      </c>
      <c r="G673" t="inlineStr">
        <is>
          <t>NYKÖPING</t>
        </is>
      </c>
      <c r="I673" t="n">
        <v>0.2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33020-2026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46244</v>
      </c>
      <c r="E674" s="1" t="n">
        <v>46282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Sveaskog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33088-2026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46245</v>
      </c>
      <c r="E675" s="1" t="n">
        <v>46282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Holmen skog AB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33091-2026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46245</v>
      </c>
      <c r="E676" s="1" t="n">
        <v>46282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Holmen skog AB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65231-2023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45289</v>
      </c>
      <c r="E677" s="1" t="n">
        <v>46282</v>
      </c>
      <c r="F677" t="inlineStr">
        <is>
          <t>SÖDERMANLANDS LÄN</t>
        </is>
      </c>
      <c r="G677" t="inlineStr">
        <is>
          <t>NYKÖPING</t>
        </is>
      </c>
      <c r="I677" t="n">
        <v>5.4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70749-2021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44536</v>
      </c>
      <c r="E678" s="1" t="n">
        <v>46282</v>
      </c>
      <c r="F678" t="inlineStr">
        <is>
          <t>SÖDERMANLANDS LÄN</t>
        </is>
      </c>
      <c r="G678" t="inlineStr">
        <is>
          <t>NYKÖPING</t>
        </is>
      </c>
      <c r="I678" t="n">
        <v>5.1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31868-2023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45107</v>
      </c>
      <c r="E679" s="1" t="n">
        <v>46282</v>
      </c>
      <c r="F679" t="inlineStr">
        <is>
          <t>SÖDERMANLANDS LÄN</t>
        </is>
      </c>
      <c r="G679" t="inlineStr">
        <is>
          <t>NYKÖPING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51530-2022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44869</v>
      </c>
      <c r="E680" s="1" t="n">
        <v>46282</v>
      </c>
      <c r="F680" t="inlineStr">
        <is>
          <t>SÖDERMANLANDS LÄN</t>
        </is>
      </c>
      <c r="G680" t="inlineStr">
        <is>
          <t>NYKÖPING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72679-2021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44546</v>
      </c>
      <c r="E681" s="1" t="n">
        <v>46282</v>
      </c>
      <c r="F681" t="inlineStr">
        <is>
          <t>SÖDERMANLANDS LÄN</t>
        </is>
      </c>
      <c r="G681" t="inlineStr">
        <is>
          <t>NYKÖPING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33366-2026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46247</v>
      </c>
      <c r="E682" s="1" t="n">
        <v>46282</v>
      </c>
      <c r="F682" t="inlineStr">
        <is>
          <t>SÖDERMANLANDS LÄN</t>
        </is>
      </c>
      <c r="G682" t="inlineStr">
        <is>
          <t>NYKÖPING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56491-2022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44893</v>
      </c>
      <c r="E683" s="1" t="n">
        <v>46282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Övriga Aktiebolag</t>
        </is>
      </c>
      <c r="I683" t="n">
        <v>10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8299-2024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45350</v>
      </c>
      <c r="E684" s="1" t="n">
        <v>46282</v>
      </c>
      <c r="F684" t="inlineStr">
        <is>
          <t>SÖDERMANLANDS LÄN</t>
        </is>
      </c>
      <c r="G684" t="inlineStr">
        <is>
          <t>NYKÖPING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8340-2023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44976</v>
      </c>
      <c r="E685" s="1" t="n">
        <v>46282</v>
      </c>
      <c r="F685" t="inlineStr">
        <is>
          <t>SÖDERMANLANDS LÄN</t>
        </is>
      </c>
      <c r="G685" t="inlineStr">
        <is>
          <t>NYKÖPING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50698-2024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45602</v>
      </c>
      <c r="E686" s="1" t="n">
        <v>46282</v>
      </c>
      <c r="F686" t="inlineStr">
        <is>
          <t>SÖDERMANLANDS LÄN</t>
        </is>
      </c>
      <c r="G686" t="inlineStr">
        <is>
          <t>NYKÖPING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30212-2026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46206</v>
      </c>
      <c r="E687" s="1" t="n">
        <v>46282</v>
      </c>
      <c r="F687" t="inlineStr">
        <is>
          <t>SÖDERMANLANDS LÄN</t>
        </is>
      </c>
      <c r="G687" t="inlineStr">
        <is>
          <t>NYKÖPING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3353-2022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44585</v>
      </c>
      <c r="E688" s="1" t="n">
        <v>46282</v>
      </c>
      <c r="F688" t="inlineStr">
        <is>
          <t>SÖDERMANLANDS LÄN</t>
        </is>
      </c>
      <c r="G688" t="inlineStr">
        <is>
          <t>NYKÖPING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27915-2023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45098</v>
      </c>
      <c r="E689" s="1" t="n">
        <v>46282</v>
      </c>
      <c r="F689" t="inlineStr">
        <is>
          <t>SÖDERMANLANDS LÄN</t>
        </is>
      </c>
      <c r="G689" t="inlineStr">
        <is>
          <t>NYKÖPING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27933-2023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45098</v>
      </c>
      <c r="E690" s="1" t="n">
        <v>46282</v>
      </c>
      <c r="F690" t="inlineStr">
        <is>
          <t>SÖDERMANLANDS LÄN</t>
        </is>
      </c>
      <c r="G690" t="inlineStr">
        <is>
          <t>NYKÖPING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33494-2026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46247</v>
      </c>
      <c r="E691" s="1" t="n">
        <v>46282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Holmen skog AB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5521-2023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44960</v>
      </c>
      <c r="E692" s="1" t="n">
        <v>46282</v>
      </c>
      <c r="F692" t="inlineStr">
        <is>
          <t>SÖDERMANLANDS LÄN</t>
        </is>
      </c>
      <c r="G692" t="inlineStr">
        <is>
          <t>NYKÖPING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34161-2026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46253</v>
      </c>
      <c r="E693" s="1" t="n">
        <v>46282</v>
      </c>
      <c r="F693" t="inlineStr">
        <is>
          <t>SÖDERMANLANDS LÄN</t>
        </is>
      </c>
      <c r="G693" t="inlineStr">
        <is>
          <t>NYKÖPING</t>
        </is>
      </c>
      <c r="I693" t="n">
        <v>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10981-2024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45370</v>
      </c>
      <c r="E694" s="1" t="n">
        <v>46282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Kommuner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30198-2022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44757</v>
      </c>
      <c r="E695" s="1" t="n">
        <v>46282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Holmen skog AB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30695-2026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46211</v>
      </c>
      <c r="E696" s="1" t="n">
        <v>46282</v>
      </c>
      <c r="F696" t="inlineStr">
        <is>
          <t>SÖDERMANLANDS LÄN</t>
        </is>
      </c>
      <c r="G696" t="inlineStr">
        <is>
          <t>NYKÖPING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42525-2023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45181</v>
      </c>
      <c r="E697" s="1" t="n">
        <v>46282</v>
      </c>
      <c r="F697" t="inlineStr">
        <is>
          <t>SÖDERMANLANDS LÄN</t>
        </is>
      </c>
      <c r="G697" t="inlineStr">
        <is>
          <t>NYKÖPING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4877-2024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45329</v>
      </c>
      <c r="E698" s="1" t="n">
        <v>46282</v>
      </c>
      <c r="F698" t="inlineStr">
        <is>
          <t>SÖDERMANLANDS LÄN</t>
        </is>
      </c>
      <c r="G698" t="inlineStr">
        <is>
          <t>NYKÖPING</t>
        </is>
      </c>
      <c r="I698" t="n">
        <v>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52551-2023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45218</v>
      </c>
      <c r="E699" s="1" t="n">
        <v>46282</v>
      </c>
      <c r="F699" t="inlineStr">
        <is>
          <t>SÖDERMANLANDS LÄN</t>
        </is>
      </c>
      <c r="G699" t="inlineStr">
        <is>
          <t>NYKÖPING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34169-2026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46253</v>
      </c>
      <c r="E700" s="1" t="n">
        <v>46282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Kyrkan</t>
        </is>
      </c>
      <c r="I700" t="n">
        <v>0.3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30720-2026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46211</v>
      </c>
      <c r="E701" s="1" t="n">
        <v>46282</v>
      </c>
      <c r="F701" t="inlineStr">
        <is>
          <t>SÖDERMANLANDS LÄN</t>
        </is>
      </c>
      <c r="G701" t="inlineStr">
        <is>
          <t>NYKÖPING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51259-2024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45603</v>
      </c>
      <c r="E702" s="1" t="n">
        <v>46282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Sveaskog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32584-2026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46240</v>
      </c>
      <c r="E703" s="1" t="n">
        <v>46282</v>
      </c>
      <c r="F703" t="inlineStr">
        <is>
          <t>SÖDERMANLANDS LÄN</t>
        </is>
      </c>
      <c r="G703" t="inlineStr">
        <is>
          <t>NYKÖPING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8324-2024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45350</v>
      </c>
      <c r="E704" s="1" t="n">
        <v>46282</v>
      </c>
      <c r="F704" t="inlineStr">
        <is>
          <t>SÖDERMANLANDS LÄN</t>
        </is>
      </c>
      <c r="G704" t="inlineStr">
        <is>
          <t>NYKÖPING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29487-2026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46198</v>
      </c>
      <c r="E705" s="1" t="n">
        <v>46282</v>
      </c>
      <c r="F705" t="inlineStr">
        <is>
          <t>SÖDERMANLANDS LÄN</t>
        </is>
      </c>
      <c r="G705" t="inlineStr">
        <is>
          <t>NYKÖPING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29487-2026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46198</v>
      </c>
      <c r="E706" s="1" t="n">
        <v>46282</v>
      </c>
      <c r="F706" t="inlineStr">
        <is>
          <t>SÖDERMANLANDS LÄN</t>
        </is>
      </c>
      <c r="G706" t="inlineStr">
        <is>
          <t>NYKÖPING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3475-2023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44949</v>
      </c>
      <c r="E707" s="1" t="n">
        <v>46282</v>
      </c>
      <c r="F707" t="inlineStr">
        <is>
          <t>SÖDERMANLANDS LÄN</t>
        </is>
      </c>
      <c r="G707" t="inlineStr">
        <is>
          <t>NYKÖPING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56322-2023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45243</v>
      </c>
      <c r="E708" s="1" t="n">
        <v>46282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Kommuner</t>
        </is>
      </c>
      <c r="I708" t="n">
        <v>0.3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32875-2022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44784</v>
      </c>
      <c r="E709" s="1" t="n">
        <v>46282</v>
      </c>
      <c r="F709" t="inlineStr">
        <is>
          <t>SÖDERMANLANDS LÄN</t>
        </is>
      </c>
      <c r="G709" t="inlineStr">
        <is>
          <t>NYKÖPING</t>
        </is>
      </c>
      <c r="I709" t="n">
        <v>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51689-2021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44462</v>
      </c>
      <c r="E710" s="1" t="n">
        <v>46282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Sveaskog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72666-2021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44546</v>
      </c>
      <c r="E711" s="1" t="n">
        <v>46282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38410-2022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44812</v>
      </c>
      <c r="E712" s="1" t="n">
        <v>46282</v>
      </c>
      <c r="F712" t="inlineStr">
        <is>
          <t>SÖDERMANLANDS LÄN</t>
        </is>
      </c>
      <c r="G712" t="inlineStr">
        <is>
          <t>NYKÖPING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55983-2021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44477</v>
      </c>
      <c r="E713" s="1" t="n">
        <v>46282</v>
      </c>
      <c r="F713" t="inlineStr">
        <is>
          <t>SÖDERMANLANDS LÄN</t>
        </is>
      </c>
      <c r="G713" t="inlineStr">
        <is>
          <t>NYKÖPING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1930-2022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44575</v>
      </c>
      <c r="E714" s="1" t="n">
        <v>46282</v>
      </c>
      <c r="F714" t="inlineStr">
        <is>
          <t>SÖDERMANLANDS LÄN</t>
        </is>
      </c>
      <c r="G714" t="inlineStr">
        <is>
          <t>NYKÖPING</t>
        </is>
      </c>
      <c r="I714" t="n">
        <v>4.5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33669-2023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45132</v>
      </c>
      <c r="E715" s="1" t="n">
        <v>46282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Holmen skog AB</t>
        </is>
      </c>
      <c r="I715" t="n">
        <v>5.9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33670-2023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45132</v>
      </c>
      <c r="E716" s="1" t="n">
        <v>46282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Holmen skog AB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2513-2022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44579</v>
      </c>
      <c r="E717" s="1" t="n">
        <v>46282</v>
      </c>
      <c r="F717" t="inlineStr">
        <is>
          <t>SÖDERMANLANDS LÄN</t>
        </is>
      </c>
      <c r="G717" t="inlineStr">
        <is>
          <t>NYKÖPING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52258-2023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45224</v>
      </c>
      <c r="E718" s="1" t="n">
        <v>46282</v>
      </c>
      <c r="F718" t="inlineStr">
        <is>
          <t>SÖDERMANLANDS LÄN</t>
        </is>
      </c>
      <c r="G718" t="inlineStr">
        <is>
          <t>NYKÖPING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21257-2023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45062</v>
      </c>
      <c r="E719" s="1" t="n">
        <v>46282</v>
      </c>
      <c r="F719" t="inlineStr">
        <is>
          <t>SÖDERMANLANDS LÄN</t>
        </is>
      </c>
      <c r="G719" t="inlineStr">
        <is>
          <t>NYKÖPING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31469-2026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46222</v>
      </c>
      <c r="E720" s="1" t="n">
        <v>46282</v>
      </c>
      <c r="F720" t="inlineStr">
        <is>
          <t>SÖDERMANLANDS LÄN</t>
        </is>
      </c>
      <c r="G720" t="inlineStr">
        <is>
          <t>NYKÖPING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1558-2024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45306</v>
      </c>
      <c r="E721" s="1" t="n">
        <v>46282</v>
      </c>
      <c r="F721" t="inlineStr">
        <is>
          <t>SÖDERMANLANDS LÄN</t>
        </is>
      </c>
      <c r="G721" t="inlineStr">
        <is>
          <t>NYKÖPING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60210-2022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44910</v>
      </c>
      <c r="E722" s="1" t="n">
        <v>46282</v>
      </c>
      <c r="F722" t="inlineStr">
        <is>
          <t>SÖDERMANLANDS LÄN</t>
        </is>
      </c>
      <c r="G722" t="inlineStr">
        <is>
          <t>NYKÖPING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51410-2022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44869</v>
      </c>
      <c r="E723" s="1" t="n">
        <v>46282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Holmen skog AB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61008-2023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45261</v>
      </c>
      <c r="E724" s="1" t="n">
        <v>46282</v>
      </c>
      <c r="F724" t="inlineStr">
        <is>
          <t>SÖDERMANLANDS LÄN</t>
        </is>
      </c>
      <c r="G724" t="inlineStr">
        <is>
          <t>NYKÖPING</t>
        </is>
      </c>
      <c r="H724" t="inlineStr">
        <is>
          <t>Holmen skog AB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1804-2023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44938</v>
      </c>
      <c r="E725" s="1" t="n">
        <v>46282</v>
      </c>
      <c r="F725" t="inlineStr">
        <is>
          <t>SÖDERMANLANDS LÄN</t>
        </is>
      </c>
      <c r="G725" t="inlineStr">
        <is>
          <t>NYKÖPING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14848-2024</t>
        </is>
      </c>
      <c r="B726" t="inlineStr">
        <is>
          <t>avverkningsanmälan</t>
        </is>
      </c>
      <c r="C726" t="inlineStr">
        <is>
          <t>Avverkning för att bevara och utveckla /försöksver</t>
        </is>
      </c>
      <c r="D726" s="1" t="n">
        <v>45398</v>
      </c>
      <c r="E726" s="1" t="n">
        <v>46282</v>
      </c>
      <c r="F726" t="inlineStr">
        <is>
          <t>SÖDERMANLANDS LÄN</t>
        </is>
      </c>
      <c r="G726" t="inlineStr">
        <is>
          <t>NYKÖPING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2041-2022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44575</v>
      </c>
      <c r="E727" s="1" t="n">
        <v>46282</v>
      </c>
      <c r="F727" t="inlineStr">
        <is>
          <t>SÖDERMANLANDS LÄN</t>
        </is>
      </c>
      <c r="G727" t="inlineStr">
        <is>
          <t>NYKÖPING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57028-2024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45628</v>
      </c>
      <c r="E728" s="1" t="n">
        <v>46282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Holmen skog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21249-2023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45062</v>
      </c>
      <c r="E729" s="1" t="n">
        <v>46282</v>
      </c>
      <c r="F729" t="inlineStr">
        <is>
          <t>SÖDERMANLANDS LÄN</t>
        </is>
      </c>
      <c r="G729" t="inlineStr">
        <is>
          <t>NYKÖPING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2255-2024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45310</v>
      </c>
      <c r="E730" s="1" t="n">
        <v>46282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Holmen skog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14370-2022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44652</v>
      </c>
      <c r="E731" s="1" t="n">
        <v>46282</v>
      </c>
      <c r="F731" t="inlineStr">
        <is>
          <t>SÖDERMANLANDS LÄN</t>
        </is>
      </c>
      <c r="G731" t="inlineStr">
        <is>
          <t>NYKÖPING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3571-2023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44950</v>
      </c>
      <c r="E732" s="1" t="n">
        <v>46282</v>
      </c>
      <c r="F732" t="inlineStr">
        <is>
          <t>SÖDERMANLANDS LÄN</t>
        </is>
      </c>
      <c r="G732" t="inlineStr">
        <is>
          <t>NYKÖPING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8407-2023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44977</v>
      </c>
      <c r="E733" s="1" t="n">
        <v>46282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Övriga Aktiebolag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926-2023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44932</v>
      </c>
      <c r="E734" s="1" t="n">
        <v>46282</v>
      </c>
      <c r="F734" t="inlineStr">
        <is>
          <t>SÖDERMANLANDS LÄN</t>
        </is>
      </c>
      <c r="G734" t="inlineStr">
        <is>
          <t>NYKÖPING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929-2023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44932</v>
      </c>
      <c r="E735" s="1" t="n">
        <v>46282</v>
      </c>
      <c r="F735" t="inlineStr">
        <is>
          <t>SÖDERMANLANDS LÄN</t>
        </is>
      </c>
      <c r="G735" t="inlineStr">
        <is>
          <t>NYKÖPING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18080-2026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46125</v>
      </c>
      <c r="E736" s="1" t="n">
        <v>46282</v>
      </c>
      <c r="F736" t="inlineStr">
        <is>
          <t>SÖDERMANLANDS LÄN</t>
        </is>
      </c>
      <c r="G736" t="inlineStr">
        <is>
          <t>NYKÖPING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34049-2026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46252</v>
      </c>
      <c r="E737" s="1" t="n">
        <v>46282</v>
      </c>
      <c r="F737" t="inlineStr">
        <is>
          <t>SÖDERMANLANDS LÄN</t>
        </is>
      </c>
      <c r="G737" t="inlineStr">
        <is>
          <t>NYKÖPING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41241-2023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45173</v>
      </c>
      <c r="E738" s="1" t="n">
        <v>46282</v>
      </c>
      <c r="F738" t="inlineStr">
        <is>
          <t>SÖDERMANLANDS LÄN</t>
        </is>
      </c>
      <c r="G738" t="inlineStr">
        <is>
          <t>NYKÖPING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53800-2022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44880</v>
      </c>
      <c r="E739" s="1" t="n">
        <v>46282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Övriga Aktiebolag</t>
        </is>
      </c>
      <c r="I739" t="n">
        <v>7.4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18123-2023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45040</v>
      </c>
      <c r="E740" s="1" t="n">
        <v>46282</v>
      </c>
      <c r="F740" t="inlineStr">
        <is>
          <t>SÖDERMANLANDS LÄN</t>
        </is>
      </c>
      <c r="G740" t="inlineStr">
        <is>
          <t>NYKÖPING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31760-2026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46228</v>
      </c>
      <c r="E741" s="1" t="n">
        <v>46282</v>
      </c>
      <c r="F741" t="inlineStr">
        <is>
          <t>SÖDERMANLANDS LÄN</t>
        </is>
      </c>
      <c r="G741" t="inlineStr">
        <is>
          <t>NYKÖPING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24197-2022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44725</v>
      </c>
      <c r="E742" s="1" t="n">
        <v>46282</v>
      </c>
      <c r="F742" t="inlineStr">
        <is>
          <t>SÖDERMANLANDS LÄN</t>
        </is>
      </c>
      <c r="G742" t="inlineStr">
        <is>
          <t>NYKÖPING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32928-2022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44784</v>
      </c>
      <c r="E743" s="1" t="n">
        <v>46282</v>
      </c>
      <c r="F743" t="inlineStr">
        <is>
          <t>SÖDERMANLANDS LÄN</t>
        </is>
      </c>
      <c r="G743" t="inlineStr">
        <is>
          <t>NYKÖPING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16457-2023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45029</v>
      </c>
      <c r="E744" s="1" t="n">
        <v>46282</v>
      </c>
      <c r="F744" t="inlineStr">
        <is>
          <t>SÖDERMANLANDS LÄN</t>
        </is>
      </c>
      <c r="G744" t="inlineStr">
        <is>
          <t>NYKÖPING</t>
        </is>
      </c>
      <c r="I744" t="n">
        <v>0.1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65174-2023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45288</v>
      </c>
      <c r="E745" s="1" t="n">
        <v>46282</v>
      </c>
      <c r="F745" t="inlineStr">
        <is>
          <t>SÖDERMANLANDS LÄN</t>
        </is>
      </c>
      <c r="G745" t="inlineStr">
        <is>
          <t>NYKÖPING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49223-2022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44858</v>
      </c>
      <c r="E746" s="1" t="n">
        <v>46282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Övriga statliga verk och myndigheter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7036-2023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44968</v>
      </c>
      <c r="E747" s="1" t="n">
        <v>46282</v>
      </c>
      <c r="F747" t="inlineStr">
        <is>
          <t>SÖDERMANLANDS LÄN</t>
        </is>
      </c>
      <c r="G747" t="inlineStr">
        <is>
          <t>NYKÖPING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38054-2023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45160</v>
      </c>
      <c r="E748" s="1" t="n">
        <v>46282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Kommuner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38063-2023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45160</v>
      </c>
      <c r="E749" s="1" t="n">
        <v>46282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Kommuner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4479-2025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45686</v>
      </c>
      <c r="E750" s="1" t="n">
        <v>46282</v>
      </c>
      <c r="F750" t="inlineStr">
        <is>
          <t>SÖDERMANLANDS LÄN</t>
        </is>
      </c>
      <c r="G750" t="inlineStr">
        <is>
          <t>NYKÖPING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11554-2025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45727</v>
      </c>
      <c r="E751" s="1" t="n">
        <v>46282</v>
      </c>
      <c r="F751" t="inlineStr">
        <is>
          <t>SÖDERMANLANDS LÄN</t>
        </is>
      </c>
      <c r="G751" t="inlineStr">
        <is>
          <t>NYKÖPING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10287-2024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45365</v>
      </c>
      <c r="E752" s="1" t="n">
        <v>46282</v>
      </c>
      <c r="F752" t="inlineStr">
        <is>
          <t>SÖDERMANLANDS LÄN</t>
        </is>
      </c>
      <c r="G752" t="inlineStr">
        <is>
          <t>NYKÖPING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1638-2024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45306</v>
      </c>
      <c r="E753" s="1" t="n">
        <v>46282</v>
      </c>
      <c r="F753" t="inlineStr">
        <is>
          <t>SÖDERMANLANDS LÄN</t>
        </is>
      </c>
      <c r="G753" t="inlineStr">
        <is>
          <t>NYKÖPING</t>
        </is>
      </c>
      <c r="H753" t="inlineStr">
        <is>
          <t>Kommuner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65172-2023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45288</v>
      </c>
      <c r="E754" s="1" t="n">
        <v>46282</v>
      </c>
      <c r="F754" t="inlineStr">
        <is>
          <t>SÖDERMANLANDS LÄN</t>
        </is>
      </c>
      <c r="G754" t="inlineStr">
        <is>
          <t>NYKÖPING</t>
        </is>
      </c>
      <c r="I754" t="n">
        <v>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38922-2024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45547</v>
      </c>
      <c r="E755" s="1" t="n">
        <v>46282</v>
      </c>
      <c r="F755" t="inlineStr">
        <is>
          <t>SÖDERMANLANDS LÄN</t>
        </is>
      </c>
      <c r="G755" t="inlineStr">
        <is>
          <t>NYKÖPING</t>
        </is>
      </c>
      <c r="I755" t="n">
        <v>10.3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11908-2023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44995</v>
      </c>
      <c r="E756" s="1" t="n">
        <v>46282</v>
      </c>
      <c r="F756" t="inlineStr">
        <is>
          <t>SÖDERMANLANDS LÄN</t>
        </is>
      </c>
      <c r="G756" t="inlineStr">
        <is>
          <t>NYKÖPING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2939-2022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44581</v>
      </c>
      <c r="E757" s="1" t="n">
        <v>46282</v>
      </c>
      <c r="F757" t="inlineStr">
        <is>
          <t>SÖDERMANLANDS LÄN</t>
        </is>
      </c>
      <c r="G757" t="inlineStr">
        <is>
          <t>NYKÖPING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36000-2023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45148</v>
      </c>
      <c r="E758" s="1" t="n">
        <v>46282</v>
      </c>
      <c r="F758" t="inlineStr">
        <is>
          <t>SÖDERMANLANDS LÄN</t>
        </is>
      </c>
      <c r="G758" t="inlineStr">
        <is>
          <t>NYKÖPING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8787-2025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45712</v>
      </c>
      <c r="E759" s="1" t="n">
        <v>46282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Holmen skog AB</t>
        </is>
      </c>
      <c r="I759" t="n">
        <v>4.2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32120-2026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46234</v>
      </c>
      <c r="E760" s="1" t="n">
        <v>46282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Holmen skog AB</t>
        </is>
      </c>
      <c r="I760" t="n">
        <v>2.9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24285-2022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44725</v>
      </c>
      <c r="E761" s="1" t="n">
        <v>46282</v>
      </c>
      <c r="F761" t="inlineStr">
        <is>
          <t>SÖDERMANLANDS LÄN</t>
        </is>
      </c>
      <c r="G761" t="inlineStr">
        <is>
          <t>NYKÖPING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6491-2023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44966</v>
      </c>
      <c r="E762" s="1" t="n">
        <v>46282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Övriga Aktiebolag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71555-2021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44540</v>
      </c>
      <c r="E763" s="1" t="n">
        <v>46282</v>
      </c>
      <c r="F763" t="inlineStr">
        <is>
          <t>SÖDERMANLANDS LÄN</t>
        </is>
      </c>
      <c r="G763" t="inlineStr">
        <is>
          <t>NYKÖPING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17372-2023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45034</v>
      </c>
      <c r="E764" s="1" t="n">
        <v>46282</v>
      </c>
      <c r="F764" t="inlineStr">
        <is>
          <t>SÖDERMANLANDS LÄN</t>
        </is>
      </c>
      <c r="G764" t="inlineStr">
        <is>
          <t>NYKÖPING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42251-2022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44830</v>
      </c>
      <c r="E765" s="1" t="n">
        <v>46282</v>
      </c>
      <c r="F765" t="inlineStr">
        <is>
          <t>SÖDERMANLANDS LÄN</t>
        </is>
      </c>
      <c r="G765" t="inlineStr">
        <is>
          <t>NYKÖPING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36714-2023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45153</v>
      </c>
      <c r="E766" s="1" t="n">
        <v>46282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Kommuner</t>
        </is>
      </c>
      <c r="I766" t="n">
        <v>4.7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58857-2021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44489</v>
      </c>
      <c r="E767" s="1" t="n">
        <v>46282</v>
      </c>
      <c r="F767" t="inlineStr">
        <is>
          <t>SÖDERMANLANDS LÄN</t>
        </is>
      </c>
      <c r="G767" t="inlineStr">
        <is>
          <t>NYKÖPING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20482-2025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45775</v>
      </c>
      <c r="E768" s="1" t="n">
        <v>46282</v>
      </c>
      <c r="F768" t="inlineStr">
        <is>
          <t>SÖDERMANLANDS LÄN</t>
        </is>
      </c>
      <c r="G768" t="inlineStr">
        <is>
          <t>NYKÖPING</t>
        </is>
      </c>
      <c r="H768" t="inlineStr">
        <is>
          <t>Kommuner</t>
        </is>
      </c>
      <c r="I768" t="n">
        <v>4.8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44824-2023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45190</v>
      </c>
      <c r="E769" s="1" t="n">
        <v>46282</v>
      </c>
      <c r="F769" t="inlineStr">
        <is>
          <t>SÖDERMANLANDS LÄN</t>
        </is>
      </c>
      <c r="G769" t="inlineStr">
        <is>
          <t>NYKÖPING</t>
        </is>
      </c>
      <c r="H769" t="inlineStr">
        <is>
          <t>Holmen skog AB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7045-2023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44968</v>
      </c>
      <c r="E770" s="1" t="n">
        <v>46282</v>
      </c>
      <c r="F770" t="inlineStr">
        <is>
          <t>SÖDERMANLANDS LÄN</t>
        </is>
      </c>
      <c r="G770" t="inlineStr">
        <is>
          <t>NYKÖPING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32295-2026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46237</v>
      </c>
      <c r="E771" s="1" t="n">
        <v>46282</v>
      </c>
      <c r="F771" t="inlineStr">
        <is>
          <t>SÖDERMANLANDS LÄN</t>
        </is>
      </c>
      <c r="G771" t="inlineStr">
        <is>
          <t>NYKÖPING</t>
        </is>
      </c>
      <c r="H771" t="inlineStr">
        <is>
          <t>Sveaskog</t>
        </is>
      </c>
      <c r="I771" t="n">
        <v>5.2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37954-2026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46280</v>
      </c>
      <c r="E772" s="1" t="n">
        <v>46282</v>
      </c>
      <c r="F772" t="inlineStr">
        <is>
          <t>SÖDERMANLANDS LÄN</t>
        </is>
      </c>
      <c r="G772" t="inlineStr">
        <is>
          <t>NYKÖPING</t>
        </is>
      </c>
      <c r="H772" t="inlineStr">
        <is>
          <t>Holmen skog AB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32499-2026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46239</v>
      </c>
      <c r="E773" s="1" t="n">
        <v>46282</v>
      </c>
      <c r="F773" t="inlineStr">
        <is>
          <t>SÖDERMANLANDS LÄN</t>
        </is>
      </c>
      <c r="G773" t="inlineStr">
        <is>
          <t>NYKÖPING</t>
        </is>
      </c>
      <c r="H773" t="inlineStr">
        <is>
          <t>Sveaskog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58553-2024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45635</v>
      </c>
      <c r="E774" s="1" t="n">
        <v>46282</v>
      </c>
      <c r="F774" t="inlineStr">
        <is>
          <t>SÖDERMANLANDS LÄN</t>
        </is>
      </c>
      <c r="G774" t="inlineStr">
        <is>
          <t>NYKÖPING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34203-2024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45524</v>
      </c>
      <c r="E775" s="1" t="n">
        <v>46282</v>
      </c>
      <c r="F775" t="inlineStr">
        <is>
          <t>SÖDERMANLANDS LÄN</t>
        </is>
      </c>
      <c r="G775" t="inlineStr">
        <is>
          <t>NYKÖPING</t>
        </is>
      </c>
      <c r="I775" t="n">
        <v>2.9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59148-2024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45637</v>
      </c>
      <c r="E776" s="1" t="n">
        <v>46282</v>
      </c>
      <c r="F776" t="inlineStr">
        <is>
          <t>SÖDERMANLANDS LÄN</t>
        </is>
      </c>
      <c r="G776" t="inlineStr">
        <is>
          <t>NYKÖPING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53071-2024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45611</v>
      </c>
      <c r="E777" s="1" t="n">
        <v>46282</v>
      </c>
      <c r="F777" t="inlineStr">
        <is>
          <t>SÖDERMANLANDS LÄN</t>
        </is>
      </c>
      <c r="G777" t="inlineStr">
        <is>
          <t>NYKÖPING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1999-2020</t>
        </is>
      </c>
      <c r="B778" t="inlineStr">
        <is>
          <t>samrådsanmälan</t>
        </is>
      </c>
      <c r="C778" t="inlineStr">
        <is>
          <t>Åtgärd i nyckelbiotop</t>
        </is>
      </c>
      <c r="D778" s="1" t="n">
        <v>44092</v>
      </c>
      <c r="E778" s="1" t="n">
        <v>46282</v>
      </c>
      <c r="F778" t="inlineStr">
        <is>
          <t>SÖDERMANLANDS LÄN</t>
        </is>
      </c>
      <c r="G778" t="inlineStr">
        <is>
          <t>NYKÖPING</t>
        </is>
      </c>
      <c r="H778" t="inlineStr">
        <is>
          <t>Kommuner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1573-2020</t>
        </is>
      </c>
      <c r="B779" t="inlineStr">
        <is>
          <t>samrådsanmälan</t>
        </is>
      </c>
      <c r="C779" t="inlineStr">
        <is>
          <t>Åtgärd i nyckelbiotop</t>
        </is>
      </c>
      <c r="D779" s="1" t="n">
        <v>44013</v>
      </c>
      <c r="E779" s="1" t="n">
        <v>46282</v>
      </c>
      <c r="F779" t="inlineStr">
        <is>
          <t>SÖDERMANLANDS LÄN</t>
        </is>
      </c>
      <c r="G779" t="inlineStr">
        <is>
          <t>NYKÖPING</t>
        </is>
      </c>
      <c r="I779" t="n">
        <v>0.1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3783-2023</t>
        </is>
      </c>
      <c r="B780" t="inlineStr">
        <is>
          <t>samrådsanmälan</t>
        </is>
      </c>
      <c r="C780" t="inlineStr">
        <is>
          <t>Annan skogsbruksåtgärd</t>
        </is>
      </c>
      <c r="D780" s="1" t="n">
        <v>45223</v>
      </c>
      <c r="E780" s="1" t="n">
        <v>46282</v>
      </c>
      <c r="F780" t="inlineStr">
        <is>
          <t>SÖDERMANLANDS LÄN</t>
        </is>
      </c>
      <c r="G780" t="inlineStr">
        <is>
          <t>NYKÖPING</t>
        </is>
      </c>
      <c r="H780" t="inlineStr">
        <is>
          <t>Sveaskog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2311-2022</t>
        </is>
      </c>
      <c r="B781" t="inlineStr">
        <is>
          <t>samrådsanmälan</t>
        </is>
      </c>
      <c r="C781" t="inlineStr">
        <is>
          <t>Åtgärd i nyckelbiotop</t>
        </is>
      </c>
      <c r="D781" s="1" t="n">
        <v>44684</v>
      </c>
      <c r="E781" s="1" t="n">
        <v>46282</v>
      </c>
      <c r="F781" t="inlineStr">
        <is>
          <t>SÖDERMANLANDS LÄN</t>
        </is>
      </c>
      <c r="G781" t="inlineStr">
        <is>
          <t>NYKÖPING</t>
        </is>
      </c>
      <c r="I781" t="n">
        <v>0.3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220-2023</t>
        </is>
      </c>
      <c r="B782" t="inlineStr">
        <is>
          <t>samrådsanmälan</t>
        </is>
      </c>
      <c r="C782" t="inlineStr">
        <is>
          <t>Stubbskörd</t>
        </is>
      </c>
      <c r="D782" s="1" t="n">
        <v>44949</v>
      </c>
      <c r="E782" s="1" t="n">
        <v>46282</v>
      </c>
      <c r="F782" t="inlineStr">
        <is>
          <t>SÖDERMANLANDS LÄN</t>
        </is>
      </c>
      <c r="G782" t="inlineStr">
        <is>
          <t>NYKÖPING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3579-2022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44735</v>
      </c>
      <c r="E783" s="1" t="n">
        <v>46282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Sveaskog</t>
        </is>
      </c>
      <c r="I783" t="n">
        <v>3.1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1224-2023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45029</v>
      </c>
      <c r="E784" s="1" t="n">
        <v>46282</v>
      </c>
      <c r="F784" t="inlineStr">
        <is>
          <t>SÖDERMANLANDS LÄN</t>
        </is>
      </c>
      <c r="G784" t="inlineStr">
        <is>
          <t>NYKÖPING</t>
        </is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633-2025</t>
        </is>
      </c>
      <c r="B785" t="inlineStr">
        <is>
          <t>samrådsanmälan</t>
        </is>
      </c>
      <c r="C785" t="inlineStr">
        <is>
          <t>Skogsgödsling</t>
        </is>
      </c>
      <c r="D785" s="1" t="n">
        <v>45714</v>
      </c>
      <c r="E785" s="1" t="n">
        <v>46282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Holmen skog AB</t>
        </is>
      </c>
      <c r="I785" t="n">
        <v>39.6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3071-2024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45517</v>
      </c>
      <c r="E786" s="1" t="n">
        <v>46282</v>
      </c>
      <c r="F786" t="inlineStr">
        <is>
          <t>SÖDERMANLANDS LÄN</t>
        </is>
      </c>
      <c r="G786" t="inlineStr">
        <is>
          <t>NYKÖPING</t>
        </is>
      </c>
      <c r="H786" t="inlineStr">
        <is>
          <t>Sveaskog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2818-2025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45939</v>
      </c>
      <c r="E787" s="1" t="n">
        <v>46282</v>
      </c>
      <c r="F787" t="inlineStr">
        <is>
          <t>SÖDERMANLANDS LÄN</t>
        </is>
      </c>
      <c r="G787" t="inlineStr">
        <is>
          <t>NYKÖPING</t>
        </is>
      </c>
      <c r="H787" t="inlineStr">
        <is>
          <t>Sveaskog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641-2026</t>
        </is>
      </c>
      <c r="B788" t="inlineStr">
        <is>
          <t>samrådsanmälan</t>
        </is>
      </c>
      <c r="C788" t="inlineStr">
        <is>
          <t>Skogsgödsling</t>
        </is>
      </c>
      <c r="D788" s="1" t="n">
        <v>46090</v>
      </c>
      <c r="E788" s="1" t="n">
        <v>46282</v>
      </c>
      <c r="F788" t="inlineStr">
        <is>
          <t>SÖDERMANLANDS LÄN</t>
        </is>
      </c>
      <c r="G788" t="inlineStr">
        <is>
          <t>NYKÖPING</t>
        </is>
      </c>
      <c r="I788" t="n">
        <v>46.2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>
      <c r="A789" t="inlineStr">
        <is>
          <t>S 248-2026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46050</v>
      </c>
      <c r="E789" s="1" t="n">
        <v>46282</v>
      </c>
      <c r="F789" t="inlineStr">
        <is>
          <t>SÖDERMANLANDS LÄN</t>
        </is>
      </c>
      <c r="G789" t="inlineStr">
        <is>
          <t>NYKÖPING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2026-09-17T02:00:05Z</dcterms:created>
  <dcterms:modified xmlns:dcterms="http://purl.org/dc/terms/" xmlns:xsi="http://www.w3.org/2001/XMLSchema-instance" xsi:type="dcterms:W3CDTF">2026-09-17T02:00:06Z</dcterms:modified>
</cp:coreProperties>
</file>