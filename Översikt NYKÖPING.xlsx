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46217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V2">
        <f>HYPERLINK("https://klasma.github.io/Logging_0480/artfynd/A 44162-2021 artfynd.xlsx", "A 44162-2021")</f>
        <v/>
      </c>
      <c r="W2">
        <f>HYPERLINK("https://klasma.github.io/Logging_0480/kartor/A 44162-2021 karta.png", "A 44162-2021")</f>
        <v/>
      </c>
      <c r="Y2">
        <f>HYPERLINK("https://klasma.github.io/Logging_0480/klagomål/A 44162-2021 FSC-klagomål.docx", "A 44162-2021")</f>
        <v/>
      </c>
      <c r="Z2">
        <f>HYPERLINK("https://klasma.github.io/Logging_0480/klagomålsmail/A 44162-2021 FSC-klagomål mail.docx", "A 44162-2021")</f>
        <v/>
      </c>
      <c r="AA2">
        <f>HYPERLINK("https://klasma.github.io/Logging_0480/tillsyn/A 44162-2021 tillsynsbegäran.docx", "A 44162-2021")</f>
        <v/>
      </c>
      <c r="AB2">
        <f>HYPERLINK("https://klasma.github.io/Logging_0480/tillsynsmail/A 44162-2021 tillsynsbegäran mail.docx", "A 44162-2021")</f>
        <v/>
      </c>
      <c r="AC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46217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V3">
        <f>HYPERLINK("https://klasma.github.io/Logging_0480/artfynd/A 50065-2025 artfynd.xlsx", "A 50065-2025")</f>
        <v/>
      </c>
      <c r="W3">
        <f>HYPERLINK("https://klasma.github.io/Logging_0480/kartor/A 50065-2025 karta.png", "A 50065-2025")</f>
        <v/>
      </c>
      <c r="X3">
        <f>HYPERLINK("https://klasma.github.io/Logging_0480/knärot/A 50065-2025 karta knärot.png", "A 50065-2025")</f>
        <v/>
      </c>
      <c r="Y3">
        <f>HYPERLINK("https://klasma.github.io/Logging_0480/klagomål/A 50065-2025 FSC-klagomål.docx", "A 50065-2025")</f>
        <v/>
      </c>
      <c r="Z3">
        <f>HYPERLINK("https://klasma.github.io/Logging_0480/klagomålsmail/A 50065-2025 FSC-klagomål mail.docx", "A 50065-2025")</f>
        <v/>
      </c>
      <c r="AA3">
        <f>HYPERLINK("https://klasma.github.io/Logging_0480/tillsyn/A 50065-2025 tillsynsbegäran.docx", "A 50065-2025")</f>
        <v/>
      </c>
      <c r="AB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46217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s="2" t="inlineStr">
        <is>
          <t>Dropptaggsvamp
Motaggsvamp
Talltita
Blomkålssvamp
Blåmossa
Granbarkgnagare
Grovticka
Vågbandad barkbock
Zontaggsvamp
Mattlummer
Spillkråka
Vanlig groda</t>
        </is>
      </c>
      <c r="V4">
        <f>HYPERLINK("https://klasma.github.io/Logging_0480/artfynd/A 37422-2024 artfynd.xlsx", "A 37422-2024")</f>
        <v/>
      </c>
      <c r="W4">
        <f>HYPERLINK("https://klasma.github.io/Logging_0480/kartor/A 37422-2024 karta.png", "A 37422-2024")</f>
        <v/>
      </c>
      <c r="Y4">
        <f>HYPERLINK("https://klasma.github.io/Logging_0480/klagomål/A 37422-2024 FSC-klagomål.docx", "A 37422-2024")</f>
        <v/>
      </c>
      <c r="Z4">
        <f>HYPERLINK("https://klasma.github.io/Logging_0480/klagomålsmail/A 37422-2024 FSC-klagomål mail.docx", "A 37422-2024")</f>
        <v/>
      </c>
      <c r="AA4">
        <f>HYPERLINK("https://klasma.github.io/Logging_0480/tillsyn/A 37422-2024 tillsynsbegäran.docx", "A 37422-2024")</f>
        <v/>
      </c>
      <c r="AB4">
        <f>HYPERLINK("https://klasma.github.io/Logging_0480/tillsynsmail/A 37422-2024 tillsynsbegäran mail.docx", "A 37422-2024")</f>
        <v/>
      </c>
      <c r="AC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46217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s="2" t="inlineStr">
        <is>
          <t>Dropptaggsvamp
Motaggsvamp
Svartvit taggsvamp
Tallticka
Talltita
Vedskivlav
Blåmossa
Grönpyrola
Klippfrullania
Stor revmossa</t>
        </is>
      </c>
      <c r="V5">
        <f>HYPERLINK("https://klasma.github.io/Logging_0480/artfynd/A 52020-2025 artfynd.xlsx", "A 52020-2025")</f>
        <v/>
      </c>
      <c r="W5">
        <f>HYPERLINK("https://klasma.github.io/Logging_0480/kartor/A 52020-2025 karta.png", "A 52020-2025")</f>
        <v/>
      </c>
      <c r="Y5">
        <f>HYPERLINK("https://klasma.github.io/Logging_0480/klagomål/A 52020-2025 FSC-klagomål.docx", "A 52020-2025")</f>
        <v/>
      </c>
      <c r="Z5">
        <f>HYPERLINK("https://klasma.github.io/Logging_0480/klagomålsmail/A 52020-2025 FSC-klagomål mail.docx", "A 52020-2025")</f>
        <v/>
      </c>
      <c r="AA5">
        <f>HYPERLINK("https://klasma.github.io/Logging_0480/tillsyn/A 52020-2025 tillsynsbegäran.docx", "A 52020-2025")</f>
        <v/>
      </c>
      <c r="AB5">
        <f>HYPERLINK("https://klasma.github.io/Logging_0480/tillsynsmail/A 52020-2025 tillsynsbegäran mail.docx", "A 52020-2025")</f>
        <v/>
      </c>
      <c r="AC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46217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s="2" t="inlineStr">
        <is>
          <t>Knärot
Gulsparv
Hårklomossa
Mattlummer
Spillkråka
Tjäder
Gröngöling
Kråka
Kungsfågel
Lopplummer (aggregat)</t>
        </is>
      </c>
      <c r="V6">
        <f>HYPERLINK("https://klasma.github.io/Logging_0480/artfynd/S 4518-2023 artfynd.xlsx", "S 4518-2023")</f>
        <v/>
      </c>
      <c r="W6">
        <f>HYPERLINK("https://klasma.github.io/Logging_0480/kartor/S 4518-2023 karta.png", "S 4518-2023")</f>
        <v/>
      </c>
      <c r="X6">
        <f>HYPERLINK("https://klasma.github.io/Logging_0480/knärot/S 4518-2023 karta knärot.png", "S 4518-2023")</f>
        <v/>
      </c>
      <c r="Y6">
        <f>HYPERLINK("https://klasma.github.io/Logging_0480/klagomål/S 4518-2023 FSC-klagomål.docx", "S 4518-2023")</f>
        <v/>
      </c>
      <c r="Z6">
        <f>HYPERLINK("https://klasma.github.io/Logging_0480/klagomålsmail/S 4518-2023 FSC-klagomål mail.docx", "S 4518-2023")</f>
        <v/>
      </c>
      <c r="AA6">
        <f>HYPERLINK("https://klasma.github.io/Logging_0480/tillsyn/S 4518-2023 tillsynsbegäran.docx", "S 4518-2023")</f>
        <v/>
      </c>
      <c r="AB6">
        <f>HYPERLINK("https://klasma.github.io/Logging_0480/tillsynsmail/S 4518-2023 tillsynsbegäran mail.docx", "S 4518-2023")</f>
        <v/>
      </c>
      <c r="AC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46217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Tornseglare
Enkelbeckasin
Gulsparv
Järnsparv
Kricka
Sädesärla
Rödgul trumpetsvamp
Svartvit flugsnappare
Åkergroda</t>
        </is>
      </c>
      <c r="V7">
        <f>HYPERLINK("https://klasma.github.io/Logging_0480/artfynd/A 57006-2023 artfynd.xlsx", "A 57006-2023")</f>
        <v/>
      </c>
      <c r="W7">
        <f>HYPERLINK("https://klasma.github.io/Logging_0480/kartor/A 57006-2023 karta.png", "A 57006-2023")</f>
        <v/>
      </c>
      <c r="Y7">
        <f>HYPERLINK("https://klasma.github.io/Logging_0480/klagomål/A 57006-2023 FSC-klagomål.docx", "A 57006-2023")</f>
        <v/>
      </c>
      <c r="Z7">
        <f>HYPERLINK("https://klasma.github.io/Logging_0480/klagomålsmail/A 57006-2023 FSC-klagomål mail.docx", "A 57006-2023")</f>
        <v/>
      </c>
      <c r="AA7">
        <f>HYPERLINK("https://klasma.github.io/Logging_0480/tillsyn/A 57006-2023 tillsynsbegäran.docx", "A 57006-2023")</f>
        <v/>
      </c>
      <c r="AB7">
        <f>HYPERLINK("https://klasma.github.io/Logging_0480/tillsynsmail/A 57006-2023 tillsynsbegäran mail.docx", "A 57006-2023")</f>
        <v/>
      </c>
      <c r="AC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46217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s="2" t="inlineStr">
        <is>
          <t>Kandelabersvamp
Blomkålssvamp
Granbarkgnagare
Jättesvampmal
Stubbspretmossa
Trådticka
Vågbandad barkbock
Blåsippa
Gullviva</t>
        </is>
      </c>
      <c r="V8">
        <f>HYPERLINK("https://klasma.github.io/Logging_0480/artfynd/A 71887-2021 artfynd.xlsx", "A 71887-2021")</f>
        <v/>
      </c>
      <c r="W8">
        <f>HYPERLINK("https://klasma.github.io/Logging_0480/kartor/A 71887-2021 karta.png", "A 71887-2021")</f>
        <v/>
      </c>
      <c r="Y8">
        <f>HYPERLINK("https://klasma.github.io/Logging_0480/klagomål/A 71887-2021 FSC-klagomål.docx", "A 71887-2021")</f>
        <v/>
      </c>
      <c r="Z8">
        <f>HYPERLINK("https://klasma.github.io/Logging_0480/klagomålsmail/A 71887-2021 FSC-klagomål mail.docx", "A 71887-2021")</f>
        <v/>
      </c>
      <c r="AA8">
        <f>HYPERLINK("https://klasma.github.io/Logging_0480/tillsyn/A 71887-2021 tillsynsbegäran.docx", "A 71887-2021")</f>
        <v/>
      </c>
      <c r="AB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46217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s="2" t="inlineStr">
        <is>
          <t>Dropptaggsvamp
Motaggsvamp
Talltita
Ullticka
Blåmossa
Vedticka
Vågbandad barkbock
Tjäder
Vanlig snok</t>
        </is>
      </c>
      <c r="V9">
        <f>HYPERLINK("https://klasma.github.io/Logging_0480/artfynd/S 4093-2022 artfynd.xlsx", "S 4093-2022")</f>
        <v/>
      </c>
      <c r="W9">
        <f>HYPERLINK("https://klasma.github.io/Logging_0480/kartor/S 4093-2022 karta.png", "S 4093-2022")</f>
        <v/>
      </c>
      <c r="Y9">
        <f>HYPERLINK("https://klasma.github.io/Logging_0480/klagomål/S 4093-2022 FSC-klagomål.docx", "S 4093-2022")</f>
        <v/>
      </c>
      <c r="Z9">
        <f>HYPERLINK("https://klasma.github.io/Logging_0480/klagomålsmail/S 4093-2022 FSC-klagomål mail.docx", "S 4093-2022")</f>
        <v/>
      </c>
      <c r="AA9">
        <f>HYPERLINK("https://klasma.github.io/Logging_0480/tillsyn/S 4093-2022 tillsynsbegäran.docx", "S 4093-2022")</f>
        <v/>
      </c>
      <c r="AB9">
        <f>HYPERLINK("https://klasma.github.io/Logging_0480/tillsynsmail/S 4093-2022 tillsynsbegäran mail.docx", "S 4093-2022")</f>
        <v/>
      </c>
      <c r="AC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46217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s="2" t="inlineStr">
        <is>
          <t>Gulsparv
Jungfrulin
Blåbär
Ekorrbär
Humleblomster
Skogsstjärna
Vitsippa
Ängskovall</t>
        </is>
      </c>
      <c r="V10">
        <f>HYPERLINK("https://klasma.github.io/Logging_0480/artfynd/A 51986-2025 artfynd.xlsx", "A 51986-2025")</f>
        <v/>
      </c>
      <c r="W10">
        <f>HYPERLINK("https://klasma.github.io/Logging_0480/kartor/A 51986-2025 karta.png", "A 51986-2025")</f>
        <v/>
      </c>
      <c r="Y10">
        <f>HYPERLINK("https://klasma.github.io/Logging_0480/klagomål/A 51986-2025 FSC-klagomål.docx", "A 51986-2025")</f>
        <v/>
      </c>
      <c r="Z10">
        <f>HYPERLINK("https://klasma.github.io/Logging_0480/klagomålsmail/A 51986-2025 FSC-klagomål mail.docx", "A 51986-2025")</f>
        <v/>
      </c>
      <c r="AA10">
        <f>HYPERLINK("https://klasma.github.io/Logging_0480/tillsyn/A 51986-2025 tillsynsbegäran.docx", "A 51986-2025")</f>
        <v/>
      </c>
      <c r="AB10">
        <f>HYPERLINK("https://klasma.github.io/Logging_0480/tillsynsmail/A 51986-2025 tillsynsbegäran mail.docx", "A 51986-2025")</f>
        <v/>
      </c>
      <c r="AC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46217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s="2" t="inlineStr">
        <is>
          <t>Knärot
Orange taggsvamp
Svinrot
Tallticka
Blåbär
Kransmossa
Sälg
Vitsippa</t>
        </is>
      </c>
      <c r="V11">
        <f>HYPERLINK("https://klasma.github.io/Logging_0480/artfynd/A 17228-2026 artfynd.xlsx", "A 17228-2026")</f>
        <v/>
      </c>
      <c r="W11">
        <f>HYPERLINK("https://klasma.github.io/Logging_0480/kartor/A 17228-2026 karta.png", "A 17228-2026")</f>
        <v/>
      </c>
      <c r="X11">
        <f>HYPERLINK("https://klasma.github.io/Logging_0480/knärot/A 17228-2026 karta knärot.png", "A 17228-2026")</f>
        <v/>
      </c>
      <c r="Y11">
        <f>HYPERLINK("https://klasma.github.io/Logging_0480/klagomål/A 17228-2026 FSC-klagomål.docx", "A 17228-2026")</f>
        <v/>
      </c>
      <c r="Z11">
        <f>HYPERLINK("https://klasma.github.io/Logging_0480/klagomålsmail/A 17228-2026 FSC-klagomål mail.docx", "A 17228-2026")</f>
        <v/>
      </c>
      <c r="AA11">
        <f>HYPERLINK("https://klasma.github.io/Logging_0480/tillsyn/A 17228-2026 tillsynsbegäran.docx", "A 17228-2026")</f>
        <v/>
      </c>
      <c r="AB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46217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s="2" t="inlineStr">
        <is>
          <t>Ask
Backtimjan
Svinrot
Blåmossa
Gulvaxing
Toppvaxing
Ängsvaxing agg.</t>
        </is>
      </c>
      <c r="V12">
        <f>HYPERLINK("https://klasma.github.io/Logging_0480/artfynd/A 25183-2022 artfynd.xlsx", "A 25183-2022")</f>
        <v/>
      </c>
      <c r="W12">
        <f>HYPERLINK("https://klasma.github.io/Logging_0480/kartor/A 25183-2022 karta.png", "A 25183-2022")</f>
        <v/>
      </c>
      <c r="Y12">
        <f>HYPERLINK("https://klasma.github.io/Logging_0480/klagomål/A 25183-2022 FSC-klagomål.docx", "A 25183-2022")</f>
        <v/>
      </c>
      <c r="Z12">
        <f>HYPERLINK("https://klasma.github.io/Logging_0480/klagomålsmail/A 25183-2022 FSC-klagomål mail.docx", "A 25183-2022")</f>
        <v/>
      </c>
      <c r="AA12">
        <f>HYPERLINK("https://klasma.github.io/Logging_0480/tillsyn/A 25183-2022 tillsynsbegäran.docx", "A 25183-2022")</f>
        <v/>
      </c>
      <c r="AB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46217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s="2" t="inlineStr">
        <is>
          <t>Blanksvart spiklav
Duvhök
Rynkskinn
Talltita
Bronshjon
Grönpyrola
Rödgul trumpetsvamp</t>
        </is>
      </c>
      <c r="V13">
        <f>HYPERLINK("https://klasma.github.io/Logging_0480/artfynd/A 57599-2025 artfynd.xlsx", "A 57599-2025")</f>
        <v/>
      </c>
      <c r="W13">
        <f>HYPERLINK("https://klasma.github.io/Logging_0480/kartor/A 57599-2025 karta.png", "A 57599-2025")</f>
        <v/>
      </c>
      <c r="Y13">
        <f>HYPERLINK("https://klasma.github.io/Logging_0480/klagomål/A 57599-2025 FSC-klagomål.docx", "A 57599-2025")</f>
        <v/>
      </c>
      <c r="Z13">
        <f>HYPERLINK("https://klasma.github.io/Logging_0480/klagomålsmail/A 57599-2025 FSC-klagomål mail.docx", "A 57599-2025")</f>
        <v/>
      </c>
      <c r="AA13">
        <f>HYPERLINK("https://klasma.github.io/Logging_0480/tillsyn/A 57599-2025 tillsynsbegäran.docx", "A 57599-2025")</f>
        <v/>
      </c>
      <c r="AB13">
        <f>HYPERLINK("https://klasma.github.io/Logging_0480/tillsynsmail/A 57599-2025 tillsynsbegäran mail.docx", "A 57599-2025")</f>
        <v/>
      </c>
      <c r="AC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46217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s="2" t="inlineStr">
        <is>
          <t>Treuddsaftonfly
Jungfrulin
Svart skogssnigel
Blåmossa
Plattlummer
Revlummer</t>
        </is>
      </c>
      <c r="V14">
        <f>HYPERLINK("https://klasma.github.io/Logging_0480/artfynd/A 38419-2021 artfynd.xlsx", "A 38419-2021")</f>
        <v/>
      </c>
      <c r="W14">
        <f>HYPERLINK("https://klasma.github.io/Logging_0480/kartor/A 38419-2021 karta.png", "A 38419-2021")</f>
        <v/>
      </c>
      <c r="Y14">
        <f>HYPERLINK("https://klasma.github.io/Logging_0480/klagomål/A 38419-2021 FSC-klagomål.docx", "A 38419-2021")</f>
        <v/>
      </c>
      <c r="Z14">
        <f>HYPERLINK("https://klasma.github.io/Logging_0480/klagomålsmail/A 38419-2021 FSC-klagomål mail.docx", "A 38419-2021")</f>
        <v/>
      </c>
      <c r="AA14">
        <f>HYPERLINK("https://klasma.github.io/Logging_0480/tillsyn/A 38419-2021 tillsynsbegäran.docx", "A 38419-2021")</f>
        <v/>
      </c>
      <c r="AB14">
        <f>HYPERLINK("https://klasma.github.io/Logging_0480/tillsynsmail/A 38419-2021 tillsynsbegäran mail.docx", "A 38419-2021")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46217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s="2" t="inlineStr">
        <is>
          <t>Jungfrulin
Spillkråka
Citronfläckad kärrtrollslända
Större vattensalamander
Trana
Revlummer</t>
        </is>
      </c>
      <c r="V15">
        <f>HYPERLINK("https://klasma.github.io/Logging_0480/artfynd/A 29797-2024 artfynd.xlsx", "A 29797-2024")</f>
        <v/>
      </c>
      <c r="W15">
        <f>HYPERLINK("https://klasma.github.io/Logging_0480/kartor/A 29797-2024 karta.png", "A 29797-2024")</f>
        <v/>
      </c>
      <c r="Y15">
        <f>HYPERLINK("https://klasma.github.io/Logging_0480/klagomål/A 29797-2024 FSC-klagomål.docx", "A 29797-2024")</f>
        <v/>
      </c>
      <c r="Z15">
        <f>HYPERLINK("https://klasma.github.io/Logging_0480/klagomålsmail/A 29797-2024 FSC-klagomål mail.docx", "A 29797-2024")</f>
        <v/>
      </c>
      <c r="AA15">
        <f>HYPERLINK("https://klasma.github.io/Logging_0480/tillsyn/A 29797-2024 tillsynsbegäran.docx", "A 29797-2024")</f>
        <v/>
      </c>
      <c r="AB15">
        <f>HYPERLINK("https://klasma.github.io/Logging_0480/tillsynsmail/A 29797-2024 tillsynsbegäran mail.docx", "A 29797-2024")</f>
        <v/>
      </c>
      <c r="AC15">
        <f>HYPERLINK("https://klasma.github.io/Logging_0480/fåglar/A 29797-2024 prioriterade fågelarter.docx", "A 29797-2024")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46217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s="2" t="inlineStr">
        <is>
          <t>Hasselsnok
Sandödla
Huggorm
Kopparödla
Skogsödla
Vanlig snok</t>
        </is>
      </c>
      <c r="V16">
        <f>HYPERLINK("https://klasma.github.io/Logging_0480/artfynd/A 56727-2025 artfynd.xlsx", "A 56727-2025")</f>
        <v/>
      </c>
      <c r="W16">
        <f>HYPERLINK("https://klasma.github.io/Logging_0480/kartor/A 56727-2025 karta.png", "A 56727-2025")</f>
        <v/>
      </c>
      <c r="Y16">
        <f>HYPERLINK("https://klasma.github.io/Logging_0480/klagomål/A 56727-2025 FSC-klagomål.docx", "A 56727-2025")</f>
        <v/>
      </c>
      <c r="Z16">
        <f>HYPERLINK("https://klasma.github.io/Logging_0480/klagomålsmail/A 56727-2025 FSC-klagomål mail.docx", "A 56727-2025")</f>
        <v/>
      </c>
      <c r="AA16">
        <f>HYPERLINK("https://klasma.github.io/Logging_0480/tillsyn/A 56727-2025 tillsynsbegäran.docx", "A 56727-2025")</f>
        <v/>
      </c>
      <c r="AB16">
        <f>HYPERLINK("https://klasma.github.io/Logging_0480/tillsynsmail/A 56727-2025 tillsynsbegäran mail.docx", "A 56727-2025")</f>
        <v/>
      </c>
    </row>
    <row r="17" ht="15" customHeight="1">
      <c r="A17" t="inlineStr">
        <is>
          <t>A 36547-2025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45869</v>
      </c>
      <c r="E17" s="1" t="n">
        <v>46217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19.9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11</v>
      </c>
      <c r="U17" s="2" t="inlineStr">
        <is>
          <t>Tallticka
Björksplintborre
Blåmossa
Granbarkgnagare
Spillkråka
Tjäder</t>
        </is>
      </c>
      <c r="V17">
        <f>HYPERLINK("https://klasma.github.io/Logging_0480/artfynd/A 36547-2025 artfynd.xlsx", "A 36547-2025")</f>
        <v/>
      </c>
      <c r="W17">
        <f>HYPERLINK("https://klasma.github.io/Logging_0480/kartor/A 36547-2025 karta.png", "A 36547-2025")</f>
        <v/>
      </c>
      <c r="Y17">
        <f>HYPERLINK("https://klasma.github.io/Logging_0480/klagomål/A 36547-2025 FSC-klagomål.docx", "A 36547-2025")</f>
        <v/>
      </c>
      <c r="Z17">
        <f>HYPERLINK("https://klasma.github.io/Logging_0480/klagomålsmail/A 36547-2025 FSC-klagomål mail.docx", "A 36547-2025")</f>
        <v/>
      </c>
      <c r="AA17">
        <f>HYPERLINK("https://klasma.github.io/Logging_0480/tillsyn/A 36547-2025 tillsynsbegäran.docx", "A 36547-2025")</f>
        <v/>
      </c>
      <c r="AB17">
        <f>HYPERLINK("https://klasma.github.io/Logging_0480/tillsynsmail/A 36547-2025 tillsynsbegäran mail.docx", "A 36547-2025")</f>
        <v/>
      </c>
      <c r="AC17">
        <f>HYPERLINK("https://klasma.github.io/Logging_0480/fåglar/A 36547-2025 prioriterade fågelarter.docx", "A 36547-2025")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46217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s="2" t="inlineStr">
        <is>
          <t>Berggräsfjäril
Jungfrulin
Svinrot
Mindre vattensalamander
Fläcknycklar
Revlummer</t>
        </is>
      </c>
      <c r="V18">
        <f>HYPERLINK("https://klasma.github.io/Logging_0480/artfynd/A 5855-2024 artfynd.xlsx", "A 5855-2024")</f>
        <v/>
      </c>
      <c r="W18">
        <f>HYPERLINK("https://klasma.github.io/Logging_0480/kartor/A 5855-2024 karta.png", "A 5855-2024")</f>
        <v/>
      </c>
      <c r="Y18">
        <f>HYPERLINK("https://klasma.github.io/Logging_0480/klagomål/A 5855-2024 FSC-klagomål.docx", "A 5855-2024")</f>
        <v/>
      </c>
      <c r="Z18">
        <f>HYPERLINK("https://klasma.github.io/Logging_0480/klagomålsmail/A 5855-2024 FSC-klagomål mail.docx", "A 5855-2024")</f>
        <v/>
      </c>
      <c r="AA18">
        <f>HYPERLINK("https://klasma.github.io/Logging_0480/tillsyn/A 5855-2024 tillsynsbegäran.docx", "A 5855-2024")</f>
        <v/>
      </c>
      <c r="AB18">
        <f>HYPERLINK("https://klasma.github.io/Logging_0480/tillsynsmail/A 5855-2024 tillsynsbegäran mail.docx", "A 5855-2024")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46217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s="2" t="inlineStr">
        <is>
          <t>Granbarkgnagare
Grovticka
Jättesvampmal
Stekelbock
Stor aspticka
Stubbspretmossa</t>
        </is>
      </c>
      <c r="V19">
        <f>HYPERLINK("https://klasma.github.io/Logging_0480/artfynd/A 56099-2024 artfynd.xlsx", "A 56099-2024")</f>
        <v/>
      </c>
      <c r="W19">
        <f>HYPERLINK("https://klasma.github.io/Logging_0480/kartor/A 56099-2024 karta.png", "A 56099-2024")</f>
        <v/>
      </c>
      <c r="Y19">
        <f>HYPERLINK("https://klasma.github.io/Logging_0480/klagomål/A 56099-2024 FSC-klagomål.docx", "A 56099-2024")</f>
        <v/>
      </c>
      <c r="Z19">
        <f>HYPERLINK("https://klasma.github.io/Logging_0480/klagomålsmail/A 56099-2024 FSC-klagomål mail.docx", "A 56099-2024")</f>
        <v/>
      </c>
      <c r="AA19">
        <f>HYPERLINK("https://klasma.github.io/Logging_0480/tillsyn/A 56099-2024 tillsynsbegäran.docx", "A 56099-2024")</f>
        <v/>
      </c>
      <c r="AB19">
        <f>HYPERLINK("https://klasma.github.io/Logging_0480/tillsynsmail/A 56099-2024 tillsynsbegäran mail.docx", "A 56099-2024")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46217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Enkelbeckasin
Rävticka
Stor aspticka
Trädporella
Lopplummer (aggregat)</t>
        </is>
      </c>
      <c r="V20">
        <f>HYPERLINK("https://klasma.github.io/Logging_0480/artfynd/A 47107-2021 artfynd.xlsx", "A 47107-2021")</f>
        <v/>
      </c>
      <c r="W20">
        <f>HYPERLINK("https://klasma.github.io/Logging_0480/kartor/A 47107-2021 karta.png", "A 47107-2021")</f>
        <v/>
      </c>
      <c r="Y20">
        <f>HYPERLINK("https://klasma.github.io/Logging_0480/klagomål/A 47107-2021 FSC-klagomål.docx", "A 47107-2021")</f>
        <v/>
      </c>
      <c r="Z20">
        <f>HYPERLINK("https://klasma.github.io/Logging_0480/klagomålsmail/A 47107-2021 FSC-klagomål mail.docx", "A 47107-2021")</f>
        <v/>
      </c>
      <c r="AA20">
        <f>HYPERLINK("https://klasma.github.io/Logging_0480/tillsyn/A 47107-2021 tillsynsbegäran.docx", "A 47107-2021")</f>
        <v/>
      </c>
      <c r="AB20">
        <f>HYPERLINK("https://klasma.github.io/Logging_0480/tillsynsmail/A 47107-2021 tillsynsbegäran mail.docx", "A 47107-2021")</f>
        <v/>
      </c>
      <c r="AC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46217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s="2" t="inlineStr">
        <is>
          <t>Vedtrappmossa
Blomkålssvamp
Granbarkgnagare
Havsörn
Revlummer</t>
        </is>
      </c>
      <c r="V21">
        <f>HYPERLINK("https://klasma.github.io/Logging_0480/artfynd/A 3671-2026 artfynd.xlsx", "A 3671-2026")</f>
        <v/>
      </c>
      <c r="W21">
        <f>HYPERLINK("https://klasma.github.io/Logging_0480/kartor/A 3671-2026 karta.png", "A 3671-2026")</f>
        <v/>
      </c>
      <c r="Y21">
        <f>HYPERLINK("https://klasma.github.io/Logging_0480/klagomål/A 3671-2026 FSC-klagomål.docx", "A 3671-2026")</f>
        <v/>
      </c>
      <c r="Z21">
        <f>HYPERLINK("https://klasma.github.io/Logging_0480/klagomålsmail/A 3671-2026 FSC-klagomål mail.docx", "A 3671-2026")</f>
        <v/>
      </c>
      <c r="AA21">
        <f>HYPERLINK("https://klasma.github.io/Logging_0480/tillsyn/A 3671-2026 tillsynsbegäran.docx", "A 3671-2026")</f>
        <v/>
      </c>
      <c r="AB21">
        <f>HYPERLINK("https://klasma.github.io/Logging_0480/tillsynsmail/A 3671-2026 tillsynsbegäran mail.docx", "A 3671-2026")</f>
        <v/>
      </c>
      <c r="AC21">
        <f>HYPERLINK("https://klasma.github.io/Logging_0480/fåglar/A 3671-2026 prioriterade fågelarter.docx", "A 3671-2026")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46217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s="2" t="inlineStr">
        <is>
          <t>Ask
Motaggsvamp
Svart skogssnigel
Tallticka
Fläcknycklar</t>
        </is>
      </c>
      <c r="V22">
        <f>HYPERLINK("https://klasma.github.io/Logging_0480/artfynd/A 51246-2024 artfynd.xlsx", "A 51246-2024")</f>
        <v/>
      </c>
      <c r="W22">
        <f>HYPERLINK("https://klasma.github.io/Logging_0480/kartor/A 51246-2024 karta.png", "A 51246-2024")</f>
        <v/>
      </c>
      <c r="Y22">
        <f>HYPERLINK("https://klasma.github.io/Logging_0480/klagomål/A 51246-2024 FSC-klagomål.docx", "A 51246-2024")</f>
        <v/>
      </c>
      <c r="Z22">
        <f>HYPERLINK("https://klasma.github.io/Logging_0480/klagomålsmail/A 51246-2024 FSC-klagomål mail.docx", "A 51246-2024")</f>
        <v/>
      </c>
      <c r="AA22">
        <f>HYPERLINK("https://klasma.github.io/Logging_0480/tillsyn/A 51246-2024 tillsynsbegäran.docx", "A 51246-2024")</f>
        <v/>
      </c>
      <c r="AB22">
        <f>HYPERLINK("https://klasma.github.io/Logging_0480/tillsynsmail/A 51246-2024 tillsynsbegäran mail.docx", "A 51246-2024")</f>
        <v/>
      </c>
    </row>
    <row r="23" ht="15" customHeight="1">
      <c r="A23" t="inlineStr">
        <is>
          <t>A 13256-2026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46217</v>
      </c>
      <c r="F23" t="inlineStr">
        <is>
          <t>SÖDERMANLANDS LÄN</t>
        </is>
      </c>
      <c r="G23" t="inlineStr">
        <is>
          <t>NYKÖPING</t>
        </is>
      </c>
      <c r="I23" t="n">
        <v>8.699999999999999</v>
      </c>
      <c r="J23" t="n">
        <v>5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s="2" t="inlineStr">
        <is>
          <t>Enkelbeckasin
Gulsparv
Kricka
Grönsiska
Trana</t>
        </is>
      </c>
      <c r="V23">
        <f>HYPERLINK("https://klasma.github.io/Logging_0480/artfynd/A 13256-2026 artfynd.xlsx", "A 13256-2026")</f>
        <v/>
      </c>
      <c r="W23">
        <f>HYPERLINK("https://klasma.github.io/Logging_0480/kartor/A 13256-2026 karta.png", "A 13256-2026")</f>
        <v/>
      </c>
      <c r="Y23">
        <f>HYPERLINK("https://klasma.github.io/Logging_0480/klagomål/A 13256-2026 FSC-klagomål.docx", "A 13256-2026")</f>
        <v/>
      </c>
      <c r="Z23">
        <f>HYPERLINK("https://klasma.github.io/Logging_0480/klagomålsmail/A 13256-2026 FSC-klagomål mail.docx", "A 13256-2026")</f>
        <v/>
      </c>
      <c r="AA23">
        <f>HYPERLINK("https://klasma.github.io/Logging_0480/tillsyn/A 13256-2026 tillsynsbegäran.docx", "A 13256-2026")</f>
        <v/>
      </c>
      <c r="AB23">
        <f>HYPERLINK("https://klasma.github.io/Logging_0480/tillsynsmail/A 13256-2026 tillsynsbegäran mail.docx", "A 13256-2026")</f>
        <v/>
      </c>
      <c r="AC23">
        <f>HYPERLINK("https://klasma.github.io/Logging_0480/fåglar/A 13256-2026 prioriterade fågelarter.docx", "A 13256-2026")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46217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s="2" t="inlineStr">
        <is>
          <t>Fjällig taggsvamp s.str.
Sotvaxskivling
Tallticka
Tjockfotad fingersvamp
Grovticka</t>
        </is>
      </c>
      <c r="V24">
        <f>HYPERLINK("https://klasma.github.io/Logging_0480/artfynd/S 3293-2022 artfynd.xlsx", "S 3293-2022")</f>
        <v/>
      </c>
      <c r="W24">
        <f>HYPERLINK("https://klasma.github.io/Logging_0480/kartor/S 3293-2022 karta.png", "S 3293-2022")</f>
        <v/>
      </c>
      <c r="Y24">
        <f>HYPERLINK("https://klasma.github.io/Logging_0480/klagomål/S 3293-2022 FSC-klagomål.docx", "S 3293-2022")</f>
        <v/>
      </c>
      <c r="Z24">
        <f>HYPERLINK("https://klasma.github.io/Logging_0480/klagomålsmail/S 3293-2022 FSC-klagomål mail.docx", "S 3293-2022")</f>
        <v/>
      </c>
      <c r="AA24">
        <f>HYPERLINK("https://klasma.github.io/Logging_0480/tillsyn/S 3293-2022 tillsynsbegäran.docx", "S 3293-2022")</f>
        <v/>
      </c>
      <c r="AB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46217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s="2" t="inlineStr">
        <is>
          <t>Fjällig taggsvamp s.str.
Sotvaxskivling
Tallticka
Tjockfotad fingersvamp
Grovticka</t>
        </is>
      </c>
      <c r="V25">
        <f>HYPERLINK("https://klasma.github.io/Logging_0480/artfynd/S 3837-2022 artfynd.xlsx", "S 3837-2022")</f>
        <v/>
      </c>
      <c r="W25">
        <f>HYPERLINK("https://klasma.github.io/Logging_0480/kartor/S 3837-2022 karta.png", "S 3837-2022")</f>
        <v/>
      </c>
      <c r="Y25">
        <f>HYPERLINK("https://klasma.github.io/Logging_0480/klagomål/S 3837-2022 FSC-klagomål.docx", "S 3837-2022")</f>
        <v/>
      </c>
      <c r="Z25">
        <f>HYPERLINK("https://klasma.github.io/Logging_0480/klagomålsmail/S 3837-2022 FSC-klagomål mail.docx", "S 3837-2022")</f>
        <v/>
      </c>
      <c r="AA25">
        <f>HYPERLINK("https://klasma.github.io/Logging_0480/tillsyn/S 3837-2022 tillsynsbegäran.docx", "S 3837-2022")</f>
        <v/>
      </c>
      <c r="AB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46217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s="2" t="inlineStr">
        <is>
          <t>Jungfrulin
Svinrot
Mindre vattensalamander
Fläcknycklar</t>
        </is>
      </c>
      <c r="V26">
        <f>HYPERLINK("https://klasma.github.io/Logging_0480/artfynd/A 51697-2021 artfynd.xlsx", "A 51697-2021")</f>
        <v/>
      </c>
      <c r="W26">
        <f>HYPERLINK("https://klasma.github.io/Logging_0480/kartor/A 51697-2021 karta.png", "A 51697-2021")</f>
        <v/>
      </c>
      <c r="Y26">
        <f>HYPERLINK("https://klasma.github.io/Logging_0480/klagomål/A 51697-2021 FSC-klagomål.docx", "A 51697-2021")</f>
        <v/>
      </c>
      <c r="Z26">
        <f>HYPERLINK("https://klasma.github.io/Logging_0480/klagomålsmail/A 51697-2021 FSC-klagomål mail.docx", "A 51697-2021")</f>
        <v/>
      </c>
      <c r="AA26">
        <f>HYPERLINK("https://klasma.github.io/Logging_0480/tillsyn/A 51697-2021 tillsynsbegäran.docx", "A 51697-2021")</f>
        <v/>
      </c>
      <c r="AB26">
        <f>HYPERLINK("https://klasma.github.io/Logging_0480/tillsynsmail/A 51697-2021 tillsynsbegäran mail.docx", "A 51697-2021")</f>
        <v/>
      </c>
    </row>
    <row r="27" ht="15" customHeight="1">
      <c r="A27" t="inlineStr">
        <is>
          <t>A 1509-2023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44937</v>
      </c>
      <c r="E27" s="1" t="n">
        <v>46217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6.3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s="2" t="inlineStr">
        <is>
          <t>Skogsklocka
Skorpgelélav
Aspvedgnagare
Stor aspticka</t>
        </is>
      </c>
      <c r="V27">
        <f>HYPERLINK("https://klasma.github.io/Logging_0480/artfynd/A 1509-2023 artfynd.xlsx", "A 1509-2023")</f>
        <v/>
      </c>
      <c r="W27">
        <f>HYPERLINK("https://klasma.github.io/Logging_0480/kartor/A 1509-2023 karta.png", "A 1509-2023")</f>
        <v/>
      </c>
      <c r="Y27">
        <f>HYPERLINK("https://klasma.github.io/Logging_0480/klagomål/A 1509-2023 FSC-klagomål.docx", "A 1509-2023")</f>
        <v/>
      </c>
      <c r="Z27">
        <f>HYPERLINK("https://klasma.github.io/Logging_0480/klagomålsmail/A 1509-2023 FSC-klagomål mail.docx", "A 1509-2023")</f>
        <v/>
      </c>
      <c r="AA27">
        <f>HYPERLINK("https://klasma.github.io/Logging_0480/tillsyn/A 1509-2023 tillsynsbegäran.docx", "A 1509-2023")</f>
        <v/>
      </c>
      <c r="AB27">
        <f>HYPERLINK("https://klasma.github.io/Logging_0480/tillsynsmail/A 1509-2023 tillsynsbegäran mail.docx", "A 1509-2023")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46217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s="2" t="inlineStr">
        <is>
          <t>Motaggsvamp
Blåmossa
Grönpyrola
Stor revmossa</t>
        </is>
      </c>
      <c r="V28">
        <f>HYPERLINK("https://klasma.github.io/Logging_0480/artfynd/A 52386-2025 artfynd.xlsx", "A 52386-2025")</f>
        <v/>
      </c>
      <c r="W28">
        <f>HYPERLINK("https://klasma.github.io/Logging_0480/kartor/A 52386-2025 karta.png", "A 52386-2025")</f>
        <v/>
      </c>
      <c r="Y28">
        <f>HYPERLINK("https://klasma.github.io/Logging_0480/klagomål/A 52386-2025 FSC-klagomål.docx", "A 52386-2025")</f>
        <v/>
      </c>
      <c r="Z28">
        <f>HYPERLINK("https://klasma.github.io/Logging_0480/klagomålsmail/A 52386-2025 FSC-klagomål mail.docx", "A 52386-2025")</f>
        <v/>
      </c>
      <c r="AA28">
        <f>HYPERLINK("https://klasma.github.io/Logging_0480/tillsyn/A 52386-2025 tillsynsbegäran.docx", "A 52386-2025")</f>
        <v/>
      </c>
      <c r="AB28">
        <f>HYPERLINK("https://klasma.github.io/Logging_0480/tillsynsmail/A 52386-2025 tillsynsbegäran mail.docx", "A 52386-2025")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46217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s="2" t="inlineStr">
        <is>
          <t>Knärot
Fjällig taggsvamp s.str.
Granbarkgnagare
Blåsippa</t>
        </is>
      </c>
      <c r="V29">
        <f>HYPERLINK("https://klasma.github.io/Logging_0480/artfynd/A 33265-2024 artfynd.xlsx", "A 33265-2024")</f>
        <v/>
      </c>
      <c r="W29">
        <f>HYPERLINK("https://klasma.github.io/Logging_0480/kartor/A 33265-2024 karta.png", "A 33265-2024")</f>
        <v/>
      </c>
      <c r="X29">
        <f>HYPERLINK("https://klasma.github.io/Logging_0480/knärot/A 33265-2024 karta knärot.png", "A 33265-2024")</f>
        <v/>
      </c>
      <c r="Y29">
        <f>HYPERLINK("https://klasma.github.io/Logging_0480/klagomål/A 33265-2024 FSC-klagomål.docx", "A 33265-2024")</f>
        <v/>
      </c>
      <c r="Z29">
        <f>HYPERLINK("https://klasma.github.io/Logging_0480/klagomålsmail/A 33265-2024 FSC-klagomål mail.docx", "A 33265-2024")</f>
        <v/>
      </c>
      <c r="AA29">
        <f>HYPERLINK("https://klasma.github.io/Logging_0480/tillsyn/A 33265-2024 tillsynsbegäran.docx", "A 33265-2024")</f>
        <v/>
      </c>
      <c r="AB29">
        <f>HYPERLINK("https://klasma.github.io/Logging_0480/tillsynsmail/A 33265-2024 tillsynsbegäran mail.docx", "A 33265-2024")</f>
        <v/>
      </c>
    </row>
    <row r="30" ht="15" customHeight="1">
      <c r="A30" t="inlineStr">
        <is>
          <t>A 63101-2025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46217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3.8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s="2" t="inlineStr">
        <is>
          <t>Motaggsvamp
Bronshjon
Mindre märgborre
Vedticka</t>
        </is>
      </c>
      <c r="V30">
        <f>HYPERLINK("https://klasma.github.io/Logging_0480/artfynd/A 63101-2025 artfynd.xlsx", "A 63101-2025")</f>
        <v/>
      </c>
      <c r="W30">
        <f>HYPERLINK("https://klasma.github.io/Logging_0480/kartor/A 63101-2025 karta.png", "A 63101-2025")</f>
        <v/>
      </c>
      <c r="Y30">
        <f>HYPERLINK("https://klasma.github.io/Logging_0480/klagomål/A 63101-2025 FSC-klagomål.docx", "A 63101-2025")</f>
        <v/>
      </c>
      <c r="Z30">
        <f>HYPERLINK("https://klasma.github.io/Logging_0480/klagomålsmail/A 63101-2025 FSC-klagomål mail.docx", "A 63101-2025")</f>
        <v/>
      </c>
      <c r="AA30">
        <f>HYPERLINK("https://klasma.github.io/Logging_0480/tillsyn/A 63101-2025 tillsynsbegäran.docx", "A 63101-2025")</f>
        <v/>
      </c>
      <c r="AB30">
        <f>HYPERLINK("https://klasma.github.io/Logging_0480/tillsynsmail/A 63101-2025 tillsynsbegäran mail.docx", "A 63101-2025")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46217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Gulsparv
Havsörn
Fläcknycklar
Revlummer</t>
        </is>
      </c>
      <c r="V31">
        <f>HYPERLINK("https://klasma.github.io/Logging_0480/artfynd/A 5869-2024 artfynd.xlsx", "A 5869-2024")</f>
        <v/>
      </c>
      <c r="W31">
        <f>HYPERLINK("https://klasma.github.io/Logging_0480/kartor/A 5869-2024 karta.png", "A 5869-2024")</f>
        <v/>
      </c>
      <c r="Y31">
        <f>HYPERLINK("https://klasma.github.io/Logging_0480/klagomål/A 5869-2024 FSC-klagomål.docx", "A 5869-2024")</f>
        <v/>
      </c>
      <c r="Z31">
        <f>HYPERLINK("https://klasma.github.io/Logging_0480/klagomålsmail/A 5869-2024 FSC-klagomål mail.docx", "A 5869-2024")</f>
        <v/>
      </c>
      <c r="AA31">
        <f>HYPERLINK("https://klasma.github.io/Logging_0480/tillsyn/A 5869-2024 tillsynsbegäran.docx", "A 5869-2024")</f>
        <v/>
      </c>
      <c r="AB31">
        <f>HYPERLINK("https://klasma.github.io/Logging_0480/tillsynsmail/A 5869-2024 tillsynsbegäran mail.docx", "A 5869-2024")</f>
        <v/>
      </c>
      <c r="AC31">
        <f>HYPERLINK("https://klasma.github.io/Logging_0480/fåglar/A 5869-2024 prioriterade fågelarter.docx", "A 5869-2024")</f>
        <v/>
      </c>
    </row>
    <row r="32" ht="15" customHeight="1">
      <c r="A32" t="inlineStr">
        <is>
          <t>A 8663-2022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46217</v>
      </c>
      <c r="F32" t="inlineStr">
        <is>
          <t>SÖDERMANLANDS LÄN</t>
        </is>
      </c>
      <c r="G32" t="inlineStr">
        <is>
          <t>NYKÖPING</t>
        </is>
      </c>
      <c r="I32" t="n">
        <v>6.5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s="2" t="inlineStr">
        <is>
          <t>Fjällig taggsvamp s.str.
Orange taggsvamp
Blomkålssvamp
Stubbspretmossa</t>
        </is>
      </c>
      <c r="V32">
        <f>HYPERLINK("https://klasma.github.io/Logging_0480/artfynd/A 8663-2022 artfynd.xlsx", "A 8663-2022")</f>
        <v/>
      </c>
      <c r="W32">
        <f>HYPERLINK("https://klasma.github.io/Logging_0480/kartor/A 8663-2022 karta.png", "A 8663-2022")</f>
        <v/>
      </c>
      <c r="Y32">
        <f>HYPERLINK("https://klasma.github.io/Logging_0480/klagomål/A 8663-2022 FSC-klagomål.docx", "A 8663-2022")</f>
        <v/>
      </c>
      <c r="Z32">
        <f>HYPERLINK("https://klasma.github.io/Logging_0480/klagomålsmail/A 8663-2022 FSC-klagomål mail.docx", "A 8663-2022")</f>
        <v/>
      </c>
      <c r="AA32">
        <f>HYPERLINK("https://klasma.github.io/Logging_0480/tillsyn/A 8663-2022 tillsynsbegäran.docx", "A 8663-2022")</f>
        <v/>
      </c>
      <c r="AB32">
        <f>HYPERLINK("https://klasma.github.io/Logging_0480/tillsynsmail/A 8663-2022 tillsynsbegäran mail.docx", "A 8663-2022")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46217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s="2" t="inlineStr">
        <is>
          <t>Dropptaggsvamp
Phellodon aquiloniniger
Grönpyrola
Vanlig padda</t>
        </is>
      </c>
      <c r="V33">
        <f>HYPERLINK("https://klasma.github.io/Logging_0480/artfynd/A 14855-2026 artfynd.xlsx", "A 14855-2026")</f>
        <v/>
      </c>
      <c r="W33">
        <f>HYPERLINK("https://klasma.github.io/Logging_0480/kartor/A 14855-2026 karta.png", "A 14855-2026")</f>
        <v/>
      </c>
      <c r="Y33">
        <f>HYPERLINK("https://klasma.github.io/Logging_0480/klagomål/A 14855-2026 FSC-klagomål.docx", "A 14855-2026")</f>
        <v/>
      </c>
      <c r="Z33">
        <f>HYPERLINK("https://klasma.github.io/Logging_0480/klagomålsmail/A 14855-2026 FSC-klagomål mail.docx", "A 14855-2026")</f>
        <v/>
      </c>
      <c r="AA33">
        <f>HYPERLINK("https://klasma.github.io/Logging_0480/tillsyn/A 14855-2026 tillsynsbegäran.docx", "A 14855-2026")</f>
        <v/>
      </c>
      <c r="AB33">
        <f>HYPERLINK("https://klasma.github.io/Logging_0480/tillsynsmail/A 14855-2026 tillsynsbegäran mail.docx", "A 14855-2026")</f>
        <v/>
      </c>
    </row>
    <row r="34" ht="15" customHeight="1">
      <c r="A34" t="inlineStr">
        <is>
          <t>A 24273-2026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46169</v>
      </c>
      <c r="E34" s="1" t="n">
        <v>46217</v>
      </c>
      <c r="F34" t="inlineStr">
        <is>
          <t>SÖDERMANLANDS LÄN</t>
        </is>
      </c>
      <c r="G34" t="inlineStr">
        <is>
          <t>NYKÖPING</t>
        </is>
      </c>
      <c r="I34" t="n">
        <v>4.5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s="2" t="inlineStr">
        <is>
          <t>Grönsångare
Svinrot
Spillkråka
Ärtsångare</t>
        </is>
      </c>
      <c r="V34">
        <f>HYPERLINK("https://klasma.github.io/Logging_0480/artfynd/A 24273-2026 artfynd.xlsx", "A 24273-2026")</f>
        <v/>
      </c>
      <c r="W34">
        <f>HYPERLINK("https://klasma.github.io/Logging_0480/kartor/A 24273-2026 karta.png", "A 24273-2026")</f>
        <v/>
      </c>
      <c r="Y34">
        <f>HYPERLINK("https://klasma.github.io/Logging_0480/klagomål/A 24273-2026 FSC-klagomål.docx", "A 24273-2026")</f>
        <v/>
      </c>
      <c r="Z34">
        <f>HYPERLINK("https://klasma.github.io/Logging_0480/klagomålsmail/A 24273-2026 FSC-klagomål mail.docx", "A 24273-2026")</f>
        <v/>
      </c>
      <c r="AA34">
        <f>HYPERLINK("https://klasma.github.io/Logging_0480/tillsyn/A 24273-2026 tillsynsbegäran.docx", "A 24273-2026")</f>
        <v/>
      </c>
      <c r="AB34">
        <f>HYPERLINK("https://klasma.github.io/Logging_0480/tillsynsmail/A 24273-2026 tillsynsbegäran mail.docx", "A 24273-2026")</f>
        <v/>
      </c>
      <c r="AC34">
        <f>HYPERLINK("https://klasma.github.io/Logging_0480/fåglar/A 24273-2026 prioriterade fågelarter.docx", "A 24273-2026")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46217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Skogsklocka
Svinrot
Fläcknycklar</t>
        </is>
      </c>
      <c r="V35">
        <f>HYPERLINK("https://klasma.github.io/Logging_0480/artfynd/A 55963-2021 artfynd.xlsx", "A 55963-2021")</f>
        <v/>
      </c>
      <c r="W35">
        <f>HYPERLINK("https://klasma.github.io/Logging_0480/kartor/A 55963-2021 karta.png", "A 55963-2021")</f>
        <v/>
      </c>
      <c r="Y35">
        <f>HYPERLINK("https://klasma.github.io/Logging_0480/klagomål/A 55963-2021 FSC-klagomål.docx", "A 55963-2021")</f>
        <v/>
      </c>
      <c r="Z35">
        <f>HYPERLINK("https://klasma.github.io/Logging_0480/klagomålsmail/A 55963-2021 FSC-klagomål mail.docx", "A 55963-2021")</f>
        <v/>
      </c>
      <c r="AA35">
        <f>HYPERLINK("https://klasma.github.io/Logging_0480/tillsyn/A 55963-2021 tillsynsbegäran.docx", "A 55963-2021")</f>
        <v/>
      </c>
      <c r="AB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46217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s="2" t="inlineStr">
        <is>
          <t>Skogsklocka
Tibast
Blåsippa</t>
        </is>
      </c>
      <c r="V36">
        <f>HYPERLINK("https://klasma.github.io/Logging_0480/artfynd/A 38418-2021 artfynd.xlsx", "A 38418-2021")</f>
        <v/>
      </c>
      <c r="W36">
        <f>HYPERLINK("https://klasma.github.io/Logging_0480/kartor/A 38418-2021 karta.png", "A 38418-2021")</f>
        <v/>
      </c>
      <c r="Y36">
        <f>HYPERLINK("https://klasma.github.io/Logging_0480/klagomål/A 38418-2021 FSC-klagomål.docx", "A 38418-2021")</f>
        <v/>
      </c>
      <c r="Z36">
        <f>HYPERLINK("https://klasma.github.io/Logging_0480/klagomålsmail/A 38418-2021 FSC-klagomål mail.docx", "A 38418-2021")</f>
        <v/>
      </c>
      <c r="AA36">
        <f>HYPERLINK("https://klasma.github.io/Logging_0480/tillsyn/A 38418-2021 tillsynsbegäran.docx", "A 38418-2021")</f>
        <v/>
      </c>
      <c r="AB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46217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Fjällig taggsvamp s.str.
Stubbtrådmossa
Blomkålssvamp</t>
        </is>
      </c>
      <c r="V37">
        <f>HYPERLINK("https://klasma.github.io/Logging_0480/artfynd/A 69612-2021 artfynd.xlsx", "A 69612-2021")</f>
        <v/>
      </c>
      <c r="W37">
        <f>HYPERLINK("https://klasma.github.io/Logging_0480/kartor/A 69612-2021 karta.png", "A 69612-2021")</f>
        <v/>
      </c>
      <c r="Y37">
        <f>HYPERLINK("https://klasma.github.io/Logging_0480/klagomål/A 69612-2021 FSC-klagomål.docx", "A 69612-2021")</f>
        <v/>
      </c>
      <c r="Z37">
        <f>HYPERLINK("https://klasma.github.io/Logging_0480/klagomålsmail/A 69612-2021 FSC-klagomål mail.docx", "A 69612-2021")</f>
        <v/>
      </c>
      <c r="AA37">
        <f>HYPERLINK("https://klasma.github.io/Logging_0480/tillsyn/A 69612-2021 tillsynsbegäran.docx", "A 69612-2021")</f>
        <v/>
      </c>
      <c r="AB37">
        <f>HYPERLINK("https://klasma.github.io/Logging_0480/tillsynsmail/A 69612-2021 tillsynsbegäran mail.docx", "A 69612-2021")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46217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Fjällig taggsvamp s.str.
Granbarkgnagare
Grovticka</t>
        </is>
      </c>
      <c r="V38">
        <f>HYPERLINK("https://klasma.github.io/Logging_0480/artfynd/A 11640-2022 artfynd.xlsx", "A 11640-2022")</f>
        <v/>
      </c>
      <c r="W38">
        <f>HYPERLINK("https://klasma.github.io/Logging_0480/kartor/A 11640-2022 karta.png", "A 11640-2022")</f>
        <v/>
      </c>
      <c r="Y38">
        <f>HYPERLINK("https://klasma.github.io/Logging_0480/klagomål/A 11640-2022 FSC-klagomål.docx", "A 11640-2022")</f>
        <v/>
      </c>
      <c r="Z38">
        <f>HYPERLINK("https://klasma.github.io/Logging_0480/klagomålsmail/A 11640-2022 FSC-klagomål mail.docx", "A 11640-2022")</f>
        <v/>
      </c>
      <c r="AA38">
        <f>HYPERLINK("https://klasma.github.io/Logging_0480/tillsyn/A 11640-2022 tillsynsbegäran.docx", "A 11640-2022")</f>
        <v/>
      </c>
      <c r="AB38">
        <f>HYPERLINK("https://klasma.github.io/Logging_0480/tillsynsmail/A 11640-2022 tillsynsbegäran mail.docx", "A 11640-2022")</f>
        <v/>
      </c>
    </row>
    <row r="39" ht="15" customHeight="1">
      <c r="A39" t="inlineStr">
        <is>
          <t>A 39740-2022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44817</v>
      </c>
      <c r="E39" s="1" t="n">
        <v>46217</v>
      </c>
      <c r="F39" t="inlineStr">
        <is>
          <t>SÖDERMANLANDS LÄN</t>
        </is>
      </c>
      <c r="G39" t="inlineStr">
        <is>
          <t>NYKÖPING</t>
        </is>
      </c>
      <c r="H39" t="inlineStr">
        <is>
          <t>Kommuner</t>
        </is>
      </c>
      <c r="I39" t="n">
        <v>3.4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Tallticka
Vågbandad barkbock
Blåsippa</t>
        </is>
      </c>
      <c r="V39">
        <f>HYPERLINK("https://klasma.github.io/Logging_0480/artfynd/A 39740-2022 artfynd.xlsx", "A 39740-2022")</f>
        <v/>
      </c>
      <c r="W39">
        <f>HYPERLINK("https://klasma.github.io/Logging_0480/kartor/A 39740-2022 karta.png", "A 39740-2022")</f>
        <v/>
      </c>
      <c r="Y39">
        <f>HYPERLINK("https://klasma.github.io/Logging_0480/klagomål/A 39740-2022 FSC-klagomål.docx", "A 39740-2022")</f>
        <v/>
      </c>
      <c r="Z39">
        <f>HYPERLINK("https://klasma.github.io/Logging_0480/klagomålsmail/A 39740-2022 FSC-klagomål mail.docx", "A 39740-2022")</f>
        <v/>
      </c>
      <c r="AA39">
        <f>HYPERLINK("https://klasma.github.io/Logging_0480/tillsyn/A 39740-2022 tillsynsbegäran.docx", "A 39740-2022")</f>
        <v/>
      </c>
      <c r="AB39">
        <f>HYPERLINK("https://klasma.github.io/Logging_0480/tillsynsmail/A 39740-2022 tillsynsbegäran mail.docx", "A 39740-2022")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46217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s="2" t="inlineStr">
        <is>
          <t>Gulsparv
Kösa
Linmåra/småsnärjmåra</t>
        </is>
      </c>
      <c r="V40">
        <f>HYPERLINK("https://klasma.github.io/Logging_0480/artfynd/A 38203-2022 artfynd.xlsx", "A 38203-2022")</f>
        <v/>
      </c>
      <c r="W40">
        <f>HYPERLINK("https://klasma.github.io/Logging_0480/kartor/A 38203-2022 karta.png", "A 38203-2022")</f>
        <v/>
      </c>
      <c r="Y40">
        <f>HYPERLINK("https://klasma.github.io/Logging_0480/klagomål/A 38203-2022 FSC-klagomål.docx", "A 38203-2022")</f>
        <v/>
      </c>
      <c r="Z40">
        <f>HYPERLINK("https://klasma.github.io/Logging_0480/klagomålsmail/A 38203-2022 FSC-klagomål mail.docx", "A 38203-2022")</f>
        <v/>
      </c>
      <c r="AA40">
        <f>HYPERLINK("https://klasma.github.io/Logging_0480/tillsyn/A 38203-2022 tillsynsbegäran.docx", "A 38203-2022")</f>
        <v/>
      </c>
      <c r="AB40">
        <f>HYPERLINK("https://klasma.github.io/Logging_0480/tillsynsmail/A 38203-2022 tillsynsbegäran mail.docx", "A 38203-2022")</f>
        <v/>
      </c>
      <c r="AC40">
        <f>HYPERLINK("https://klasma.github.io/Logging_0480/fåglar/A 38203-2022 prioriterade fågelarter.docx", "A 38203-2022")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46217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s="2" t="inlineStr">
        <is>
          <t>Dofttaggsvamp
Fjällig taggsvamp s.str.
Sotvaxskivling</t>
        </is>
      </c>
      <c r="V41">
        <f>HYPERLINK("https://klasma.github.io/Logging_0480/artfynd/A 53573-2022 artfynd.xlsx", "A 53573-2022")</f>
        <v/>
      </c>
      <c r="W41">
        <f>HYPERLINK("https://klasma.github.io/Logging_0480/kartor/A 53573-2022 karta.png", "A 53573-2022")</f>
        <v/>
      </c>
      <c r="Y41">
        <f>HYPERLINK("https://klasma.github.io/Logging_0480/klagomål/A 53573-2022 FSC-klagomål.docx", "A 53573-2022")</f>
        <v/>
      </c>
      <c r="Z41">
        <f>HYPERLINK("https://klasma.github.io/Logging_0480/klagomålsmail/A 53573-2022 FSC-klagomål mail.docx", "A 53573-2022")</f>
        <v/>
      </c>
      <c r="AA41">
        <f>HYPERLINK("https://klasma.github.io/Logging_0480/tillsyn/A 53573-2022 tillsynsbegäran.docx", "A 53573-2022")</f>
        <v/>
      </c>
      <c r="AB41">
        <f>HYPERLINK("https://klasma.github.io/Logging_0480/tillsynsmail/A 53573-2022 tillsynsbegäran mail.docx", "A 53573-2022")</f>
        <v/>
      </c>
    </row>
    <row r="42" ht="15" customHeight="1">
      <c r="A42" t="inlineStr">
        <is>
          <t>A 54227-2025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45964</v>
      </c>
      <c r="E42" s="1" t="n">
        <v>46217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Grantaggsvamp
Skarp dropptaggsvamp
Zontaggsvamp</t>
        </is>
      </c>
      <c r="V42">
        <f>HYPERLINK("https://klasma.github.io/Logging_0480/artfynd/A 54227-2025 artfynd.xlsx", "A 54227-2025")</f>
        <v/>
      </c>
      <c r="W42">
        <f>HYPERLINK("https://klasma.github.io/Logging_0480/kartor/A 54227-2025 karta.png", "A 54227-2025")</f>
        <v/>
      </c>
      <c r="Y42">
        <f>HYPERLINK("https://klasma.github.io/Logging_0480/klagomål/A 54227-2025 FSC-klagomål.docx", "A 54227-2025")</f>
        <v/>
      </c>
      <c r="Z42">
        <f>HYPERLINK("https://klasma.github.io/Logging_0480/klagomålsmail/A 54227-2025 FSC-klagomål mail.docx", "A 54227-2025")</f>
        <v/>
      </c>
      <c r="AA42">
        <f>HYPERLINK("https://klasma.github.io/Logging_0480/tillsyn/A 54227-2025 tillsynsbegäran.docx", "A 54227-2025")</f>
        <v/>
      </c>
      <c r="AB42">
        <f>HYPERLINK("https://klasma.github.io/Logging_0480/tillsynsmail/A 54227-2025 tillsynsbegäran mail.docx", "A 54227-2025")</f>
        <v/>
      </c>
    </row>
    <row r="43" ht="15" customHeight="1">
      <c r="A43" t="inlineStr">
        <is>
          <t>A 58783-2025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46217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Skogshare
Nattskärra
Revlummer</t>
        </is>
      </c>
      <c r="V43">
        <f>HYPERLINK("https://klasma.github.io/Logging_0480/artfynd/A 58783-2025 artfynd.xlsx", "A 58783-2025")</f>
        <v/>
      </c>
      <c r="W43">
        <f>HYPERLINK("https://klasma.github.io/Logging_0480/kartor/A 58783-2025 karta.png", "A 58783-2025")</f>
        <v/>
      </c>
      <c r="Y43">
        <f>HYPERLINK("https://klasma.github.io/Logging_0480/klagomål/A 58783-2025 FSC-klagomål.docx", "A 58783-2025")</f>
        <v/>
      </c>
      <c r="Z43">
        <f>HYPERLINK("https://klasma.github.io/Logging_0480/klagomålsmail/A 58783-2025 FSC-klagomål mail.docx", "A 58783-2025")</f>
        <v/>
      </c>
      <c r="AA43">
        <f>HYPERLINK("https://klasma.github.io/Logging_0480/tillsyn/A 58783-2025 tillsynsbegäran.docx", "A 58783-2025")</f>
        <v/>
      </c>
      <c r="AB43">
        <f>HYPERLINK("https://klasma.github.io/Logging_0480/tillsynsmail/A 58783-2025 tillsynsbegäran mail.docx", "A 58783-2025")</f>
        <v/>
      </c>
      <c r="AC43">
        <f>HYPERLINK("https://klasma.github.io/Logging_0480/fåglar/A 58783-2025 prioriterade fågelarter.docx", "A 58783-2025")</f>
        <v/>
      </c>
    </row>
    <row r="44" ht="15" customHeight="1">
      <c r="A44" t="inlineStr">
        <is>
          <t>A 4710-2024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46217</v>
      </c>
      <c r="F44" t="inlineStr">
        <is>
          <t>SÖDERMANLANDS LÄN</t>
        </is>
      </c>
      <c r="G44" t="inlineStr">
        <is>
          <t>NYKÖPING</t>
        </is>
      </c>
      <c r="I44" t="n">
        <v>8.699999999999999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s="2" t="inlineStr">
        <is>
          <t>Ask
Blåsippa
Grönvit nattviol</t>
        </is>
      </c>
      <c r="V44">
        <f>HYPERLINK("https://klasma.github.io/Logging_0480/artfynd/A 4710-2024 artfynd.xlsx", "A 4710-2024")</f>
        <v/>
      </c>
      <c r="W44">
        <f>HYPERLINK("https://klasma.github.io/Logging_0480/kartor/A 4710-2024 karta.png", "A 4710-2024")</f>
        <v/>
      </c>
      <c r="Y44">
        <f>HYPERLINK("https://klasma.github.io/Logging_0480/klagomål/A 4710-2024 FSC-klagomål.docx", "A 4710-2024")</f>
        <v/>
      </c>
      <c r="Z44">
        <f>HYPERLINK("https://klasma.github.io/Logging_0480/klagomålsmail/A 4710-2024 FSC-klagomål mail.docx", "A 4710-2024")</f>
        <v/>
      </c>
      <c r="AA44">
        <f>HYPERLINK("https://klasma.github.io/Logging_0480/tillsyn/A 4710-2024 tillsynsbegäran.docx", "A 4710-2024")</f>
        <v/>
      </c>
      <c r="AB44">
        <f>HYPERLINK("https://klasma.github.io/Logging_0480/tillsynsmail/A 4710-2024 tillsynsbegäran mail.docx", "A 4710-2024")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46217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Grönsångare
Spillkråka
Trana</t>
        </is>
      </c>
      <c r="V45">
        <f>HYPERLINK("https://klasma.github.io/Logging_0480/artfynd/A 57727-2025 artfynd.xlsx", "A 57727-2025")</f>
        <v/>
      </c>
      <c r="W45">
        <f>HYPERLINK("https://klasma.github.io/Logging_0480/kartor/A 57727-2025 karta.png", "A 57727-2025")</f>
        <v/>
      </c>
      <c r="Y45">
        <f>HYPERLINK("https://klasma.github.io/Logging_0480/klagomål/A 57727-2025 FSC-klagomål.docx", "A 57727-2025")</f>
        <v/>
      </c>
      <c r="Z45">
        <f>HYPERLINK("https://klasma.github.io/Logging_0480/klagomålsmail/A 57727-2025 FSC-klagomål mail.docx", "A 57727-2025")</f>
        <v/>
      </c>
      <c r="AA45">
        <f>HYPERLINK("https://klasma.github.io/Logging_0480/tillsyn/A 57727-2025 tillsynsbegäran.docx", "A 57727-2025")</f>
        <v/>
      </c>
      <c r="AB45">
        <f>HYPERLINK("https://klasma.github.io/Logging_0480/tillsynsmail/A 57727-2025 tillsynsbegäran mail.docx", "A 57727-2025")</f>
        <v/>
      </c>
      <c r="AC45">
        <f>HYPERLINK("https://klasma.github.io/Logging_0480/fåglar/A 57727-2025 prioriterade fågelarter.docx", "A 57727-2025")</f>
        <v/>
      </c>
    </row>
    <row r="46" ht="15" customHeight="1">
      <c r="A46" t="inlineStr">
        <is>
          <t>A 24092-2026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46166</v>
      </c>
      <c r="E46" s="1" t="n">
        <v>46217</v>
      </c>
      <c r="F46" t="inlineStr">
        <is>
          <t>SÖDERMANLANDS LÄN</t>
        </is>
      </c>
      <c r="G46" t="inlineStr">
        <is>
          <t>NYKÖPING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Blåbär
Vildkaprifol
Ängskovall</t>
        </is>
      </c>
      <c r="V46">
        <f>HYPERLINK("https://klasma.github.io/Logging_0480/artfynd/A 24092-2026 artfynd.xlsx", "A 24092-2026")</f>
        <v/>
      </c>
      <c r="W46">
        <f>HYPERLINK("https://klasma.github.io/Logging_0480/kartor/A 24092-2026 karta.png", "A 24092-2026")</f>
        <v/>
      </c>
      <c r="Y46">
        <f>HYPERLINK("https://klasma.github.io/Logging_0480/klagomål/A 24092-2026 FSC-klagomål.docx", "A 24092-2026")</f>
        <v/>
      </c>
      <c r="Z46">
        <f>HYPERLINK("https://klasma.github.io/Logging_0480/klagomålsmail/A 24092-2026 FSC-klagomål mail.docx", "A 24092-2026")</f>
        <v/>
      </c>
      <c r="AA46">
        <f>HYPERLINK("https://klasma.github.io/Logging_0480/tillsyn/A 24092-2026 tillsynsbegäran.docx", "A 24092-2026")</f>
        <v/>
      </c>
      <c r="AB46">
        <f>HYPERLINK("https://klasma.github.io/Logging_0480/tillsynsmail/A 24092-2026 tillsynsbegäran mail.docx", "A 24092-2026")</f>
        <v/>
      </c>
    </row>
    <row r="47" ht="15" customHeight="1">
      <c r="A47" t="inlineStr">
        <is>
          <t>A 22417-2023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45070</v>
      </c>
      <c r="E47" s="1" t="n">
        <v>46217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s="2" t="inlineStr">
        <is>
          <t>Backstarr
Sjöhjortron
Vanlig snok</t>
        </is>
      </c>
      <c r="V47">
        <f>HYPERLINK("https://klasma.github.io/Logging_0480/artfynd/A 22417-2023 artfynd.xlsx", "A 22417-2023")</f>
        <v/>
      </c>
      <c r="W47">
        <f>HYPERLINK("https://klasma.github.io/Logging_0480/kartor/A 22417-2023 karta.png", "A 22417-2023")</f>
        <v/>
      </c>
      <c r="Y47">
        <f>HYPERLINK("https://klasma.github.io/Logging_0480/klagomål/A 22417-2023 FSC-klagomål.docx", "A 22417-2023")</f>
        <v/>
      </c>
      <c r="Z47">
        <f>HYPERLINK("https://klasma.github.io/Logging_0480/klagomålsmail/A 22417-2023 FSC-klagomål mail.docx", "A 22417-2023")</f>
        <v/>
      </c>
      <c r="AA47">
        <f>HYPERLINK("https://klasma.github.io/Logging_0480/tillsyn/A 22417-2023 tillsynsbegäran.docx", "A 22417-2023")</f>
        <v/>
      </c>
      <c r="AB47">
        <f>HYPERLINK("https://klasma.github.io/Logging_0480/tillsynsmail/A 22417-2023 tillsynsbegäran mail.docx", "A 22417-2023")</f>
        <v/>
      </c>
    </row>
    <row r="48" ht="15" customHeight="1">
      <c r="A48" t="inlineStr">
        <is>
          <t>A 54498-2023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45226</v>
      </c>
      <c r="E48" s="1" t="n">
        <v>46217</v>
      </c>
      <c r="F48" t="inlineStr">
        <is>
          <t>SÖDERMANLANDS LÄN</t>
        </is>
      </c>
      <c r="G48" t="inlineStr">
        <is>
          <t>NYKÖPING</t>
        </is>
      </c>
      <c r="I48" t="n">
        <v>4.7</v>
      </c>
      <c r="J48" t="n">
        <v>3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s="2" t="inlineStr">
        <is>
          <t>Brun glada
Trana
Utter</t>
        </is>
      </c>
      <c r="V48">
        <f>HYPERLINK("https://klasma.github.io/Logging_0480/artfynd/A 54498-2023 artfynd.xlsx", "A 54498-2023")</f>
        <v/>
      </c>
      <c r="W48">
        <f>HYPERLINK("https://klasma.github.io/Logging_0480/kartor/A 54498-2023 karta.png", "A 54498-2023")</f>
        <v/>
      </c>
      <c r="Y48">
        <f>HYPERLINK("https://klasma.github.io/Logging_0480/klagomål/A 54498-2023 FSC-klagomål.docx", "A 54498-2023")</f>
        <v/>
      </c>
      <c r="Z48">
        <f>HYPERLINK("https://klasma.github.io/Logging_0480/klagomålsmail/A 54498-2023 FSC-klagomål mail.docx", "A 54498-2023")</f>
        <v/>
      </c>
      <c r="AA48">
        <f>HYPERLINK("https://klasma.github.io/Logging_0480/tillsyn/A 54498-2023 tillsynsbegäran.docx", "A 54498-2023")</f>
        <v/>
      </c>
      <c r="AB48">
        <f>HYPERLINK("https://klasma.github.io/Logging_0480/tillsynsmail/A 54498-2023 tillsynsbegäran mail.docx", "A 54498-2023")</f>
        <v/>
      </c>
      <c r="AC48">
        <f>HYPERLINK("https://klasma.github.io/Logging_0480/fåglar/A 54498-2023 prioriterade fågelarter.docx", "A 54498-2023")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46217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Persiljespindling
Svart skogssnigel</t>
        </is>
      </c>
      <c r="V49">
        <f>HYPERLINK("https://klasma.github.io/Logging_0480/artfynd/A 37879-2021 artfynd.xlsx", "A 37879-2021")</f>
        <v/>
      </c>
      <c r="W49">
        <f>HYPERLINK("https://klasma.github.io/Logging_0480/kartor/A 37879-2021 karta.png", "A 37879-2021")</f>
        <v/>
      </c>
      <c r="Y49">
        <f>HYPERLINK("https://klasma.github.io/Logging_0480/klagomål/A 37879-2021 FSC-klagomål.docx", "A 37879-2021")</f>
        <v/>
      </c>
      <c r="Z49">
        <f>HYPERLINK("https://klasma.github.io/Logging_0480/klagomålsmail/A 37879-2021 FSC-klagomål mail.docx", "A 37879-2021")</f>
        <v/>
      </c>
      <c r="AA49">
        <f>HYPERLINK("https://klasma.github.io/Logging_0480/tillsyn/A 37879-2021 tillsynsbegäran.docx", "A 37879-2021")</f>
        <v/>
      </c>
      <c r="AB49">
        <f>HYPERLINK("https://klasma.github.io/Logging_0480/tillsynsmail/A 37879-2021 tillsynsbegäran mail.docx", "A 37879-2021")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46217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Törnskata
Revlummer</t>
        </is>
      </c>
      <c r="V50">
        <f>HYPERLINK("https://klasma.github.io/Logging_0480/artfynd/A 5857-2024 artfynd.xlsx", "A 5857-2024")</f>
        <v/>
      </c>
      <c r="W50">
        <f>HYPERLINK("https://klasma.github.io/Logging_0480/kartor/A 5857-2024 karta.png", "A 5857-2024")</f>
        <v/>
      </c>
      <c r="Y50">
        <f>HYPERLINK("https://klasma.github.io/Logging_0480/klagomål/A 5857-2024 FSC-klagomål.docx", "A 5857-2024")</f>
        <v/>
      </c>
      <c r="Z50">
        <f>HYPERLINK("https://klasma.github.io/Logging_0480/klagomålsmail/A 5857-2024 FSC-klagomål mail.docx", "A 5857-2024")</f>
        <v/>
      </c>
      <c r="AA50">
        <f>HYPERLINK("https://klasma.github.io/Logging_0480/tillsyn/A 5857-2024 tillsynsbegäran.docx", "A 5857-2024")</f>
        <v/>
      </c>
      <c r="AB50">
        <f>HYPERLINK("https://klasma.github.io/Logging_0480/tillsynsmail/A 5857-2024 tillsynsbegäran mail.docx", "A 5857-2024")</f>
        <v/>
      </c>
      <c r="AC50">
        <f>HYPERLINK("https://klasma.github.io/Logging_0480/fåglar/A 5857-2024 prioriterade fågelarter.docx", "A 5857-2024")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46217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Stor aspticka
Vätteros</t>
        </is>
      </c>
      <c r="V51">
        <f>HYPERLINK("https://klasma.github.io/Logging_0480/artfynd/A 10977-2024 artfynd.xlsx", "A 10977-2024")</f>
        <v/>
      </c>
      <c r="W51">
        <f>HYPERLINK("https://klasma.github.io/Logging_0480/kartor/A 10977-2024 karta.png", "A 10977-2024")</f>
        <v/>
      </c>
      <c r="Y51">
        <f>HYPERLINK("https://klasma.github.io/Logging_0480/klagomål/A 10977-2024 FSC-klagomål.docx", "A 10977-2024")</f>
        <v/>
      </c>
      <c r="Z51">
        <f>HYPERLINK("https://klasma.github.io/Logging_0480/klagomålsmail/A 10977-2024 FSC-klagomål mail.docx", "A 10977-2024")</f>
        <v/>
      </c>
      <c r="AA51">
        <f>HYPERLINK("https://klasma.github.io/Logging_0480/tillsyn/A 10977-2024 tillsynsbegäran.docx", "A 10977-2024")</f>
        <v/>
      </c>
      <c r="AB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44480</v>
      </c>
      <c r="E52" s="1" t="n">
        <v>46217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2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s="2" t="inlineStr">
        <is>
          <t>Björktrast
Kungsörn</t>
        </is>
      </c>
      <c r="V52">
        <f>HYPERLINK("https://klasma.github.io/Logging_0480/artfynd/A 56420-2021 artfynd.xlsx", "A 56420-2021")</f>
        <v/>
      </c>
      <c r="W52">
        <f>HYPERLINK("https://klasma.github.io/Logging_0480/kartor/A 56420-2021 karta.png", "A 56420-2021")</f>
        <v/>
      </c>
      <c r="Y52">
        <f>HYPERLINK("https://klasma.github.io/Logging_0480/klagomål/A 56420-2021 FSC-klagomål.docx", "A 56420-2021")</f>
        <v/>
      </c>
      <c r="Z52">
        <f>HYPERLINK("https://klasma.github.io/Logging_0480/klagomålsmail/A 56420-2021 FSC-klagomål mail.docx", "A 56420-2021")</f>
        <v/>
      </c>
      <c r="AA52">
        <f>HYPERLINK("https://klasma.github.io/Logging_0480/tillsyn/A 56420-2021 tillsynsbegäran.docx", "A 56420-2021")</f>
        <v/>
      </c>
      <c r="AB52">
        <f>HYPERLINK("https://klasma.github.io/Logging_0480/tillsynsmail/A 56420-2021 tillsynsbegäran mail.docx", "A 56420-2021")</f>
        <v/>
      </c>
      <c r="AC52">
        <f>HYPERLINK("https://klasma.github.io/Logging_0480/fåglar/A 56420-2021 prioriterade fågelarter.docx", "A 56420-2021")</f>
        <v/>
      </c>
    </row>
    <row r="53" ht="15" customHeight="1">
      <c r="A53" t="inlineStr">
        <is>
          <t>A 60518-2022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46217</v>
      </c>
      <c r="F53" t="inlineStr">
        <is>
          <t>SÖDERMANLANDS LÄN</t>
        </is>
      </c>
      <c r="G53" t="inlineStr">
        <is>
          <t>NYKÖPING</t>
        </is>
      </c>
      <c r="I53" t="n">
        <v>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s="2" t="inlineStr">
        <is>
          <t>Gullklöver
Gullviva</t>
        </is>
      </c>
      <c r="V53">
        <f>HYPERLINK("https://klasma.github.io/Logging_0480/artfynd/A 60518-2022 artfynd.xlsx", "A 60518-2022")</f>
        <v/>
      </c>
      <c r="W53">
        <f>HYPERLINK("https://klasma.github.io/Logging_0480/kartor/A 60518-2022 karta.png", "A 60518-2022")</f>
        <v/>
      </c>
      <c r="Y53">
        <f>HYPERLINK("https://klasma.github.io/Logging_0480/klagomål/A 60518-2022 FSC-klagomål.docx", "A 60518-2022")</f>
        <v/>
      </c>
      <c r="Z53">
        <f>HYPERLINK("https://klasma.github.io/Logging_0480/klagomålsmail/A 60518-2022 FSC-klagomål mail.docx", "A 60518-2022")</f>
        <v/>
      </c>
      <c r="AA53">
        <f>HYPERLINK("https://klasma.github.io/Logging_0480/tillsyn/A 60518-2022 tillsynsbegäran.docx", "A 60518-2022")</f>
        <v/>
      </c>
      <c r="AB53">
        <f>HYPERLINK("https://klasma.github.io/Logging_0480/tillsynsmail/A 60518-2022 tillsynsbegäran mail.docx", "A 60518-2022")</f>
        <v/>
      </c>
    </row>
    <row r="54" ht="15" customHeight="1">
      <c r="A54" t="inlineStr">
        <is>
          <t>A 49231-2023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46217</v>
      </c>
      <c r="F54" t="inlineStr">
        <is>
          <t>SÖDERMANLANDS LÄN</t>
        </is>
      </c>
      <c r="G54" t="inlineStr">
        <is>
          <t>NYKÖPING</t>
        </is>
      </c>
      <c r="I54" t="n">
        <v>0.5</v>
      </c>
      <c r="J54" t="n">
        <v>1</v>
      </c>
      <c r="K54" t="n">
        <v>1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s="2" t="inlineStr">
        <is>
          <t>Bombmurkla
Blåmossa</t>
        </is>
      </c>
      <c r="V54">
        <f>HYPERLINK("https://klasma.github.io/Logging_0480/artfynd/A 49231-2023 artfynd.xlsx", "A 49231-2023")</f>
        <v/>
      </c>
      <c r="W54">
        <f>HYPERLINK("https://klasma.github.io/Logging_0480/kartor/A 49231-2023 karta.png", "A 49231-2023")</f>
        <v/>
      </c>
      <c r="Y54">
        <f>HYPERLINK("https://klasma.github.io/Logging_0480/klagomål/A 49231-2023 FSC-klagomål.docx", "A 49231-2023")</f>
        <v/>
      </c>
      <c r="Z54">
        <f>HYPERLINK("https://klasma.github.io/Logging_0480/klagomålsmail/A 49231-2023 FSC-klagomål mail.docx", "A 49231-2023")</f>
        <v/>
      </c>
      <c r="AA54">
        <f>HYPERLINK("https://klasma.github.io/Logging_0480/tillsyn/A 49231-2023 tillsynsbegäran.docx", "A 49231-2023")</f>
        <v/>
      </c>
      <c r="AB54">
        <f>HYPERLINK("https://klasma.github.io/Logging_0480/tillsynsmail/A 49231-2023 tillsynsbegäran mail.docx", "A 49231-2023")</f>
        <v/>
      </c>
    </row>
    <row r="55" ht="15" customHeight="1">
      <c r="A55" t="inlineStr">
        <is>
          <t>A 38366-2021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44406</v>
      </c>
      <c r="E55" s="1" t="n">
        <v>46217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s="2" t="inlineStr">
        <is>
          <t>Berguv
Skogsklocka</t>
        </is>
      </c>
      <c r="V55">
        <f>HYPERLINK("https://klasma.github.io/Logging_0480/artfynd/A 38366-2021 artfynd.xlsx", "A 38366-2021")</f>
        <v/>
      </c>
      <c r="W55">
        <f>HYPERLINK("https://klasma.github.io/Logging_0480/kartor/A 38366-2021 karta.png", "A 38366-2021")</f>
        <v/>
      </c>
      <c r="Y55">
        <f>HYPERLINK("https://klasma.github.io/Logging_0480/klagomål/A 38366-2021 FSC-klagomål.docx", "A 38366-2021")</f>
        <v/>
      </c>
      <c r="Z55">
        <f>HYPERLINK("https://klasma.github.io/Logging_0480/klagomålsmail/A 38366-2021 FSC-klagomål mail.docx", "A 38366-2021")</f>
        <v/>
      </c>
      <c r="AA55">
        <f>HYPERLINK("https://klasma.github.io/Logging_0480/tillsyn/A 38366-2021 tillsynsbegäran.docx", "A 38366-2021")</f>
        <v/>
      </c>
      <c r="AB55">
        <f>HYPERLINK("https://klasma.github.io/Logging_0480/tillsynsmail/A 38366-2021 tillsynsbegäran mail.docx", "A 38366-2021")</f>
        <v/>
      </c>
      <c r="AC55">
        <f>HYPERLINK("https://klasma.github.io/Logging_0480/fåglar/A 38366-2021 prioriterade fågelarter.docx", "A 38366-2021")</f>
        <v/>
      </c>
    </row>
    <row r="56" ht="15" customHeight="1">
      <c r="A56" t="inlineStr">
        <is>
          <t>A 29766-2022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46217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Broskvaxing
Kungsfågel</t>
        </is>
      </c>
      <c r="V56">
        <f>HYPERLINK("https://klasma.github.io/Logging_0480/artfynd/A 29766-2022 artfynd.xlsx", "A 29766-2022")</f>
        <v/>
      </c>
      <c r="W56">
        <f>HYPERLINK("https://klasma.github.io/Logging_0480/kartor/A 29766-2022 karta.png", "A 29766-2022")</f>
        <v/>
      </c>
      <c r="Y56">
        <f>HYPERLINK("https://klasma.github.io/Logging_0480/klagomål/A 29766-2022 FSC-klagomål.docx", "A 29766-2022")</f>
        <v/>
      </c>
      <c r="Z56">
        <f>HYPERLINK("https://klasma.github.io/Logging_0480/klagomålsmail/A 29766-2022 FSC-klagomål mail.docx", "A 29766-2022")</f>
        <v/>
      </c>
      <c r="AA56">
        <f>HYPERLINK("https://klasma.github.io/Logging_0480/tillsyn/A 29766-2022 tillsynsbegäran.docx", "A 29766-2022")</f>
        <v/>
      </c>
      <c r="AB56">
        <f>HYPERLINK("https://klasma.github.io/Logging_0480/tillsynsmail/A 29766-2022 tillsynsbegäran mail.docx", "A 29766-2022")</f>
        <v/>
      </c>
    </row>
    <row r="57" ht="15" customHeight="1">
      <c r="A57" t="inlineStr">
        <is>
          <t>A 48153-2023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45205</v>
      </c>
      <c r="E57" s="1" t="n">
        <v>46217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Nötkråka
Havsörn</t>
        </is>
      </c>
      <c r="V57">
        <f>HYPERLINK("https://klasma.github.io/Logging_0480/artfynd/A 48153-2023 artfynd.xlsx", "A 48153-2023")</f>
        <v/>
      </c>
      <c r="W57">
        <f>HYPERLINK("https://klasma.github.io/Logging_0480/kartor/A 48153-2023 karta.png", "A 48153-2023")</f>
        <v/>
      </c>
      <c r="Y57">
        <f>HYPERLINK("https://klasma.github.io/Logging_0480/klagomål/A 48153-2023 FSC-klagomål.docx", "A 48153-2023")</f>
        <v/>
      </c>
      <c r="Z57">
        <f>HYPERLINK("https://klasma.github.io/Logging_0480/klagomålsmail/A 48153-2023 FSC-klagomål mail.docx", "A 48153-2023")</f>
        <v/>
      </c>
      <c r="AA57">
        <f>HYPERLINK("https://klasma.github.io/Logging_0480/tillsyn/A 48153-2023 tillsynsbegäran.docx", "A 48153-2023")</f>
        <v/>
      </c>
      <c r="AB57">
        <f>HYPERLINK("https://klasma.github.io/Logging_0480/tillsynsmail/A 48153-2023 tillsynsbegäran mail.docx", "A 48153-2023")</f>
        <v/>
      </c>
      <c r="AC57">
        <f>HYPERLINK("https://klasma.github.io/Logging_0480/fåglar/A 48153-2023 prioriterade fågelarter.docx", "A 48153-2023")</f>
        <v/>
      </c>
    </row>
    <row r="58" ht="15" customHeight="1">
      <c r="A58" t="inlineStr">
        <is>
          <t>A 55945-2025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46217</v>
      </c>
      <c r="F58" t="inlineStr">
        <is>
          <t>SÖDERMANLANDS LÄN</t>
        </is>
      </c>
      <c r="G58" t="inlineStr">
        <is>
          <t>NYKÖPING</t>
        </is>
      </c>
      <c r="I58" t="n">
        <v>9.1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s="2" t="inlineStr">
        <is>
          <t>Blanksvart spiklav
Motaggsvamp</t>
        </is>
      </c>
      <c r="V58">
        <f>HYPERLINK("https://klasma.github.io/Logging_0480/artfynd/A 55945-2025 artfynd.xlsx", "A 55945-2025")</f>
        <v/>
      </c>
      <c r="W58">
        <f>HYPERLINK("https://klasma.github.io/Logging_0480/kartor/A 55945-2025 karta.png", "A 55945-2025")</f>
        <v/>
      </c>
      <c r="Y58">
        <f>HYPERLINK("https://klasma.github.io/Logging_0480/klagomål/A 55945-2025 FSC-klagomål.docx", "A 55945-2025")</f>
        <v/>
      </c>
      <c r="Z58">
        <f>HYPERLINK("https://klasma.github.io/Logging_0480/klagomålsmail/A 55945-2025 FSC-klagomål mail.docx", "A 55945-2025")</f>
        <v/>
      </c>
      <c r="AA58">
        <f>HYPERLINK("https://klasma.github.io/Logging_0480/tillsyn/A 55945-2025 tillsynsbegäran.docx", "A 55945-2025")</f>
        <v/>
      </c>
      <c r="AB58">
        <f>HYPERLINK("https://klasma.github.io/Logging_0480/tillsynsmail/A 55945-2025 tillsynsbegäran mail.docx", "A 55945-2025")</f>
        <v/>
      </c>
    </row>
    <row r="59" ht="15" customHeight="1">
      <c r="A59" t="inlineStr">
        <is>
          <t>A 58167-2025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46217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Grönpyrola
Mattlummer</t>
        </is>
      </c>
      <c r="V59">
        <f>HYPERLINK("https://klasma.github.io/Logging_0480/artfynd/A 58167-2025 artfynd.xlsx", "A 58167-2025")</f>
        <v/>
      </c>
      <c r="W59">
        <f>HYPERLINK("https://klasma.github.io/Logging_0480/kartor/A 58167-2025 karta.png", "A 58167-2025")</f>
        <v/>
      </c>
      <c r="Y59">
        <f>HYPERLINK("https://klasma.github.io/Logging_0480/klagomål/A 58167-2025 FSC-klagomål.docx", "A 58167-2025")</f>
        <v/>
      </c>
      <c r="Z59">
        <f>HYPERLINK("https://klasma.github.io/Logging_0480/klagomålsmail/A 58167-2025 FSC-klagomål mail.docx", "A 58167-2025")</f>
        <v/>
      </c>
      <c r="AA59">
        <f>HYPERLINK("https://klasma.github.io/Logging_0480/tillsyn/A 58167-2025 tillsynsbegäran.docx", "A 58167-2025")</f>
        <v/>
      </c>
      <c r="AB59">
        <f>HYPERLINK("https://klasma.github.io/Logging_0480/tillsynsmail/A 58167-2025 tillsynsbegäran mail.docx", "A 58167-2025")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46217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Talltita
Spillkråka</t>
        </is>
      </c>
      <c r="V60">
        <f>HYPERLINK("https://klasma.github.io/Logging_0480/artfynd/A 1037-2026 artfynd.xlsx", "A 1037-2026")</f>
        <v/>
      </c>
      <c r="W60">
        <f>HYPERLINK("https://klasma.github.io/Logging_0480/kartor/A 1037-2026 karta.png", "A 1037-2026")</f>
        <v/>
      </c>
      <c r="Y60">
        <f>HYPERLINK("https://klasma.github.io/Logging_0480/klagomål/A 1037-2026 FSC-klagomål.docx", "A 1037-2026")</f>
        <v/>
      </c>
      <c r="Z60">
        <f>HYPERLINK("https://klasma.github.io/Logging_0480/klagomålsmail/A 1037-2026 FSC-klagomål mail.docx", "A 1037-2026")</f>
        <v/>
      </c>
      <c r="AA60">
        <f>HYPERLINK("https://klasma.github.io/Logging_0480/tillsyn/A 1037-2026 tillsynsbegäran.docx", "A 1037-2026")</f>
        <v/>
      </c>
      <c r="AB60">
        <f>HYPERLINK("https://klasma.github.io/Logging_0480/tillsynsmail/A 1037-2026 tillsynsbegäran mail.docx", "A 1037-2026")</f>
        <v/>
      </c>
      <c r="AC60">
        <f>HYPERLINK("https://klasma.github.io/Logging_0480/fåglar/A 1037-2026 prioriterade fågelarter.docx", "A 1037-2026")</f>
        <v/>
      </c>
    </row>
    <row r="61" ht="15" customHeight="1">
      <c r="A61" t="inlineStr">
        <is>
          <t>A 38366-2021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44406</v>
      </c>
      <c r="E61" s="1" t="n">
        <v>46217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s="2" t="inlineStr">
        <is>
          <t>Berguv
Skogsklocka</t>
        </is>
      </c>
      <c r="V61">
        <f>HYPERLINK("https://klasma.github.io/Logging_0480/artfynd/A 38366-2021 artfynd.xlsx", "A 38366-2021")</f>
        <v/>
      </c>
      <c r="W61">
        <f>HYPERLINK("https://klasma.github.io/Logging_0480/kartor/A 38366-2021 karta.png", "A 38366-2021")</f>
        <v/>
      </c>
      <c r="Y61">
        <f>HYPERLINK("https://klasma.github.io/Logging_0480/klagomål/A 38366-2021 FSC-klagomål.docx", "A 38366-2021")</f>
        <v/>
      </c>
      <c r="Z61">
        <f>HYPERLINK("https://klasma.github.io/Logging_0480/klagomålsmail/A 38366-2021 FSC-klagomål mail.docx", "A 38366-2021")</f>
        <v/>
      </c>
      <c r="AA61">
        <f>HYPERLINK("https://klasma.github.io/Logging_0480/tillsyn/A 38366-2021 tillsynsbegäran.docx", "A 38366-2021")</f>
        <v/>
      </c>
      <c r="AB61">
        <f>HYPERLINK("https://klasma.github.io/Logging_0480/tillsynsmail/A 38366-2021 tillsynsbegäran mail.docx", "A 38366-2021")</f>
        <v/>
      </c>
      <c r="AC61">
        <f>HYPERLINK("https://klasma.github.io/Logging_0480/fåglar/A 38366-2021 prioriterade fågelarter.docx", "A 38366-2021")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46217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s="2" t="inlineStr">
        <is>
          <t>Sandödla
Vanlig snok</t>
        </is>
      </c>
      <c r="V62">
        <f>HYPERLINK("https://klasma.github.io/Logging_0480/artfynd/A 56728-2025 artfynd.xlsx", "A 56728-2025")</f>
        <v/>
      </c>
      <c r="W62">
        <f>HYPERLINK("https://klasma.github.io/Logging_0480/kartor/A 56728-2025 karta.png", "A 56728-2025")</f>
        <v/>
      </c>
      <c r="Y62">
        <f>HYPERLINK("https://klasma.github.io/Logging_0480/klagomål/A 56728-2025 FSC-klagomål.docx", "A 56728-2025")</f>
        <v/>
      </c>
      <c r="Z62">
        <f>HYPERLINK("https://klasma.github.io/Logging_0480/klagomålsmail/A 56728-2025 FSC-klagomål mail.docx", "A 56728-2025")</f>
        <v/>
      </c>
      <c r="AA62">
        <f>HYPERLINK("https://klasma.github.io/Logging_0480/tillsyn/A 56728-2025 tillsynsbegäran.docx", "A 56728-2025")</f>
        <v/>
      </c>
      <c r="AB62">
        <f>HYPERLINK("https://klasma.github.io/Logging_0480/tillsynsmail/A 56728-2025 tillsynsbegäran mail.docx", "A 56728-2025")</f>
        <v/>
      </c>
    </row>
    <row r="63" ht="15" customHeight="1">
      <c r="A63" t="inlineStr">
        <is>
          <t>A 5865-2024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45335</v>
      </c>
      <c r="E63" s="1" t="n">
        <v>46217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Entita
Fläcknycklar</t>
        </is>
      </c>
      <c r="V63">
        <f>HYPERLINK("https://klasma.github.io/Logging_0480/artfynd/A 5865-2024 artfynd.xlsx", "A 5865-2024")</f>
        <v/>
      </c>
      <c r="W63">
        <f>HYPERLINK("https://klasma.github.io/Logging_0480/kartor/A 5865-2024 karta.png", "A 5865-2024")</f>
        <v/>
      </c>
      <c r="Y63">
        <f>HYPERLINK("https://klasma.github.io/Logging_0480/klagomål/A 5865-2024 FSC-klagomål.docx", "A 5865-2024")</f>
        <v/>
      </c>
      <c r="Z63">
        <f>HYPERLINK("https://klasma.github.io/Logging_0480/klagomålsmail/A 5865-2024 FSC-klagomål mail.docx", "A 5865-2024")</f>
        <v/>
      </c>
      <c r="AA63">
        <f>HYPERLINK("https://klasma.github.io/Logging_0480/tillsyn/A 5865-2024 tillsynsbegäran.docx", "A 5865-2024")</f>
        <v/>
      </c>
      <c r="AB63">
        <f>HYPERLINK("https://klasma.github.io/Logging_0480/tillsynsmail/A 5865-2024 tillsynsbegäran mail.docx", "A 5865-2024")</f>
        <v/>
      </c>
      <c r="AC63">
        <f>HYPERLINK("https://klasma.github.io/Logging_0480/fåglar/A 5865-2024 prioriterade fågelarter.docx", "A 5865-2024")</f>
        <v/>
      </c>
    </row>
    <row r="64" ht="15" customHeight="1">
      <c r="A64" t="inlineStr">
        <is>
          <t>A 6276-2026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46055</v>
      </c>
      <c r="E64" s="1" t="n">
        <v>46217</v>
      </c>
      <c r="F64" t="inlineStr">
        <is>
          <t>SÖDERMANLANDS LÄN</t>
        </is>
      </c>
      <c r="G64" t="inlineStr">
        <is>
          <t>NYKÖPING</t>
        </is>
      </c>
      <c r="I64" t="n">
        <v>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Duvhök
Granbarkgnagare</t>
        </is>
      </c>
      <c r="V64">
        <f>HYPERLINK("https://klasma.github.io/Logging_0480/artfynd/A 6276-2026 artfynd.xlsx", "A 6276-2026")</f>
        <v/>
      </c>
      <c r="W64">
        <f>HYPERLINK("https://klasma.github.io/Logging_0480/kartor/A 6276-2026 karta.png", "A 6276-2026")</f>
        <v/>
      </c>
      <c r="Y64">
        <f>HYPERLINK("https://klasma.github.io/Logging_0480/klagomål/A 6276-2026 FSC-klagomål.docx", "A 6276-2026")</f>
        <v/>
      </c>
      <c r="Z64">
        <f>HYPERLINK("https://klasma.github.io/Logging_0480/klagomålsmail/A 6276-2026 FSC-klagomål mail.docx", "A 6276-2026")</f>
        <v/>
      </c>
      <c r="AA64">
        <f>HYPERLINK("https://klasma.github.io/Logging_0480/tillsyn/A 6276-2026 tillsynsbegäran.docx", "A 6276-2026")</f>
        <v/>
      </c>
      <c r="AB64">
        <f>HYPERLINK("https://klasma.github.io/Logging_0480/tillsynsmail/A 6276-2026 tillsynsbegäran mail.docx", "A 6276-2026")</f>
        <v/>
      </c>
      <c r="AC64">
        <f>HYPERLINK("https://klasma.github.io/Logging_0480/fåglar/A 6276-2026 prioriterade fågelarter.docx", "A 6276-2026")</f>
        <v/>
      </c>
    </row>
    <row r="65" ht="15" customHeight="1">
      <c r="A65" t="inlineStr">
        <is>
          <t>A 56725-2025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46217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0.6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Vanlig snok
Revlummer</t>
        </is>
      </c>
      <c r="V65">
        <f>HYPERLINK("https://klasma.github.io/Logging_0480/artfynd/A 56725-2025 artfynd.xlsx", "A 56725-2025")</f>
        <v/>
      </c>
      <c r="W65">
        <f>HYPERLINK("https://klasma.github.io/Logging_0480/kartor/A 56725-2025 karta.png", "A 56725-2025")</f>
        <v/>
      </c>
      <c r="Y65">
        <f>HYPERLINK("https://klasma.github.io/Logging_0480/klagomål/A 56725-2025 FSC-klagomål.docx", "A 56725-2025")</f>
        <v/>
      </c>
      <c r="Z65">
        <f>HYPERLINK("https://klasma.github.io/Logging_0480/klagomålsmail/A 56725-2025 FSC-klagomål mail.docx", "A 56725-2025")</f>
        <v/>
      </c>
      <c r="AA65">
        <f>HYPERLINK("https://klasma.github.io/Logging_0480/tillsyn/A 56725-2025 tillsynsbegäran.docx", "A 56725-2025")</f>
        <v/>
      </c>
      <c r="AB65">
        <f>HYPERLINK("https://klasma.github.io/Logging_0480/tillsynsmail/A 56725-2025 tillsynsbegäran mail.docx", "A 56725-2025")</f>
        <v/>
      </c>
    </row>
    <row r="66" ht="15" customHeight="1">
      <c r="A66" t="inlineStr">
        <is>
          <t>A 34310-2022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46217</v>
      </c>
      <c r="F66" t="inlineStr">
        <is>
          <t>SÖDERMANLANDS LÄN</t>
        </is>
      </c>
      <c r="G66" t="inlineStr">
        <is>
          <t>NYKÖPING</t>
        </is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7</v>
      </c>
      <c r="U66" s="2" t="inlineStr">
        <is>
          <t>Bombmurkla
Grönpyrola</t>
        </is>
      </c>
      <c r="V66">
        <f>HYPERLINK("https://klasma.github.io/Logging_0480/artfynd/A 34310-2022 artfynd.xlsx", "A 34310-2022")</f>
        <v/>
      </c>
      <c r="W66">
        <f>HYPERLINK("https://klasma.github.io/Logging_0480/kartor/A 34310-2022 karta.png", "A 34310-2022")</f>
        <v/>
      </c>
      <c r="Y66">
        <f>HYPERLINK("https://klasma.github.io/Logging_0480/klagomål/A 34310-2022 FSC-klagomål.docx", "A 34310-2022")</f>
        <v/>
      </c>
      <c r="Z66">
        <f>HYPERLINK("https://klasma.github.io/Logging_0480/klagomålsmail/A 34310-2022 FSC-klagomål mail.docx", "A 34310-2022")</f>
        <v/>
      </c>
      <c r="AA66">
        <f>HYPERLINK("https://klasma.github.io/Logging_0480/tillsyn/A 34310-2022 tillsynsbegäran.docx", "A 34310-2022")</f>
        <v/>
      </c>
      <c r="AB66">
        <f>HYPERLINK("https://klasma.github.io/Logging_0480/tillsynsmail/A 34310-2022 tillsynsbegäran mail.docx", "A 34310-2022")</f>
        <v/>
      </c>
    </row>
    <row r="67" ht="15" customHeight="1">
      <c r="A67" t="inlineStr">
        <is>
          <t>A 14862-2026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46104</v>
      </c>
      <c r="E67" s="1" t="n">
        <v>46217</v>
      </c>
      <c r="F67" t="inlineStr">
        <is>
          <t>SÖDERMANLANDS LÄN</t>
        </is>
      </c>
      <c r="G67" t="inlineStr">
        <is>
          <t>NYKÖPING</t>
        </is>
      </c>
      <c r="I67" t="n">
        <v>10.8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s="2" t="inlineStr">
        <is>
          <t>Dropptaggsvamp
Blåbär</t>
        </is>
      </c>
      <c r="V67">
        <f>HYPERLINK("https://klasma.github.io/Logging_0480/artfynd/A 14862-2026 artfynd.xlsx", "A 14862-2026")</f>
        <v/>
      </c>
      <c r="W67">
        <f>HYPERLINK("https://klasma.github.io/Logging_0480/kartor/A 14862-2026 karta.png", "A 14862-2026")</f>
        <v/>
      </c>
      <c r="Y67">
        <f>HYPERLINK("https://klasma.github.io/Logging_0480/klagomål/A 14862-2026 FSC-klagomål.docx", "A 14862-2026")</f>
        <v/>
      </c>
      <c r="Z67">
        <f>HYPERLINK("https://klasma.github.io/Logging_0480/klagomålsmail/A 14862-2026 FSC-klagomål mail.docx", "A 14862-2026")</f>
        <v/>
      </c>
      <c r="AA67">
        <f>HYPERLINK("https://klasma.github.io/Logging_0480/tillsyn/A 14862-2026 tillsynsbegäran.docx", "A 14862-2026")</f>
        <v/>
      </c>
      <c r="AB67">
        <f>HYPERLINK("https://klasma.github.io/Logging_0480/tillsynsmail/A 14862-2026 tillsynsbegäran mail.docx", "A 14862-2026")</f>
        <v/>
      </c>
    </row>
    <row r="68" ht="15" customHeight="1">
      <c r="A68" t="inlineStr">
        <is>
          <t>A 16078-2023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45027</v>
      </c>
      <c r="E68" s="1" t="n">
        <v>46217</v>
      </c>
      <c r="F68" t="inlineStr">
        <is>
          <t>SÖDERMANLANDS LÄN</t>
        </is>
      </c>
      <c r="G68" t="inlineStr">
        <is>
          <t>NYKÖPING</t>
        </is>
      </c>
      <c r="I68" t="n">
        <v>0.9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s="2" t="inlineStr">
        <is>
          <t>Rödlånke
Fläcknycklar</t>
        </is>
      </c>
      <c r="V68">
        <f>HYPERLINK("https://klasma.github.io/Logging_0480/artfynd/A 16078-2023 artfynd.xlsx", "A 16078-2023")</f>
        <v/>
      </c>
      <c r="W68">
        <f>HYPERLINK("https://klasma.github.io/Logging_0480/kartor/A 16078-2023 karta.png", "A 16078-2023")</f>
        <v/>
      </c>
      <c r="Y68">
        <f>HYPERLINK("https://klasma.github.io/Logging_0480/klagomål/A 16078-2023 FSC-klagomål.docx", "A 16078-2023")</f>
        <v/>
      </c>
      <c r="Z68">
        <f>HYPERLINK("https://klasma.github.io/Logging_0480/klagomålsmail/A 16078-2023 FSC-klagomål mail.docx", "A 16078-2023")</f>
        <v/>
      </c>
      <c r="AA68">
        <f>HYPERLINK("https://klasma.github.io/Logging_0480/tillsyn/A 16078-2023 tillsynsbegäran.docx", "A 16078-2023")</f>
        <v/>
      </c>
      <c r="AB68">
        <f>HYPERLINK("https://klasma.github.io/Logging_0480/tillsynsmail/A 16078-2023 tillsynsbegäran mail.docx", "A 16078-2023")</f>
        <v/>
      </c>
    </row>
    <row r="69" ht="15" customHeight="1">
      <c r="A69" t="inlineStr">
        <is>
          <t>A 55497-2021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44475</v>
      </c>
      <c r="E69" s="1" t="n">
        <v>46217</v>
      </c>
      <c r="F69" t="inlineStr">
        <is>
          <t>SÖDERMANLANDS LÄN</t>
        </is>
      </c>
      <c r="G69" t="inlineStr">
        <is>
          <t>NYKÖPING</t>
        </is>
      </c>
      <c r="I69" t="n">
        <v>7.7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Älg
Nattskärra</t>
        </is>
      </c>
      <c r="V69">
        <f>HYPERLINK("https://klasma.github.io/Logging_0480/artfynd/A 55497-2021 artfynd.xlsx", "A 55497-2021")</f>
        <v/>
      </c>
      <c r="W69">
        <f>HYPERLINK("https://klasma.github.io/Logging_0480/kartor/A 55497-2021 karta.png", "A 55497-2021")</f>
        <v/>
      </c>
      <c r="Y69">
        <f>HYPERLINK("https://klasma.github.io/Logging_0480/klagomål/A 55497-2021 FSC-klagomål.docx", "A 55497-2021")</f>
        <v/>
      </c>
      <c r="Z69">
        <f>HYPERLINK("https://klasma.github.io/Logging_0480/klagomålsmail/A 55497-2021 FSC-klagomål mail.docx", "A 55497-2021")</f>
        <v/>
      </c>
      <c r="AA69">
        <f>HYPERLINK("https://klasma.github.io/Logging_0480/tillsyn/A 55497-2021 tillsynsbegäran.docx", "A 55497-2021")</f>
        <v/>
      </c>
      <c r="AB69">
        <f>HYPERLINK("https://klasma.github.io/Logging_0480/tillsynsmail/A 55497-2021 tillsynsbegäran mail.docx", "A 55497-2021")</f>
        <v/>
      </c>
      <c r="AC69">
        <f>HYPERLINK("https://klasma.github.io/Logging_0480/fåglar/A 55497-2021 prioriterade fågelarter.docx", "A 55497-2021")</f>
        <v/>
      </c>
    </row>
    <row r="70" ht="15" customHeight="1">
      <c r="A70" t="inlineStr">
        <is>
          <t>A 60460-2022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44911</v>
      </c>
      <c r="E70" s="1" t="n">
        <v>46217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Barkticka
Blåsippa</t>
        </is>
      </c>
      <c r="V70">
        <f>HYPERLINK("https://klasma.github.io/Logging_0480/artfynd/A 60460-2022 artfynd.xlsx", "A 60460-2022")</f>
        <v/>
      </c>
      <c r="W70">
        <f>HYPERLINK("https://klasma.github.io/Logging_0480/kartor/A 60460-2022 karta.png", "A 60460-2022")</f>
        <v/>
      </c>
      <c r="Y70">
        <f>HYPERLINK("https://klasma.github.io/Logging_0480/klagomål/A 60460-2022 FSC-klagomål.docx", "A 60460-2022")</f>
        <v/>
      </c>
      <c r="Z70">
        <f>HYPERLINK("https://klasma.github.io/Logging_0480/klagomålsmail/A 60460-2022 FSC-klagomål mail.docx", "A 60460-2022")</f>
        <v/>
      </c>
      <c r="AA70">
        <f>HYPERLINK("https://klasma.github.io/Logging_0480/tillsyn/A 60460-2022 tillsynsbegäran.docx", "A 60460-2022")</f>
        <v/>
      </c>
      <c r="AB70">
        <f>HYPERLINK("https://klasma.github.io/Logging_0480/tillsynsmail/A 60460-2022 tillsynsbegäran mail.docx", "A 60460-2022")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46217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Fjällvråk
Kråka</t>
        </is>
      </c>
      <c r="V71">
        <f>HYPERLINK("https://klasma.github.io/Logging_0480/artfynd/A 56560-2022 artfynd.xlsx", "A 56560-2022")</f>
        <v/>
      </c>
      <c r="W71">
        <f>HYPERLINK("https://klasma.github.io/Logging_0480/kartor/A 56560-2022 karta.png", "A 56560-2022")</f>
        <v/>
      </c>
      <c r="Y71">
        <f>HYPERLINK("https://klasma.github.io/Logging_0480/klagomål/A 56560-2022 FSC-klagomål.docx", "A 56560-2022")</f>
        <v/>
      </c>
      <c r="Z71">
        <f>HYPERLINK("https://klasma.github.io/Logging_0480/klagomålsmail/A 56560-2022 FSC-klagomål mail.docx", "A 56560-2022")</f>
        <v/>
      </c>
      <c r="AA71">
        <f>HYPERLINK("https://klasma.github.io/Logging_0480/tillsyn/A 56560-2022 tillsynsbegäran.docx", "A 56560-2022")</f>
        <v/>
      </c>
      <c r="AB71">
        <f>HYPERLINK("https://klasma.github.io/Logging_0480/tillsynsmail/A 56560-2022 tillsynsbegäran mail.docx", "A 56560-2022")</f>
        <v/>
      </c>
      <c r="AC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46217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Tallticka
Blodticka</t>
        </is>
      </c>
      <c r="V72">
        <f>HYPERLINK("https://klasma.github.io/Logging_0480/artfynd/A 38923-2024 artfynd.xlsx", "A 38923-2024")</f>
        <v/>
      </c>
      <c r="W72">
        <f>HYPERLINK("https://klasma.github.io/Logging_0480/kartor/A 38923-2024 karta.png", "A 38923-2024")</f>
        <v/>
      </c>
      <c r="Y72">
        <f>HYPERLINK("https://klasma.github.io/Logging_0480/klagomål/A 38923-2024 FSC-klagomål.docx", "A 38923-2024")</f>
        <v/>
      </c>
      <c r="Z72">
        <f>HYPERLINK("https://klasma.github.io/Logging_0480/klagomålsmail/A 38923-2024 FSC-klagomål mail.docx", "A 38923-2024")</f>
        <v/>
      </c>
      <c r="AA72">
        <f>HYPERLINK("https://klasma.github.io/Logging_0480/tillsyn/A 38923-2024 tillsynsbegäran.docx", "A 38923-2024")</f>
        <v/>
      </c>
      <c r="AB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46217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Grön sköldmossa</t>
        </is>
      </c>
      <c r="V73">
        <f>HYPERLINK("https://klasma.github.io/Logging_0480/artfynd/S 5250-2022 artfynd.xlsx", "S 5250-2022")</f>
        <v/>
      </c>
      <c r="W73">
        <f>HYPERLINK("https://klasma.github.io/Logging_0480/kartor/S 5250-2022 karta.png", "S 5250-2022")</f>
        <v/>
      </c>
      <c r="Y73">
        <f>HYPERLINK("https://klasma.github.io/Logging_0480/klagomål/S 5250-2022 FSC-klagomål.docx", "S 5250-2022")</f>
        <v/>
      </c>
      <c r="Z73">
        <f>HYPERLINK("https://klasma.github.io/Logging_0480/klagomålsmail/S 5250-2022 FSC-klagomål mail.docx", "S 5250-2022")</f>
        <v/>
      </c>
      <c r="AA73">
        <f>HYPERLINK("https://klasma.github.io/Logging_0480/tillsyn/S 5250-2022 tillsynsbegäran.docx", "S 5250-2022")</f>
        <v/>
      </c>
      <c r="AB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46217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Drillsnäppa</t>
        </is>
      </c>
      <c r="V74">
        <f>HYPERLINK("https://klasma.github.io/Logging_0480/artfynd/A 52095-2022 artfynd.xlsx", "A 52095-2022")</f>
        <v/>
      </c>
      <c r="W74">
        <f>HYPERLINK("https://klasma.github.io/Logging_0480/kartor/A 52095-2022 karta.png", "A 52095-2022")</f>
        <v/>
      </c>
      <c r="Y74">
        <f>HYPERLINK("https://klasma.github.io/Logging_0480/klagomål/A 52095-2022 FSC-klagomål.docx", "A 52095-2022")</f>
        <v/>
      </c>
      <c r="Z74">
        <f>HYPERLINK("https://klasma.github.io/Logging_0480/klagomålsmail/A 52095-2022 FSC-klagomål mail.docx", "A 52095-2022")</f>
        <v/>
      </c>
      <c r="AA74">
        <f>HYPERLINK("https://klasma.github.io/Logging_0480/tillsyn/A 52095-2022 tillsynsbegäran.docx", "A 52095-2022")</f>
        <v/>
      </c>
      <c r="AB74">
        <f>HYPERLINK("https://klasma.github.io/Logging_0480/tillsynsmail/A 52095-2022 tillsynsbegäran mail.docx", "A 52095-2022")</f>
        <v/>
      </c>
      <c r="AC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46217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Svedjenäva</t>
        </is>
      </c>
      <c r="V75">
        <f>HYPERLINK("https://klasma.github.io/Logging_0480/artfynd/A 67817-2021 artfynd.xlsx", "A 67817-2021")</f>
        <v/>
      </c>
      <c r="W75">
        <f>HYPERLINK("https://klasma.github.io/Logging_0480/kartor/A 67817-2021 karta.png", "A 67817-2021")</f>
        <v/>
      </c>
      <c r="Y75">
        <f>HYPERLINK("https://klasma.github.io/Logging_0480/klagomål/A 67817-2021 FSC-klagomål.docx", "A 67817-2021")</f>
        <v/>
      </c>
      <c r="Z75">
        <f>HYPERLINK("https://klasma.github.io/Logging_0480/klagomålsmail/A 67817-2021 FSC-klagomål mail.docx", "A 67817-2021")</f>
        <v/>
      </c>
      <c r="AA75">
        <f>HYPERLINK("https://klasma.github.io/Logging_0480/tillsyn/A 67817-2021 tillsynsbegäran.docx", "A 67817-2021")</f>
        <v/>
      </c>
      <c r="AB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46217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Havsörn</t>
        </is>
      </c>
      <c r="V76">
        <f>HYPERLINK("https://klasma.github.io/Logging_0480/artfynd/A 58396-2021 artfynd.xlsx", "A 58396-2021")</f>
        <v/>
      </c>
      <c r="W76">
        <f>HYPERLINK("https://klasma.github.io/Logging_0480/kartor/A 58396-2021 karta.png", "A 58396-2021")</f>
        <v/>
      </c>
      <c r="Y76">
        <f>HYPERLINK("https://klasma.github.io/Logging_0480/klagomål/A 58396-2021 FSC-klagomål.docx", "A 58396-2021")</f>
        <v/>
      </c>
      <c r="Z76">
        <f>HYPERLINK("https://klasma.github.io/Logging_0480/klagomålsmail/A 58396-2021 FSC-klagomål mail.docx", "A 58396-2021")</f>
        <v/>
      </c>
      <c r="AA76">
        <f>HYPERLINK("https://klasma.github.io/Logging_0480/tillsyn/A 58396-2021 tillsynsbegäran.docx", "A 58396-2021")</f>
        <v/>
      </c>
      <c r="AB76">
        <f>HYPERLINK("https://klasma.github.io/Logging_0480/tillsynsmail/A 58396-2021 tillsynsbegäran mail.docx", "A 58396-2021")</f>
        <v/>
      </c>
      <c r="AC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46217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Mandelriska</t>
        </is>
      </c>
      <c r="V77">
        <f>HYPERLINK("https://klasma.github.io/Logging_0480/artfynd/A 42966-2021 artfynd.xlsx", "A 42966-2021")</f>
        <v/>
      </c>
      <c r="W77">
        <f>HYPERLINK("https://klasma.github.io/Logging_0480/kartor/A 42966-2021 karta.png", "A 42966-2021")</f>
        <v/>
      </c>
      <c r="Y77">
        <f>HYPERLINK("https://klasma.github.io/Logging_0480/klagomål/A 42966-2021 FSC-klagomål.docx", "A 42966-2021")</f>
        <v/>
      </c>
      <c r="Z77">
        <f>HYPERLINK("https://klasma.github.io/Logging_0480/klagomålsmail/A 42966-2021 FSC-klagomål mail.docx", "A 42966-2021")</f>
        <v/>
      </c>
      <c r="AA77">
        <f>HYPERLINK("https://klasma.github.io/Logging_0480/tillsyn/A 42966-2021 tillsynsbegäran.docx", "A 42966-2021")</f>
        <v/>
      </c>
      <c r="AB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46217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Jungfrulin</t>
        </is>
      </c>
      <c r="V78">
        <f>HYPERLINK("https://klasma.github.io/Logging_0480/artfynd/A 22990-2022 artfynd.xlsx", "A 22990-2022")</f>
        <v/>
      </c>
      <c r="W78">
        <f>HYPERLINK("https://klasma.github.io/Logging_0480/kartor/A 22990-2022 karta.png", "A 22990-2022")</f>
        <v/>
      </c>
      <c r="Y78">
        <f>HYPERLINK("https://klasma.github.io/Logging_0480/klagomål/A 22990-2022 FSC-klagomål.docx", "A 22990-2022")</f>
        <v/>
      </c>
      <c r="Z78">
        <f>HYPERLINK("https://klasma.github.io/Logging_0480/klagomålsmail/A 22990-2022 FSC-klagomål mail.docx", "A 22990-2022")</f>
        <v/>
      </c>
      <c r="AA78">
        <f>HYPERLINK("https://klasma.github.io/Logging_0480/tillsyn/A 22990-2022 tillsynsbegäran.docx", "A 22990-2022")</f>
        <v/>
      </c>
      <c r="AB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46217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Hornuggla</t>
        </is>
      </c>
      <c r="V79">
        <f>HYPERLINK("https://klasma.github.io/Logging_0480/artfynd/A 45569-2021 artfynd.xlsx", "A 45569-2021")</f>
        <v/>
      </c>
      <c r="W79">
        <f>HYPERLINK("https://klasma.github.io/Logging_0480/kartor/A 45569-2021 karta.png", "A 45569-2021")</f>
        <v/>
      </c>
      <c r="Y79">
        <f>HYPERLINK("https://klasma.github.io/Logging_0480/klagomål/A 45569-2021 FSC-klagomål.docx", "A 45569-2021")</f>
        <v/>
      </c>
      <c r="Z79">
        <f>HYPERLINK("https://klasma.github.io/Logging_0480/klagomålsmail/A 45569-2021 FSC-klagomål mail.docx", "A 45569-2021")</f>
        <v/>
      </c>
      <c r="AA79">
        <f>HYPERLINK("https://klasma.github.io/Logging_0480/tillsyn/A 45569-2021 tillsynsbegäran.docx", "A 45569-2021")</f>
        <v/>
      </c>
      <c r="AB79">
        <f>HYPERLINK("https://klasma.github.io/Logging_0480/tillsynsmail/A 45569-2021 tillsynsbegäran mail.docx", "A 45569-2021")</f>
        <v/>
      </c>
      <c r="AC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46217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HYPERLINK("https://klasma.github.io/Logging_0480/artfynd/A 51720-2021 artfynd.xlsx", "A 51720-2021")</f>
        <v/>
      </c>
      <c r="W80">
        <f>HYPERLINK("https://klasma.github.io/Logging_0480/kartor/A 51720-2021 karta.png", "A 51720-2021")</f>
        <v/>
      </c>
      <c r="Y80">
        <f>HYPERLINK("https://klasma.github.io/Logging_0480/klagomål/A 51720-2021 FSC-klagomål.docx", "A 51720-2021")</f>
        <v/>
      </c>
      <c r="Z80">
        <f>HYPERLINK("https://klasma.github.io/Logging_0480/klagomålsmail/A 51720-2021 FSC-klagomål mail.docx", "A 51720-2021")</f>
        <v/>
      </c>
      <c r="AA80">
        <f>HYPERLINK("https://klasma.github.io/Logging_0480/tillsyn/A 51720-2021 tillsynsbegäran.docx", "A 51720-2021")</f>
        <v/>
      </c>
      <c r="AB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46217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HYPERLINK("https://klasma.github.io/Logging_0480/artfynd/A 54897-2021 artfynd.xlsx", "A 54897-2021")</f>
        <v/>
      </c>
      <c r="W81">
        <f>HYPERLINK("https://klasma.github.io/Logging_0480/kartor/A 54897-2021 karta.png", "A 54897-2021")</f>
        <v/>
      </c>
      <c r="Y81">
        <f>HYPERLINK("https://klasma.github.io/Logging_0480/klagomål/A 54897-2021 FSC-klagomål.docx", "A 54897-2021")</f>
        <v/>
      </c>
      <c r="Z81">
        <f>HYPERLINK("https://klasma.github.io/Logging_0480/klagomålsmail/A 54897-2021 FSC-klagomål mail.docx", "A 54897-2021")</f>
        <v/>
      </c>
      <c r="AA81">
        <f>HYPERLINK("https://klasma.github.io/Logging_0480/tillsyn/A 54897-2021 tillsynsbegäran.docx", "A 54897-2021")</f>
        <v/>
      </c>
      <c r="AB81">
        <f>HYPERLINK("https://klasma.github.io/Logging_0480/tillsynsmail/A 54897-2021 tillsynsbegäran mail.docx", "A 54897-2021")</f>
        <v/>
      </c>
    </row>
    <row r="82" ht="15" customHeight="1">
      <c r="A82" t="inlineStr">
        <is>
          <t>A 18500-2024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45424</v>
      </c>
      <c r="E82" s="1" t="n">
        <v>46217</v>
      </c>
      <c r="F82" t="inlineStr">
        <is>
          <t>SÖDERMANLANDS LÄN</t>
        </is>
      </c>
      <c r="G82" t="inlineStr">
        <is>
          <t>NYKÖPING</t>
        </is>
      </c>
      <c r="I82" t="n">
        <v>2.4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Tornseglare</t>
        </is>
      </c>
      <c r="V82">
        <f>HYPERLINK("https://klasma.github.io/Logging_0480/artfynd/A 18500-2024 artfynd.xlsx", "A 18500-2024")</f>
        <v/>
      </c>
      <c r="W82">
        <f>HYPERLINK("https://klasma.github.io/Logging_0480/kartor/A 18500-2024 karta.png", "A 18500-2024")</f>
        <v/>
      </c>
      <c r="Y82">
        <f>HYPERLINK("https://klasma.github.io/Logging_0480/klagomål/A 18500-2024 FSC-klagomål.docx", "A 18500-2024")</f>
        <v/>
      </c>
      <c r="Z82">
        <f>HYPERLINK("https://klasma.github.io/Logging_0480/klagomålsmail/A 18500-2024 FSC-klagomål mail.docx", "A 18500-2024")</f>
        <v/>
      </c>
      <c r="AA82">
        <f>HYPERLINK("https://klasma.github.io/Logging_0480/tillsyn/A 18500-2024 tillsynsbegäran.docx", "A 18500-2024")</f>
        <v/>
      </c>
      <c r="AB82">
        <f>HYPERLINK("https://klasma.github.io/Logging_0480/tillsynsmail/A 18500-2024 tillsynsbegäran mail.docx", "A 18500-2024")</f>
        <v/>
      </c>
      <c r="AC82">
        <f>HYPERLINK("https://klasma.github.io/Logging_0480/fåglar/A 18500-2024 prioriterade fågelarter.docx", "A 18500-2024")</f>
        <v/>
      </c>
    </row>
    <row r="83" ht="15" customHeight="1">
      <c r="A83" t="inlineStr">
        <is>
          <t>A 13038-2024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46217</v>
      </c>
      <c r="F83" t="inlineStr">
        <is>
          <t>SÖDERMANLANDS LÄN</t>
        </is>
      </c>
      <c r="G83" t="inlineStr">
        <is>
          <t>NYKÖPING</t>
        </is>
      </c>
      <c r="I83" t="n">
        <v>3.8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s="2" t="inlineStr">
        <is>
          <t>Knärot</t>
        </is>
      </c>
      <c r="V83">
        <f>HYPERLINK("https://klasma.github.io/Logging_0480/artfynd/A 13038-2024 artfynd.xlsx", "A 13038-2024")</f>
        <v/>
      </c>
      <c r="W83">
        <f>HYPERLINK("https://klasma.github.io/Logging_0480/kartor/A 13038-2024 karta.png", "A 13038-2024")</f>
        <v/>
      </c>
      <c r="X83">
        <f>HYPERLINK("https://klasma.github.io/Logging_0480/knärot/A 13038-2024 karta knärot.png", "A 13038-2024")</f>
        <v/>
      </c>
      <c r="Y83">
        <f>HYPERLINK("https://klasma.github.io/Logging_0480/klagomål/A 13038-2024 FSC-klagomål.docx", "A 13038-2024")</f>
        <v/>
      </c>
      <c r="Z83">
        <f>HYPERLINK("https://klasma.github.io/Logging_0480/klagomålsmail/A 13038-2024 FSC-klagomål mail.docx", "A 13038-2024")</f>
        <v/>
      </c>
      <c r="AA83">
        <f>HYPERLINK("https://klasma.github.io/Logging_0480/tillsyn/A 13038-2024 tillsynsbegäran.docx", "A 13038-2024")</f>
        <v/>
      </c>
      <c r="AB83">
        <f>HYPERLINK("https://klasma.github.io/Logging_0480/tillsynsmail/A 13038-2024 tillsynsbegäran mail.docx", "A 13038-2024")</f>
        <v/>
      </c>
    </row>
    <row r="84" ht="15" customHeight="1">
      <c r="A84" t="inlineStr">
        <is>
          <t>A 8387-2024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45352</v>
      </c>
      <c r="E84" s="1" t="n">
        <v>46217</v>
      </c>
      <c r="F84" t="inlineStr">
        <is>
          <t>SÖDERMANLANDS LÄN</t>
        </is>
      </c>
      <c r="G84" t="inlineStr">
        <is>
          <t>NYKÖPING</t>
        </is>
      </c>
      <c r="H84" t="inlineStr">
        <is>
          <t>Sveaskog</t>
        </is>
      </c>
      <c r="I84" t="n">
        <v>0.6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Gulsparv</t>
        </is>
      </c>
      <c r="V84">
        <f>HYPERLINK("https://klasma.github.io/Logging_0480/artfynd/A 8387-2024 artfynd.xlsx", "A 8387-2024")</f>
        <v/>
      </c>
      <c r="W84">
        <f>HYPERLINK("https://klasma.github.io/Logging_0480/kartor/A 8387-2024 karta.png", "A 8387-2024")</f>
        <v/>
      </c>
      <c r="Y84">
        <f>HYPERLINK("https://klasma.github.io/Logging_0480/klagomål/A 8387-2024 FSC-klagomål.docx", "A 8387-2024")</f>
        <v/>
      </c>
      <c r="Z84">
        <f>HYPERLINK("https://klasma.github.io/Logging_0480/klagomålsmail/A 8387-2024 FSC-klagomål mail.docx", "A 8387-2024")</f>
        <v/>
      </c>
      <c r="AA84">
        <f>HYPERLINK("https://klasma.github.io/Logging_0480/tillsyn/A 8387-2024 tillsynsbegäran.docx", "A 8387-2024")</f>
        <v/>
      </c>
      <c r="AB84">
        <f>HYPERLINK("https://klasma.github.io/Logging_0480/tillsynsmail/A 8387-2024 tillsynsbegäran mail.docx", "A 8387-2024")</f>
        <v/>
      </c>
      <c r="AC84">
        <f>HYPERLINK("https://klasma.github.io/Logging_0480/fåglar/A 8387-2024 prioriterade fågelarter.docx", "A 8387-2024")</f>
        <v/>
      </c>
    </row>
    <row r="85" ht="15" customHeight="1">
      <c r="A85" t="inlineStr">
        <is>
          <t>A 37272-2021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44397</v>
      </c>
      <c r="E85" s="1" t="n">
        <v>46217</v>
      </c>
      <c r="F85" t="inlineStr">
        <is>
          <t>SÖDERMANLANDS LÄN</t>
        </is>
      </c>
      <c r="G85" t="inlineStr">
        <is>
          <t>NYKÖPING</t>
        </is>
      </c>
      <c r="I85" t="n">
        <v>0.9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Grönvit nattviol</t>
        </is>
      </c>
      <c r="V85">
        <f>HYPERLINK("https://klasma.github.io/Logging_0480/artfynd/A 37272-2021 artfynd.xlsx", "A 37272-2021")</f>
        <v/>
      </c>
      <c r="W85">
        <f>HYPERLINK("https://klasma.github.io/Logging_0480/kartor/A 37272-2021 karta.png", "A 37272-2021")</f>
        <v/>
      </c>
      <c r="Y85">
        <f>HYPERLINK("https://klasma.github.io/Logging_0480/klagomål/A 37272-2021 FSC-klagomål.docx", "A 37272-2021")</f>
        <v/>
      </c>
      <c r="Z85">
        <f>HYPERLINK("https://klasma.github.io/Logging_0480/klagomålsmail/A 37272-2021 FSC-klagomål mail.docx", "A 37272-2021")</f>
        <v/>
      </c>
      <c r="AA85">
        <f>HYPERLINK("https://klasma.github.io/Logging_0480/tillsyn/A 37272-2021 tillsynsbegäran.docx", "A 37272-2021")</f>
        <v/>
      </c>
      <c r="AB85">
        <f>HYPERLINK("https://klasma.github.io/Logging_0480/tillsynsmail/A 37272-2021 tillsynsbegäran mail.docx", "A 37272-2021")</f>
        <v/>
      </c>
    </row>
    <row r="86" ht="15" customHeight="1">
      <c r="A86" t="inlineStr">
        <is>
          <t>A 35122-2023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46217</v>
      </c>
      <c r="F86" t="inlineStr">
        <is>
          <t>SÖDERMANLANDS LÄN</t>
        </is>
      </c>
      <c r="G86" t="inlineStr">
        <is>
          <t>NYKÖPING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Blåsippa</t>
        </is>
      </c>
      <c r="V86">
        <f>HYPERLINK("https://klasma.github.io/Logging_0480/artfynd/A 35122-2023 artfynd.xlsx", "A 35122-2023")</f>
        <v/>
      </c>
      <c r="W86">
        <f>HYPERLINK("https://klasma.github.io/Logging_0480/kartor/A 35122-2023 karta.png", "A 35122-2023")</f>
        <v/>
      </c>
      <c r="Y86">
        <f>HYPERLINK("https://klasma.github.io/Logging_0480/klagomål/A 35122-2023 FSC-klagomål.docx", "A 35122-2023")</f>
        <v/>
      </c>
      <c r="Z86">
        <f>HYPERLINK("https://klasma.github.io/Logging_0480/klagomålsmail/A 35122-2023 FSC-klagomål mail.docx", "A 35122-2023")</f>
        <v/>
      </c>
      <c r="AA86">
        <f>HYPERLINK("https://klasma.github.io/Logging_0480/tillsyn/A 35122-2023 tillsynsbegäran.docx", "A 35122-2023")</f>
        <v/>
      </c>
      <c r="AB86">
        <f>HYPERLINK("https://klasma.github.io/Logging_0480/tillsynsmail/A 35122-2023 tillsynsbegäran mail.docx", "A 35122-2023")</f>
        <v/>
      </c>
    </row>
    <row r="87" ht="15" customHeight="1">
      <c r="A87" t="inlineStr">
        <is>
          <t>A 45122-2025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46217</v>
      </c>
      <c r="F87" t="inlineStr">
        <is>
          <t>SÖDERMANLANDS LÄN</t>
        </is>
      </c>
      <c r="G87" t="inlineStr">
        <is>
          <t>NYKÖPING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HYPERLINK("https://klasma.github.io/Logging_0480/artfynd/A 45122-2025 artfynd.xlsx", "A 45122-2025")</f>
        <v/>
      </c>
      <c r="W87">
        <f>HYPERLINK("https://klasma.github.io/Logging_0480/kartor/A 45122-2025 karta.png", "A 45122-2025")</f>
        <v/>
      </c>
      <c r="Y87">
        <f>HYPERLINK("https://klasma.github.io/Logging_0480/klagomål/A 45122-2025 FSC-klagomål.docx", "A 45122-2025")</f>
        <v/>
      </c>
      <c r="Z87">
        <f>HYPERLINK("https://klasma.github.io/Logging_0480/klagomålsmail/A 45122-2025 FSC-klagomål mail.docx", "A 45122-2025")</f>
        <v/>
      </c>
      <c r="AA87">
        <f>HYPERLINK("https://klasma.github.io/Logging_0480/tillsyn/A 45122-2025 tillsynsbegäran.docx", "A 45122-2025")</f>
        <v/>
      </c>
      <c r="AB87">
        <f>HYPERLINK("https://klasma.github.io/Logging_0480/tillsynsmail/A 45122-2025 tillsynsbegäran mail.docx", "A 45122-2025")</f>
        <v/>
      </c>
      <c r="AC87">
        <f>HYPERLINK("https://klasma.github.io/Logging_0480/fåglar/A 45122-2025 prioriterade fågelarter.docx", "A 45122-2025")</f>
        <v/>
      </c>
    </row>
    <row r="88" ht="15" customHeight="1">
      <c r="A88" t="inlineStr">
        <is>
          <t>A 35318-2024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46217</v>
      </c>
      <c r="F88" t="inlineStr">
        <is>
          <t>SÖDERMANLANDS LÄN</t>
        </is>
      </c>
      <c r="G88" t="inlineStr">
        <is>
          <t>NYKÖPING</t>
        </is>
      </c>
      <c r="I88" t="n">
        <v>7.6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Gullviva</t>
        </is>
      </c>
      <c r="V88">
        <f>HYPERLINK("https://klasma.github.io/Logging_0480/artfynd/A 35318-2024 artfynd.xlsx", "A 35318-2024")</f>
        <v/>
      </c>
      <c r="W88">
        <f>HYPERLINK("https://klasma.github.io/Logging_0480/kartor/A 35318-2024 karta.png", "A 35318-2024")</f>
        <v/>
      </c>
      <c r="Y88">
        <f>HYPERLINK("https://klasma.github.io/Logging_0480/klagomål/A 35318-2024 FSC-klagomål.docx", "A 35318-2024")</f>
        <v/>
      </c>
      <c r="Z88">
        <f>HYPERLINK("https://klasma.github.io/Logging_0480/klagomålsmail/A 35318-2024 FSC-klagomål mail.docx", "A 35318-2024")</f>
        <v/>
      </c>
      <c r="AA88">
        <f>HYPERLINK("https://klasma.github.io/Logging_0480/tillsyn/A 35318-2024 tillsynsbegäran.docx", "A 35318-2024")</f>
        <v/>
      </c>
      <c r="AB88">
        <f>HYPERLINK("https://klasma.github.io/Logging_0480/tillsynsmail/A 35318-2024 tillsynsbegäran mail.docx", "A 35318-2024")</f>
        <v/>
      </c>
    </row>
    <row r="89" ht="15" customHeight="1">
      <c r="A89" t="inlineStr">
        <is>
          <t>A 50014-2025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46217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4.9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Sexfläckig bastardsvärmare</t>
        </is>
      </c>
      <c r="V89">
        <f>HYPERLINK("https://klasma.github.io/Logging_0480/artfynd/A 50014-2025 artfynd.xlsx", "A 50014-2025")</f>
        <v/>
      </c>
      <c r="W89">
        <f>HYPERLINK("https://klasma.github.io/Logging_0480/kartor/A 50014-2025 karta.png", "A 50014-2025")</f>
        <v/>
      </c>
      <c r="Y89">
        <f>HYPERLINK("https://klasma.github.io/Logging_0480/klagomål/A 50014-2025 FSC-klagomål.docx", "A 50014-2025")</f>
        <v/>
      </c>
      <c r="Z89">
        <f>HYPERLINK("https://klasma.github.io/Logging_0480/klagomålsmail/A 50014-2025 FSC-klagomål mail.docx", "A 50014-2025")</f>
        <v/>
      </c>
      <c r="AA89">
        <f>HYPERLINK("https://klasma.github.io/Logging_0480/tillsyn/A 50014-2025 tillsynsbegäran.docx", "A 50014-2025")</f>
        <v/>
      </c>
      <c r="AB89">
        <f>HYPERLINK("https://klasma.github.io/Logging_0480/tillsynsmail/A 50014-2025 tillsynsbegäran mail.docx", "A 50014-2025")</f>
        <v/>
      </c>
    </row>
    <row r="90" ht="15" customHeight="1">
      <c r="A90" t="inlineStr">
        <is>
          <t>A 50871-2025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46217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Nattskärra</t>
        </is>
      </c>
      <c r="V90">
        <f>HYPERLINK("https://klasma.github.io/Logging_0480/artfynd/A 50871-2025 artfynd.xlsx", "A 50871-2025")</f>
        <v/>
      </c>
      <c r="W90">
        <f>HYPERLINK("https://klasma.github.io/Logging_0480/kartor/A 50871-2025 karta.png", "A 50871-2025")</f>
        <v/>
      </c>
      <c r="Y90">
        <f>HYPERLINK("https://klasma.github.io/Logging_0480/klagomål/A 50871-2025 FSC-klagomål.docx", "A 50871-2025")</f>
        <v/>
      </c>
      <c r="Z90">
        <f>HYPERLINK("https://klasma.github.io/Logging_0480/klagomålsmail/A 50871-2025 FSC-klagomål mail.docx", "A 50871-2025")</f>
        <v/>
      </c>
      <c r="AA90">
        <f>HYPERLINK("https://klasma.github.io/Logging_0480/tillsyn/A 50871-2025 tillsynsbegäran.docx", "A 50871-2025")</f>
        <v/>
      </c>
      <c r="AB90">
        <f>HYPERLINK("https://klasma.github.io/Logging_0480/tillsynsmail/A 50871-2025 tillsynsbegäran mail.docx", "A 50871-2025")</f>
        <v/>
      </c>
      <c r="AC90">
        <f>HYPERLINK("https://klasma.github.io/Logging_0480/fåglar/A 50871-2025 prioriterade fågelarter.docx", "A 50871-2025")</f>
        <v/>
      </c>
    </row>
    <row r="91" ht="15" customHeight="1">
      <c r="A91" t="inlineStr">
        <is>
          <t>A 47095-2021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46217</v>
      </c>
      <c r="F91" t="inlineStr">
        <is>
          <t>SÖDERMANLANDS LÄN</t>
        </is>
      </c>
      <c r="G91" t="inlineStr">
        <is>
          <t>NYKÖPING</t>
        </is>
      </c>
      <c r="H91" t="inlineStr">
        <is>
          <t>Kommuner</t>
        </is>
      </c>
      <c r="I91" t="n">
        <v>1.4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Kricka</t>
        </is>
      </c>
      <c r="V91">
        <f>HYPERLINK("https://klasma.github.io/Logging_0480/artfynd/A 47095-2021 artfynd.xlsx", "A 47095-2021")</f>
        <v/>
      </c>
      <c r="W91">
        <f>HYPERLINK("https://klasma.github.io/Logging_0480/kartor/A 47095-2021 karta.png", "A 47095-2021")</f>
        <v/>
      </c>
      <c r="Y91">
        <f>HYPERLINK("https://klasma.github.io/Logging_0480/klagomål/A 47095-2021 FSC-klagomål.docx", "A 47095-2021")</f>
        <v/>
      </c>
      <c r="Z91">
        <f>HYPERLINK("https://klasma.github.io/Logging_0480/klagomålsmail/A 47095-2021 FSC-klagomål mail.docx", "A 47095-2021")</f>
        <v/>
      </c>
      <c r="AA91">
        <f>HYPERLINK("https://klasma.github.io/Logging_0480/tillsyn/A 47095-2021 tillsynsbegäran.docx", "A 47095-2021")</f>
        <v/>
      </c>
      <c r="AB91">
        <f>HYPERLINK("https://klasma.github.io/Logging_0480/tillsynsmail/A 47095-2021 tillsynsbegäran mail.docx", "A 47095-2021")</f>
        <v/>
      </c>
      <c r="AC91">
        <f>HYPERLINK("https://klasma.github.io/Logging_0480/fåglar/A 47095-2021 prioriterade fågelarter.docx", "A 47095-2021")</f>
        <v/>
      </c>
    </row>
    <row r="92" ht="15" customHeight="1">
      <c r="A92" t="inlineStr">
        <is>
          <t>A 52384-2025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46217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Törnskata</t>
        </is>
      </c>
      <c r="V92">
        <f>HYPERLINK("https://klasma.github.io/Logging_0480/artfynd/A 52384-2025 artfynd.xlsx", "A 52384-2025")</f>
        <v/>
      </c>
      <c r="W92">
        <f>HYPERLINK("https://klasma.github.io/Logging_0480/kartor/A 52384-2025 karta.png", "A 52384-2025")</f>
        <v/>
      </c>
      <c r="Y92">
        <f>HYPERLINK("https://klasma.github.io/Logging_0480/klagomål/A 52384-2025 FSC-klagomål.docx", "A 52384-2025")</f>
        <v/>
      </c>
      <c r="Z92">
        <f>HYPERLINK("https://klasma.github.io/Logging_0480/klagomålsmail/A 52384-2025 FSC-klagomål mail.docx", "A 52384-2025")</f>
        <v/>
      </c>
      <c r="AA92">
        <f>HYPERLINK("https://klasma.github.io/Logging_0480/tillsyn/A 52384-2025 tillsynsbegäran.docx", "A 52384-2025")</f>
        <v/>
      </c>
      <c r="AB92">
        <f>HYPERLINK("https://klasma.github.io/Logging_0480/tillsynsmail/A 52384-2025 tillsynsbegäran mail.docx", "A 52384-2025")</f>
        <v/>
      </c>
      <c r="AC92">
        <f>HYPERLINK("https://klasma.github.io/Logging_0480/fåglar/A 52384-2025 prioriterade fågelarter.docx", "A 52384-2025")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46217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Kungsfågel</t>
        </is>
      </c>
      <c r="V93">
        <f>HYPERLINK("https://klasma.github.io/Logging_0480/artfynd/A 5509-2023 artfynd.xlsx", "A 5509-2023")</f>
        <v/>
      </c>
      <c r="W93">
        <f>HYPERLINK("https://klasma.github.io/Logging_0480/kartor/A 5509-2023 karta.png", "A 5509-2023")</f>
        <v/>
      </c>
      <c r="Y93">
        <f>HYPERLINK("https://klasma.github.io/Logging_0480/klagomål/A 5509-2023 FSC-klagomål.docx", "A 5509-2023")</f>
        <v/>
      </c>
      <c r="Z93">
        <f>HYPERLINK("https://klasma.github.io/Logging_0480/klagomålsmail/A 5509-2023 FSC-klagomål mail.docx", "A 5509-2023")</f>
        <v/>
      </c>
      <c r="AA93">
        <f>HYPERLINK("https://klasma.github.io/Logging_0480/tillsyn/A 5509-2023 tillsynsbegäran.docx", "A 5509-2023")</f>
        <v/>
      </c>
      <c r="AB93">
        <f>HYPERLINK("https://klasma.github.io/Logging_0480/tillsynsmail/A 5509-2023 tillsynsbegäran mail.docx", "A 5509-2023")</f>
        <v/>
      </c>
    </row>
    <row r="94" ht="15" customHeight="1">
      <c r="A94" t="inlineStr">
        <is>
          <t>A 28542-2023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46217</v>
      </c>
      <c r="F94" t="inlineStr">
        <is>
          <t>SÖDERMANLANDS LÄN</t>
        </is>
      </c>
      <c r="G94" t="inlineStr">
        <is>
          <t>NYKÖPING</t>
        </is>
      </c>
      <c r="I94" t="n">
        <v>2.8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Knärot</t>
        </is>
      </c>
      <c r="V94">
        <f>HYPERLINK("https://klasma.github.io/Logging_0480/artfynd/A 28542-2023 artfynd.xlsx", "A 28542-2023")</f>
        <v/>
      </c>
      <c r="W94">
        <f>HYPERLINK("https://klasma.github.io/Logging_0480/kartor/A 28542-2023 karta.png", "A 28542-2023")</f>
        <v/>
      </c>
      <c r="X94">
        <f>HYPERLINK("https://klasma.github.io/Logging_0480/knärot/A 28542-2023 karta knärot.png", "A 28542-2023")</f>
        <v/>
      </c>
      <c r="Y94">
        <f>HYPERLINK("https://klasma.github.io/Logging_0480/klagomål/A 28542-2023 FSC-klagomål.docx", "A 28542-2023")</f>
        <v/>
      </c>
      <c r="Z94">
        <f>HYPERLINK("https://klasma.github.io/Logging_0480/klagomålsmail/A 28542-2023 FSC-klagomål mail.docx", "A 28542-2023")</f>
        <v/>
      </c>
      <c r="AA94">
        <f>HYPERLINK("https://klasma.github.io/Logging_0480/tillsyn/A 28542-2023 tillsynsbegäran.docx", "A 28542-2023")</f>
        <v/>
      </c>
      <c r="AB94">
        <f>HYPERLINK("https://klasma.github.io/Logging_0480/tillsynsmail/A 28542-2023 tillsynsbegäran mail.docx", "A 28542-2023")</f>
        <v/>
      </c>
    </row>
    <row r="95" ht="15" customHeight="1">
      <c r="A95" t="inlineStr">
        <is>
          <t>A 5385-2026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46050</v>
      </c>
      <c r="E95" s="1" t="n">
        <v>46217</v>
      </c>
      <c r="F95" t="inlineStr">
        <is>
          <t>SÖDERMANLANDS LÄN</t>
        </is>
      </c>
      <c r="G95" t="inlineStr">
        <is>
          <t>NYKÖPING</t>
        </is>
      </c>
      <c r="I95" t="n">
        <v>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Spillkråka</t>
        </is>
      </c>
      <c r="V95">
        <f>HYPERLINK("https://klasma.github.io/Logging_0480/artfynd/A 5385-2026 artfynd.xlsx", "A 5385-2026")</f>
        <v/>
      </c>
      <c r="W95">
        <f>HYPERLINK("https://klasma.github.io/Logging_0480/kartor/A 5385-2026 karta.png", "A 5385-2026")</f>
        <v/>
      </c>
      <c r="Y95">
        <f>HYPERLINK("https://klasma.github.io/Logging_0480/klagomål/A 5385-2026 FSC-klagomål.docx", "A 5385-2026")</f>
        <v/>
      </c>
      <c r="Z95">
        <f>HYPERLINK("https://klasma.github.io/Logging_0480/klagomålsmail/A 5385-2026 FSC-klagomål mail.docx", "A 5385-2026")</f>
        <v/>
      </c>
      <c r="AA95">
        <f>HYPERLINK("https://klasma.github.io/Logging_0480/tillsyn/A 5385-2026 tillsynsbegäran.docx", "A 5385-2026")</f>
        <v/>
      </c>
      <c r="AB95">
        <f>HYPERLINK("https://klasma.github.io/Logging_0480/tillsynsmail/A 5385-2026 tillsynsbegäran mail.docx", "A 5385-2026")</f>
        <v/>
      </c>
      <c r="AC95">
        <f>HYPERLINK("https://klasma.github.io/Logging_0480/fåglar/A 5385-2026 prioriterade fågelarter.docx", "A 5385-2026")</f>
        <v/>
      </c>
    </row>
    <row r="96" ht="15" customHeight="1">
      <c r="A96" t="inlineStr">
        <is>
          <t>A 21021-2026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46145</v>
      </c>
      <c r="E96" s="1" t="n">
        <v>46217</v>
      </c>
      <c r="F96" t="inlineStr">
        <is>
          <t>SÖDERMANLANDS LÄN</t>
        </is>
      </c>
      <c r="G96" t="inlineStr">
        <is>
          <t>NYKÖPING</t>
        </is>
      </c>
      <c r="I96" t="n">
        <v>3.4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Fläcknycklar</t>
        </is>
      </c>
      <c r="V96">
        <f>HYPERLINK("https://klasma.github.io/Logging_0480/artfynd/A 21021-2026 artfynd.xlsx", "A 21021-2026")</f>
        <v/>
      </c>
      <c r="W96">
        <f>HYPERLINK("https://klasma.github.io/Logging_0480/kartor/A 21021-2026 karta.png", "A 21021-2026")</f>
        <v/>
      </c>
      <c r="Y96">
        <f>HYPERLINK("https://klasma.github.io/Logging_0480/klagomål/A 21021-2026 FSC-klagomål.docx", "A 21021-2026")</f>
        <v/>
      </c>
      <c r="Z96">
        <f>HYPERLINK("https://klasma.github.io/Logging_0480/klagomålsmail/A 21021-2026 FSC-klagomål mail.docx", "A 21021-2026")</f>
        <v/>
      </c>
      <c r="AA96">
        <f>HYPERLINK("https://klasma.github.io/Logging_0480/tillsyn/A 21021-2026 tillsynsbegäran.docx", "A 21021-2026")</f>
        <v/>
      </c>
      <c r="AB96">
        <f>HYPERLINK("https://klasma.github.io/Logging_0480/tillsynsmail/A 21021-2026 tillsynsbegäran mail.docx", "A 21021-2026")</f>
        <v/>
      </c>
    </row>
    <row r="97" ht="15" customHeight="1">
      <c r="A97" t="inlineStr">
        <is>
          <t>A 59905-2025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45993</v>
      </c>
      <c r="E97" s="1" t="n">
        <v>46217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11.7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Kattfotslav</t>
        </is>
      </c>
      <c r="V97">
        <f>HYPERLINK("https://klasma.github.io/Logging_0480/artfynd/A 59905-2025 artfynd.xlsx", "A 59905-2025")</f>
        <v/>
      </c>
      <c r="W97">
        <f>HYPERLINK("https://klasma.github.io/Logging_0480/kartor/A 59905-2025 karta.png", "A 59905-2025")</f>
        <v/>
      </c>
      <c r="Y97">
        <f>HYPERLINK("https://klasma.github.io/Logging_0480/klagomål/A 59905-2025 FSC-klagomål.docx", "A 59905-2025")</f>
        <v/>
      </c>
      <c r="Z97">
        <f>HYPERLINK("https://klasma.github.io/Logging_0480/klagomålsmail/A 59905-2025 FSC-klagomål mail.docx", "A 59905-2025")</f>
        <v/>
      </c>
      <c r="AA97">
        <f>HYPERLINK("https://klasma.github.io/Logging_0480/tillsyn/A 59905-2025 tillsynsbegäran.docx", "A 59905-2025")</f>
        <v/>
      </c>
      <c r="AB97">
        <f>HYPERLINK("https://klasma.github.io/Logging_0480/tillsynsmail/A 59905-2025 tillsynsbegäran mail.docx", "A 59905-2025")</f>
        <v/>
      </c>
    </row>
    <row r="98" ht="15" customHeight="1">
      <c r="A98" t="inlineStr">
        <is>
          <t>A 63423-2025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46217</v>
      </c>
      <c r="F98" t="inlineStr">
        <is>
          <t>SÖDERMANLANDS LÄN</t>
        </is>
      </c>
      <c r="G98" t="inlineStr">
        <is>
          <t>NYKÖPING</t>
        </is>
      </c>
      <c r="I98" t="n">
        <v>7.4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Blåsippa</t>
        </is>
      </c>
      <c r="V98">
        <f>HYPERLINK("https://klasma.github.io/Logging_0480/artfynd/A 63423-2025 artfynd.xlsx", "A 63423-2025")</f>
        <v/>
      </c>
      <c r="W98">
        <f>HYPERLINK("https://klasma.github.io/Logging_0480/kartor/A 63423-2025 karta.png", "A 63423-2025")</f>
        <v/>
      </c>
      <c r="Y98">
        <f>HYPERLINK("https://klasma.github.io/Logging_0480/klagomål/A 63423-2025 FSC-klagomål.docx", "A 63423-2025")</f>
        <v/>
      </c>
      <c r="Z98">
        <f>HYPERLINK("https://klasma.github.io/Logging_0480/klagomålsmail/A 63423-2025 FSC-klagomål mail.docx", "A 63423-2025")</f>
        <v/>
      </c>
      <c r="AA98">
        <f>HYPERLINK("https://klasma.github.io/Logging_0480/tillsyn/A 63423-2025 tillsynsbegäran.docx", "A 63423-2025")</f>
        <v/>
      </c>
      <c r="AB98">
        <f>HYPERLINK("https://klasma.github.io/Logging_0480/tillsynsmail/A 63423-2025 tillsynsbegäran mail.docx", "A 63423-2025")</f>
        <v/>
      </c>
    </row>
    <row r="99" ht="15" customHeight="1">
      <c r="A99" t="inlineStr">
        <is>
          <t>A 22495-2026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46155</v>
      </c>
      <c r="E99" s="1" t="n">
        <v>46217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Vedticka</t>
        </is>
      </c>
      <c r="V99">
        <f>HYPERLINK("https://klasma.github.io/Logging_0480/artfynd/A 22495-2026 artfynd.xlsx", "A 22495-2026")</f>
        <v/>
      </c>
      <c r="W99">
        <f>HYPERLINK("https://klasma.github.io/Logging_0480/kartor/A 22495-2026 karta.png", "A 22495-2026")</f>
        <v/>
      </c>
      <c r="Y99">
        <f>HYPERLINK("https://klasma.github.io/Logging_0480/klagomål/A 22495-2026 FSC-klagomål.docx", "A 22495-2026")</f>
        <v/>
      </c>
      <c r="Z99">
        <f>HYPERLINK("https://klasma.github.io/Logging_0480/klagomålsmail/A 22495-2026 FSC-klagomål mail.docx", "A 22495-2026")</f>
        <v/>
      </c>
      <c r="AA99">
        <f>HYPERLINK("https://klasma.github.io/Logging_0480/tillsyn/A 22495-2026 tillsynsbegäran.docx", "A 22495-2026")</f>
        <v/>
      </c>
      <c r="AB99">
        <f>HYPERLINK("https://klasma.github.io/Logging_0480/tillsynsmail/A 22495-2026 tillsynsbegäran mail.docx", "A 22495-2026")</f>
        <v/>
      </c>
    </row>
    <row r="100" ht="15" customHeight="1">
      <c r="A100" t="inlineStr">
        <is>
          <t>A 20415-2024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46217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Kommuner</t>
        </is>
      </c>
      <c r="I100" t="n">
        <v>6.4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Gulsparv</t>
        </is>
      </c>
      <c r="V100">
        <f>HYPERLINK("https://klasma.github.io/Logging_0480/artfynd/A 20415-2024 artfynd.xlsx", "A 20415-2024")</f>
        <v/>
      </c>
      <c r="W100">
        <f>HYPERLINK("https://klasma.github.io/Logging_0480/kartor/A 20415-2024 karta.png", "A 20415-2024")</f>
        <v/>
      </c>
      <c r="Y100">
        <f>HYPERLINK("https://klasma.github.io/Logging_0480/klagomål/A 20415-2024 FSC-klagomål.docx", "A 20415-2024")</f>
        <v/>
      </c>
      <c r="Z100">
        <f>HYPERLINK("https://klasma.github.io/Logging_0480/klagomålsmail/A 20415-2024 FSC-klagomål mail.docx", "A 20415-2024")</f>
        <v/>
      </c>
      <c r="AA100">
        <f>HYPERLINK("https://klasma.github.io/Logging_0480/tillsyn/A 20415-2024 tillsynsbegäran.docx", "A 20415-2024")</f>
        <v/>
      </c>
      <c r="AB100">
        <f>HYPERLINK("https://klasma.github.io/Logging_0480/tillsynsmail/A 20415-2024 tillsynsbegäran mail.docx", "A 20415-2024")</f>
        <v/>
      </c>
      <c r="AC100">
        <f>HYPERLINK("https://klasma.github.io/Logging_0480/fåglar/A 20415-2024 prioriterade fågelarter.docx", "A 20415-2024")</f>
        <v/>
      </c>
    </row>
    <row r="101" ht="15" customHeight="1">
      <c r="A101" t="inlineStr">
        <is>
          <t>A 50554-2023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46217</v>
      </c>
      <c r="F101" t="inlineStr">
        <is>
          <t>SÖDERMANLANDS LÄN</t>
        </is>
      </c>
      <c r="G101" t="inlineStr">
        <is>
          <t>NYKÖPING</t>
        </is>
      </c>
      <c r="I101" t="n">
        <v>10.9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Grönpyrola</t>
        </is>
      </c>
      <c r="V101">
        <f>HYPERLINK("https://klasma.github.io/Logging_0480/artfynd/A 50554-2023 artfynd.xlsx", "A 50554-2023")</f>
        <v/>
      </c>
      <c r="W101">
        <f>HYPERLINK("https://klasma.github.io/Logging_0480/kartor/A 50554-2023 karta.png", "A 50554-2023")</f>
        <v/>
      </c>
      <c r="Y101">
        <f>HYPERLINK("https://klasma.github.io/Logging_0480/klagomål/A 50554-2023 FSC-klagomål.docx", "A 50554-2023")</f>
        <v/>
      </c>
      <c r="Z101">
        <f>HYPERLINK("https://klasma.github.io/Logging_0480/klagomålsmail/A 50554-2023 FSC-klagomål mail.docx", "A 50554-2023")</f>
        <v/>
      </c>
      <c r="AA101">
        <f>HYPERLINK("https://klasma.github.io/Logging_0480/tillsyn/A 50554-2023 tillsynsbegäran.docx", "A 50554-2023")</f>
        <v/>
      </c>
      <c r="AB101">
        <f>HYPERLINK("https://klasma.github.io/Logging_0480/tillsynsmail/A 50554-2023 tillsynsbegäran mail.docx", "A 50554-2023")</f>
        <v/>
      </c>
    </row>
    <row r="102" ht="15" customHeight="1">
      <c r="A102" t="inlineStr">
        <is>
          <t>A 4305-2026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46045</v>
      </c>
      <c r="E102" s="1" t="n">
        <v>46217</v>
      </c>
      <c r="F102" t="inlineStr">
        <is>
          <t>SÖDERMANLANDS LÄN</t>
        </is>
      </c>
      <c r="G102" t="inlineStr">
        <is>
          <t>NYKÖPING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Tallticka</t>
        </is>
      </c>
      <c r="V102">
        <f>HYPERLINK("https://klasma.github.io/Logging_0480/artfynd/A 4305-2026 artfynd.xlsx", "A 4305-2026")</f>
        <v/>
      </c>
      <c r="W102">
        <f>HYPERLINK("https://klasma.github.io/Logging_0480/kartor/A 4305-2026 karta.png", "A 4305-2026")</f>
        <v/>
      </c>
      <c r="Y102">
        <f>HYPERLINK("https://klasma.github.io/Logging_0480/klagomål/A 4305-2026 FSC-klagomål.docx", "A 4305-2026")</f>
        <v/>
      </c>
      <c r="Z102">
        <f>HYPERLINK("https://klasma.github.io/Logging_0480/klagomålsmail/A 4305-2026 FSC-klagomål mail.docx", "A 4305-2026")</f>
        <v/>
      </c>
      <c r="AA102">
        <f>HYPERLINK("https://klasma.github.io/Logging_0480/tillsyn/A 4305-2026 tillsynsbegäran.docx", "A 4305-2026")</f>
        <v/>
      </c>
      <c r="AB102">
        <f>HYPERLINK("https://klasma.github.io/Logging_0480/tillsynsmail/A 4305-2026 tillsynsbegäran mail.docx", "A 4305-2026")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46217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s="2" t="inlineStr">
        <is>
          <t>Hasselticka</t>
        </is>
      </c>
      <c r="V103">
        <f>HYPERLINK("https://klasma.github.io/Logging_0480/artfynd/A 2837-2025 artfynd.xlsx", "A 2837-2025")</f>
        <v/>
      </c>
      <c r="W103">
        <f>HYPERLINK("https://klasma.github.io/Logging_0480/kartor/A 2837-2025 karta.png", "A 2837-2025")</f>
        <v/>
      </c>
      <c r="Y103">
        <f>HYPERLINK("https://klasma.github.io/Logging_0480/klagomål/A 2837-2025 FSC-klagomål.docx", "A 2837-2025")</f>
        <v/>
      </c>
      <c r="Z103">
        <f>HYPERLINK("https://klasma.github.io/Logging_0480/klagomålsmail/A 2837-2025 FSC-klagomål mail.docx", "A 2837-2025")</f>
        <v/>
      </c>
      <c r="AA103">
        <f>HYPERLINK("https://klasma.github.io/Logging_0480/tillsyn/A 2837-2025 tillsynsbegäran.docx", "A 2837-2025")</f>
        <v/>
      </c>
      <c r="AB103">
        <f>HYPERLINK("https://klasma.github.io/Logging_0480/tillsynsmail/A 2837-2025 tillsynsbegäran mail.docx", "A 2837-2025")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46217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Grön sköldmossa</t>
        </is>
      </c>
      <c r="V104">
        <f>HYPERLINK("https://klasma.github.io/Logging_0480/artfynd/A 9973-2022 artfynd.xlsx", "A 9973-2022")</f>
        <v/>
      </c>
      <c r="W104">
        <f>HYPERLINK("https://klasma.github.io/Logging_0480/kartor/A 9973-2022 karta.png", "A 9973-2022")</f>
        <v/>
      </c>
      <c r="Y104">
        <f>HYPERLINK("https://klasma.github.io/Logging_0480/klagomål/A 9973-2022 FSC-klagomål.docx", "A 9973-2022")</f>
        <v/>
      </c>
      <c r="Z104">
        <f>HYPERLINK("https://klasma.github.io/Logging_0480/klagomålsmail/A 9973-2022 FSC-klagomål mail.docx", "A 9973-2022")</f>
        <v/>
      </c>
      <c r="AA104">
        <f>HYPERLINK("https://klasma.github.io/Logging_0480/tillsyn/A 9973-2022 tillsynsbegäran.docx", "A 9973-2022")</f>
        <v/>
      </c>
      <c r="AB104">
        <f>HYPERLINK("https://klasma.github.io/Logging_0480/tillsynsmail/A 9973-2022 tillsynsbegäran mail.docx", "A 9973-2022")</f>
        <v/>
      </c>
    </row>
    <row r="105" ht="15" customHeight="1">
      <c r="A105" t="inlineStr">
        <is>
          <t>A 10886-2026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46078</v>
      </c>
      <c r="E105" s="1" t="n">
        <v>46217</v>
      </c>
      <c r="F105" t="inlineStr">
        <is>
          <t>SÖDERMANLANDS LÄN</t>
        </is>
      </c>
      <c r="G105" t="inlineStr">
        <is>
          <t>NYKÖPING</t>
        </is>
      </c>
      <c r="I105" t="n">
        <v>2.5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Tibast</t>
        </is>
      </c>
      <c r="V105">
        <f>HYPERLINK("https://klasma.github.io/Logging_0480/artfynd/A 10886-2026 artfynd.xlsx", "A 10886-2026")</f>
        <v/>
      </c>
      <c r="W105">
        <f>HYPERLINK("https://klasma.github.io/Logging_0480/kartor/A 10886-2026 karta.png", "A 10886-2026")</f>
        <v/>
      </c>
      <c r="Y105">
        <f>HYPERLINK("https://klasma.github.io/Logging_0480/klagomål/A 10886-2026 FSC-klagomål.docx", "A 10886-2026")</f>
        <v/>
      </c>
      <c r="Z105">
        <f>HYPERLINK("https://klasma.github.io/Logging_0480/klagomålsmail/A 10886-2026 FSC-klagomål mail.docx", "A 10886-2026")</f>
        <v/>
      </c>
      <c r="AA105">
        <f>HYPERLINK("https://klasma.github.io/Logging_0480/tillsyn/A 10886-2026 tillsynsbegäran.docx", "A 10886-2026")</f>
        <v/>
      </c>
      <c r="AB105">
        <f>HYPERLINK("https://klasma.github.io/Logging_0480/tillsynsmail/A 10886-2026 tillsynsbegäran mail.docx", "A 10886-2026")</f>
        <v/>
      </c>
    </row>
    <row r="106" ht="15" customHeight="1">
      <c r="A106" t="inlineStr">
        <is>
          <t>A 4903-2022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46217</v>
      </c>
      <c r="F106" t="inlineStr">
        <is>
          <t>SÖDERMANLANDS LÄN</t>
        </is>
      </c>
      <c r="G106" t="inlineStr">
        <is>
          <t>NYKÖPING</t>
        </is>
      </c>
      <c r="I106" t="n">
        <v>2.7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Knärot</t>
        </is>
      </c>
      <c r="V106">
        <f>HYPERLINK("https://klasma.github.io/Logging_0480/artfynd/A 4903-2022 artfynd.xlsx", "A 4903-2022")</f>
        <v/>
      </c>
      <c r="W106">
        <f>HYPERLINK("https://klasma.github.io/Logging_0480/kartor/A 4903-2022 karta.png", "A 4903-2022")</f>
        <v/>
      </c>
      <c r="X106">
        <f>HYPERLINK("https://klasma.github.io/Logging_0480/knärot/A 4903-2022 karta knärot.png", "A 4903-2022")</f>
        <v/>
      </c>
      <c r="Y106">
        <f>HYPERLINK("https://klasma.github.io/Logging_0480/klagomål/A 4903-2022 FSC-klagomål.docx", "A 4903-2022")</f>
        <v/>
      </c>
      <c r="Z106">
        <f>HYPERLINK("https://klasma.github.io/Logging_0480/klagomålsmail/A 4903-2022 FSC-klagomål mail.docx", "A 4903-2022")</f>
        <v/>
      </c>
      <c r="AA106">
        <f>HYPERLINK("https://klasma.github.io/Logging_0480/tillsyn/A 4903-2022 tillsynsbegäran.docx", "A 4903-2022")</f>
        <v/>
      </c>
      <c r="AB106">
        <f>HYPERLINK("https://klasma.github.io/Logging_0480/tillsynsmail/A 4903-2022 tillsynsbegäran mail.docx", "A 4903-2022")</f>
        <v/>
      </c>
    </row>
    <row r="107" ht="15" customHeight="1">
      <c r="A107" t="inlineStr">
        <is>
          <t>A 52684-2021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44466</v>
      </c>
      <c r="E107" s="1" t="n">
        <v>46217</v>
      </c>
      <c r="F107" t="inlineStr">
        <is>
          <t>SÖDERMANLANDS LÄN</t>
        </is>
      </c>
      <c r="G107" t="inlineStr">
        <is>
          <t>NYKÖPING</t>
        </is>
      </c>
      <c r="I107" t="n">
        <v>1.3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Kråka</t>
        </is>
      </c>
      <c r="V107">
        <f>HYPERLINK("https://klasma.github.io/Logging_0480/artfynd/A 52684-2021 artfynd.xlsx", "A 52684-2021")</f>
        <v/>
      </c>
      <c r="W107">
        <f>HYPERLINK("https://klasma.github.io/Logging_0480/kartor/A 52684-2021 karta.png", "A 52684-2021")</f>
        <v/>
      </c>
      <c r="Y107">
        <f>HYPERLINK("https://klasma.github.io/Logging_0480/klagomål/A 52684-2021 FSC-klagomål.docx", "A 52684-2021")</f>
        <v/>
      </c>
      <c r="Z107">
        <f>HYPERLINK("https://klasma.github.io/Logging_0480/klagomålsmail/A 52684-2021 FSC-klagomål mail.docx", "A 52684-2021")</f>
        <v/>
      </c>
      <c r="AA107">
        <f>HYPERLINK("https://klasma.github.io/Logging_0480/tillsyn/A 52684-2021 tillsynsbegäran.docx", "A 52684-2021")</f>
        <v/>
      </c>
      <c r="AB107">
        <f>HYPERLINK("https://klasma.github.io/Logging_0480/tillsynsmail/A 52684-2021 tillsynsbegäran mail.docx", "A 52684-2021")</f>
        <v/>
      </c>
    </row>
    <row r="108" ht="15" customHeight="1">
      <c r="A108" t="inlineStr">
        <is>
          <t>A 65889-2021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46217</v>
      </c>
      <c r="F108" t="inlineStr">
        <is>
          <t>SÖDERMANLANDS LÄN</t>
        </is>
      </c>
      <c r="G108" t="inlineStr">
        <is>
          <t>NYKÖPING</t>
        </is>
      </c>
      <c r="I108" t="n">
        <v>4.8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Backstarr</t>
        </is>
      </c>
      <c r="V108">
        <f>HYPERLINK("https://klasma.github.io/Logging_0480/artfynd/A 65889-2021 artfynd.xlsx", "A 65889-2021")</f>
        <v/>
      </c>
      <c r="W108">
        <f>HYPERLINK("https://klasma.github.io/Logging_0480/kartor/A 65889-2021 karta.png", "A 65889-2021")</f>
        <v/>
      </c>
      <c r="Y108">
        <f>HYPERLINK("https://klasma.github.io/Logging_0480/klagomål/A 65889-2021 FSC-klagomål.docx", "A 65889-2021")</f>
        <v/>
      </c>
      <c r="Z108">
        <f>HYPERLINK("https://klasma.github.io/Logging_0480/klagomålsmail/A 65889-2021 FSC-klagomål mail.docx", "A 65889-2021")</f>
        <v/>
      </c>
      <c r="AA108">
        <f>HYPERLINK("https://klasma.github.io/Logging_0480/tillsyn/A 65889-2021 tillsynsbegäran.docx", "A 65889-2021")</f>
        <v/>
      </c>
      <c r="AB108">
        <f>HYPERLINK("https://klasma.github.io/Logging_0480/tillsynsmail/A 65889-2021 tillsynsbegäran mail.docx", "A 65889-2021")</f>
        <v/>
      </c>
    </row>
    <row r="109" ht="15" customHeight="1">
      <c r="A109" t="inlineStr">
        <is>
          <t>A 13724-2024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45390</v>
      </c>
      <c r="E109" s="1" t="n">
        <v>46217</v>
      </c>
      <c r="F109" t="inlineStr">
        <is>
          <t>SÖDERMANLANDS LÄN</t>
        </is>
      </c>
      <c r="G109" t="inlineStr">
        <is>
          <t>NYKÖPING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Dropptaggsvamp</t>
        </is>
      </c>
      <c r="V109">
        <f>HYPERLINK("https://klasma.github.io/Logging_0480/artfynd/A 13724-2024 artfynd.xlsx", "A 13724-2024")</f>
        <v/>
      </c>
      <c r="W109">
        <f>HYPERLINK("https://klasma.github.io/Logging_0480/kartor/A 13724-2024 karta.png", "A 13724-2024")</f>
        <v/>
      </c>
      <c r="Y109">
        <f>HYPERLINK("https://klasma.github.io/Logging_0480/klagomål/A 13724-2024 FSC-klagomål.docx", "A 13724-2024")</f>
        <v/>
      </c>
      <c r="Z109">
        <f>HYPERLINK("https://klasma.github.io/Logging_0480/klagomålsmail/A 13724-2024 FSC-klagomål mail.docx", "A 13724-2024")</f>
        <v/>
      </c>
      <c r="AA109">
        <f>HYPERLINK("https://klasma.github.io/Logging_0480/tillsyn/A 13724-2024 tillsynsbegäran.docx", "A 13724-2024")</f>
        <v/>
      </c>
      <c r="AB109">
        <f>HYPERLINK("https://klasma.github.io/Logging_0480/tillsynsmail/A 13724-2024 tillsynsbegäran mail.docx", "A 13724-2024")</f>
        <v/>
      </c>
    </row>
    <row r="110" ht="15" customHeight="1">
      <c r="A110" t="inlineStr">
        <is>
          <t>A 2829-2025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46217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Allmännings- och besparingsskogar</t>
        </is>
      </c>
      <c r="I110" t="n">
        <v>12.1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Nattskärra</t>
        </is>
      </c>
      <c r="V110">
        <f>HYPERLINK("https://klasma.github.io/Logging_0480/artfynd/A 2829-2025 artfynd.xlsx", "A 2829-2025")</f>
        <v/>
      </c>
      <c r="W110">
        <f>HYPERLINK("https://klasma.github.io/Logging_0480/kartor/A 2829-2025 karta.png", "A 2829-2025")</f>
        <v/>
      </c>
      <c r="Y110">
        <f>HYPERLINK("https://klasma.github.io/Logging_0480/klagomål/A 2829-2025 FSC-klagomål.docx", "A 2829-2025")</f>
        <v/>
      </c>
      <c r="Z110">
        <f>HYPERLINK("https://klasma.github.io/Logging_0480/klagomålsmail/A 2829-2025 FSC-klagomål mail.docx", "A 2829-2025")</f>
        <v/>
      </c>
      <c r="AA110">
        <f>HYPERLINK("https://klasma.github.io/Logging_0480/tillsyn/A 2829-2025 tillsynsbegäran.docx", "A 2829-2025")</f>
        <v/>
      </c>
      <c r="AB110">
        <f>HYPERLINK("https://klasma.github.io/Logging_0480/tillsynsmail/A 2829-2025 tillsynsbegäran mail.docx", "A 2829-2025")</f>
        <v/>
      </c>
      <c r="AC110">
        <f>HYPERLINK("https://klasma.github.io/Logging_0480/fåglar/A 2829-2025 prioriterade fågelarter.docx", "A 2829-2025")</f>
        <v/>
      </c>
    </row>
    <row r="111" ht="15" customHeight="1">
      <c r="A111" t="inlineStr">
        <is>
          <t>A 20425-2024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45435</v>
      </c>
      <c r="E111" s="1" t="n">
        <v>46217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Kommuner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Skogsalm</t>
        </is>
      </c>
      <c r="V111">
        <f>HYPERLINK("https://klasma.github.io/Logging_0480/artfynd/A 20425-2024 artfynd.xlsx", "A 20425-2024")</f>
        <v/>
      </c>
      <c r="W111">
        <f>HYPERLINK("https://klasma.github.io/Logging_0480/kartor/A 20425-2024 karta.png", "A 20425-2024")</f>
        <v/>
      </c>
      <c r="Y111">
        <f>HYPERLINK("https://klasma.github.io/Logging_0480/klagomål/A 20425-2024 FSC-klagomål.docx", "A 20425-2024")</f>
        <v/>
      </c>
      <c r="Z111">
        <f>HYPERLINK("https://klasma.github.io/Logging_0480/klagomålsmail/A 20425-2024 FSC-klagomål mail.docx", "A 20425-2024")</f>
        <v/>
      </c>
      <c r="AA111">
        <f>HYPERLINK("https://klasma.github.io/Logging_0480/tillsyn/A 20425-2024 tillsynsbegäran.docx", "A 20425-2024")</f>
        <v/>
      </c>
      <c r="AB111">
        <f>HYPERLINK("https://klasma.github.io/Logging_0480/tillsynsmail/A 20425-2024 tillsynsbegäran mail.docx", "A 20425-2024")</f>
        <v/>
      </c>
    </row>
    <row r="112" ht="15" customHeight="1">
      <c r="A112" t="inlineStr">
        <is>
          <t>A 20325-2023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46217</v>
      </c>
      <c r="F112" t="inlineStr">
        <is>
          <t>SÖDERMANLANDS LÄN</t>
        </is>
      </c>
      <c r="G112" t="inlineStr">
        <is>
          <t>NYKÖPING</t>
        </is>
      </c>
      <c r="I112" t="n">
        <v>0.2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Kamjordstjärna</t>
        </is>
      </c>
      <c r="V112">
        <f>HYPERLINK("https://klasma.github.io/Logging_0480/artfynd/A 20325-2023 artfynd.xlsx", "A 20325-2023")</f>
        <v/>
      </c>
      <c r="W112">
        <f>HYPERLINK("https://klasma.github.io/Logging_0480/kartor/A 20325-2023 karta.png", "A 20325-2023")</f>
        <v/>
      </c>
      <c r="Y112">
        <f>HYPERLINK("https://klasma.github.io/Logging_0480/klagomål/A 20325-2023 FSC-klagomål.docx", "A 20325-2023")</f>
        <v/>
      </c>
      <c r="Z112">
        <f>HYPERLINK("https://klasma.github.io/Logging_0480/klagomålsmail/A 20325-2023 FSC-klagomål mail.docx", "A 20325-2023")</f>
        <v/>
      </c>
      <c r="AA112">
        <f>HYPERLINK("https://klasma.github.io/Logging_0480/tillsyn/A 20325-2023 tillsynsbegäran.docx", "A 20325-2023")</f>
        <v/>
      </c>
      <c r="AB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59329-2023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45252</v>
      </c>
      <c r="E113" s="1" t="n">
        <v>46217</v>
      </c>
      <c r="F113" t="inlineStr">
        <is>
          <t>SÖDERMANLANDS LÄN</t>
        </is>
      </c>
      <c r="G113" t="inlineStr">
        <is>
          <t>NYKÖPING</t>
        </is>
      </c>
      <c r="I113" t="n">
        <v>22.1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Blåsippa</t>
        </is>
      </c>
      <c r="V113">
        <f>HYPERLINK("https://klasma.github.io/Logging_0480/artfynd/A 59329-2023 artfynd.xlsx", "A 59329-2023")</f>
        <v/>
      </c>
      <c r="W113">
        <f>HYPERLINK("https://klasma.github.io/Logging_0480/kartor/A 59329-2023 karta.png", "A 59329-2023")</f>
        <v/>
      </c>
      <c r="Y113">
        <f>HYPERLINK("https://klasma.github.io/Logging_0480/klagomål/A 59329-2023 FSC-klagomål.docx", "A 59329-2023")</f>
        <v/>
      </c>
      <c r="Z113">
        <f>HYPERLINK("https://klasma.github.io/Logging_0480/klagomålsmail/A 59329-2023 FSC-klagomål mail.docx", "A 59329-2023")</f>
        <v/>
      </c>
      <c r="AA113">
        <f>HYPERLINK("https://klasma.github.io/Logging_0480/tillsyn/A 59329-2023 tillsynsbegäran.docx", "A 59329-2023")</f>
        <v/>
      </c>
      <c r="AB113">
        <f>HYPERLINK("https://klasma.github.io/Logging_0480/tillsynsmail/A 59329-2023 tillsynsbegäran mail.docx", "A 59329-2023")</f>
        <v/>
      </c>
    </row>
    <row r="114" ht="15" customHeight="1">
      <c r="A114" t="inlineStr">
        <is>
          <t>A 1105-2023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46217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1.1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Skuggblåslav</t>
        </is>
      </c>
      <c r="V114">
        <f>HYPERLINK("https://klasma.github.io/Logging_0480/artfynd/A 1105-2023 artfynd.xlsx", "A 1105-2023")</f>
        <v/>
      </c>
      <c r="W114">
        <f>HYPERLINK("https://klasma.github.io/Logging_0480/kartor/A 1105-2023 karta.png", "A 1105-2023")</f>
        <v/>
      </c>
      <c r="Y114">
        <f>HYPERLINK("https://klasma.github.io/Logging_0480/klagomål/A 1105-2023 FSC-klagomål.docx", "A 1105-2023")</f>
        <v/>
      </c>
      <c r="Z114">
        <f>HYPERLINK("https://klasma.github.io/Logging_0480/klagomålsmail/A 1105-2023 FSC-klagomål mail.docx", "A 1105-2023")</f>
        <v/>
      </c>
      <c r="AA114">
        <f>HYPERLINK("https://klasma.github.io/Logging_0480/tillsyn/A 1105-2023 tillsynsbegäran.docx", "A 1105-2023")</f>
        <v/>
      </c>
      <c r="AB114">
        <f>HYPERLINK("https://klasma.github.io/Logging_0480/tillsynsmail/A 1105-2023 tillsynsbegäran mail.docx", "A 1105-2023")</f>
        <v/>
      </c>
    </row>
    <row r="115" ht="15" customHeight="1">
      <c r="A115" t="inlineStr">
        <is>
          <t>A 51258-2024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46217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Sveaskog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Grönpyrola</t>
        </is>
      </c>
      <c r="V115">
        <f>HYPERLINK("https://klasma.github.io/Logging_0480/artfynd/A 51258-2024 artfynd.xlsx", "A 51258-2024")</f>
        <v/>
      </c>
      <c r="W115">
        <f>HYPERLINK("https://klasma.github.io/Logging_0480/kartor/A 51258-2024 karta.png", "A 51258-2024")</f>
        <v/>
      </c>
      <c r="Y115">
        <f>HYPERLINK("https://klasma.github.io/Logging_0480/klagomål/A 51258-2024 FSC-klagomål.docx", "A 51258-2024")</f>
        <v/>
      </c>
      <c r="Z115">
        <f>HYPERLINK("https://klasma.github.io/Logging_0480/klagomålsmail/A 51258-2024 FSC-klagomål mail.docx", "A 51258-2024")</f>
        <v/>
      </c>
      <c r="AA115">
        <f>HYPERLINK("https://klasma.github.io/Logging_0480/tillsyn/A 51258-2024 tillsynsbegäran.docx", "A 51258-2024")</f>
        <v/>
      </c>
      <c r="AB115">
        <f>HYPERLINK("https://klasma.github.io/Logging_0480/tillsynsmail/A 51258-2024 tillsynsbegäran mail.docx", "A 51258-2024")</f>
        <v/>
      </c>
    </row>
    <row r="116" ht="15" customHeight="1">
      <c r="A116" t="inlineStr">
        <is>
          <t>A 56080-2024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46217</v>
      </c>
      <c r="F116" t="inlineStr">
        <is>
          <t>SÖDERMANLANDS LÄN</t>
        </is>
      </c>
      <c r="G116" t="inlineStr">
        <is>
          <t>NYKÖPING</t>
        </is>
      </c>
      <c r="I116" t="n">
        <v>5.5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Ärtsångare</t>
        </is>
      </c>
      <c r="V116">
        <f>HYPERLINK("https://klasma.github.io/Logging_0480/artfynd/A 56080-2024 artfynd.xlsx", "A 56080-2024")</f>
        <v/>
      </c>
      <c r="W116">
        <f>HYPERLINK("https://klasma.github.io/Logging_0480/kartor/A 56080-2024 karta.png", "A 56080-2024")</f>
        <v/>
      </c>
      <c r="Y116">
        <f>HYPERLINK("https://klasma.github.io/Logging_0480/klagomål/A 56080-2024 FSC-klagomål.docx", "A 56080-2024")</f>
        <v/>
      </c>
      <c r="Z116">
        <f>HYPERLINK("https://klasma.github.io/Logging_0480/klagomålsmail/A 56080-2024 FSC-klagomål mail.docx", "A 56080-2024")</f>
        <v/>
      </c>
      <c r="AA116">
        <f>HYPERLINK("https://klasma.github.io/Logging_0480/tillsyn/A 56080-2024 tillsynsbegäran.docx", "A 56080-2024")</f>
        <v/>
      </c>
      <c r="AB116">
        <f>HYPERLINK("https://klasma.github.io/Logging_0480/tillsynsmail/A 56080-2024 tillsynsbegäran mail.docx", "A 56080-2024")</f>
        <v/>
      </c>
    </row>
    <row r="117" ht="15" customHeight="1">
      <c r="A117" t="inlineStr">
        <is>
          <t>A 28704-2025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46217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Tallticka</t>
        </is>
      </c>
      <c r="V117">
        <f>HYPERLINK("https://klasma.github.io/Logging_0480/artfynd/A 28704-2025 artfynd.xlsx", "A 28704-2025")</f>
        <v/>
      </c>
      <c r="W117">
        <f>HYPERLINK("https://klasma.github.io/Logging_0480/kartor/A 28704-2025 karta.png", "A 28704-2025")</f>
        <v/>
      </c>
      <c r="Y117">
        <f>HYPERLINK("https://klasma.github.io/Logging_0480/klagomål/A 28704-2025 FSC-klagomål.docx", "A 28704-2025")</f>
        <v/>
      </c>
      <c r="Z117">
        <f>HYPERLINK("https://klasma.github.io/Logging_0480/klagomålsmail/A 28704-2025 FSC-klagomål mail.docx", "A 28704-2025")</f>
        <v/>
      </c>
      <c r="AA117">
        <f>HYPERLINK("https://klasma.github.io/Logging_0480/tillsyn/A 28704-2025 tillsynsbegäran.docx", "A 28704-2025")</f>
        <v/>
      </c>
      <c r="AB117">
        <f>HYPERLINK("https://klasma.github.io/Logging_0480/tillsynsmail/A 28704-2025 tillsynsbegäran mail.docx", "A 28704-2025")</f>
        <v/>
      </c>
    </row>
    <row r="118" ht="15" customHeight="1">
      <c r="A118" t="inlineStr">
        <is>
          <t>A 7270-2025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45702</v>
      </c>
      <c r="E118" s="1" t="n">
        <v>46217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Övriga Aktiebolag</t>
        </is>
      </c>
      <c r="I118" t="n">
        <v>1.2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Järpe</t>
        </is>
      </c>
      <c r="V118">
        <f>HYPERLINK("https://klasma.github.io/Logging_0480/artfynd/A 7270-2025 artfynd.xlsx", "A 7270-2025")</f>
        <v/>
      </c>
      <c r="W118">
        <f>HYPERLINK("https://klasma.github.io/Logging_0480/kartor/A 7270-2025 karta.png", "A 7270-2025")</f>
        <v/>
      </c>
      <c r="Y118">
        <f>HYPERLINK("https://klasma.github.io/Logging_0480/klagomål/A 7270-2025 FSC-klagomål.docx", "A 7270-2025")</f>
        <v/>
      </c>
      <c r="Z118">
        <f>HYPERLINK("https://klasma.github.io/Logging_0480/klagomålsmail/A 7270-2025 FSC-klagomål mail.docx", "A 7270-2025")</f>
        <v/>
      </c>
      <c r="AA118">
        <f>HYPERLINK("https://klasma.github.io/Logging_0480/tillsyn/A 7270-2025 tillsynsbegäran.docx", "A 7270-2025")</f>
        <v/>
      </c>
      <c r="AB118">
        <f>HYPERLINK("https://klasma.github.io/Logging_0480/tillsynsmail/A 7270-2025 tillsynsbegäran mail.docx", "A 7270-2025")</f>
        <v/>
      </c>
      <c r="AC118">
        <f>HYPERLINK("https://klasma.github.io/Logging_0480/fåglar/A 7270-2025 prioriterade fågelarter.docx", "A 7270-2025")</f>
        <v/>
      </c>
    </row>
    <row r="119" ht="15" customHeight="1">
      <c r="A119" t="inlineStr">
        <is>
          <t>S 447-2021</t>
        </is>
      </c>
      <c r="B119" t="inlineStr">
        <is>
          <t>samrådsanmälan</t>
        </is>
      </c>
      <c r="C119" t="inlineStr">
        <is>
          <t>Åtgärd i nyckelbiotop</t>
        </is>
      </c>
      <c r="D119" s="1" t="n">
        <v>44260</v>
      </c>
      <c r="E119" s="1" t="n">
        <v>46217</v>
      </c>
      <c r="F119" t="inlineStr">
        <is>
          <t>SÖDERMANLANDS LÄN</t>
        </is>
      </c>
      <c r="G119" t="inlineStr">
        <is>
          <t>NYKÖPING</t>
        </is>
      </c>
      <c r="I119" t="n">
        <v>3.4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Lunglav</t>
        </is>
      </c>
      <c r="V119">
        <f>HYPERLINK("https://klasma.github.io/Logging_0480/artfynd/S 447-2021 artfynd.xlsx", "S 447-2021")</f>
        <v/>
      </c>
      <c r="W119">
        <f>HYPERLINK("https://klasma.github.io/Logging_0480/kartor/S 447-2021 karta.png", "S 447-2021")</f>
        <v/>
      </c>
      <c r="Y119">
        <f>HYPERLINK("https://klasma.github.io/Logging_0480/klagomål/S 447-2021 FSC-klagomål.docx", "S 447-2021")</f>
        <v/>
      </c>
      <c r="Z119">
        <f>HYPERLINK("https://klasma.github.io/Logging_0480/klagomålsmail/S 447-2021 FSC-klagomål mail.docx", "S 447-2021")</f>
        <v/>
      </c>
      <c r="AA119">
        <f>HYPERLINK("https://klasma.github.io/Logging_0480/tillsyn/S 447-2021 tillsynsbegäran.docx", "S 447-2021")</f>
        <v/>
      </c>
      <c r="AB119">
        <f>HYPERLINK("https://klasma.github.io/Logging_0480/tillsynsmail/S 447-2021 tillsynsbegäran mail.docx", "S 447-2021")</f>
        <v/>
      </c>
    </row>
    <row r="120" ht="15" customHeight="1">
      <c r="A120" t="inlineStr">
        <is>
          <t>A 74404-2021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46217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51569-2022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44870</v>
      </c>
      <c r="E121" s="1" t="n">
        <v>46217</v>
      </c>
      <c r="F121" t="inlineStr">
        <is>
          <t>SÖDERMANLANDS LÄN</t>
        </is>
      </c>
      <c r="G121" t="inlineStr">
        <is>
          <t>NYKÖPING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37908-2022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46217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63017-2021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46217</v>
      </c>
      <c r="F123" t="inlineStr">
        <is>
          <t>SÖDERMANLANDS LÄN</t>
        </is>
      </c>
      <c r="G123" t="inlineStr">
        <is>
          <t>NYKÖPING</t>
        </is>
      </c>
      <c r="I123" t="n">
        <v>21.9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14828-2022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46217</v>
      </c>
      <c r="F124" t="inlineStr">
        <is>
          <t>SÖDERMANLANDS LÄN</t>
        </is>
      </c>
      <c r="G124" t="inlineStr">
        <is>
          <t>NYKÖPING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66852-2021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46217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59776-2021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46217</v>
      </c>
      <c r="F126" t="inlineStr">
        <is>
          <t>SÖDERMANLANDS LÄN</t>
        </is>
      </c>
      <c r="G126" t="inlineStr">
        <is>
          <t>NYKÖPING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64162-2021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44510</v>
      </c>
      <c r="E127" s="1" t="n">
        <v>46217</v>
      </c>
      <c r="F127" t="inlineStr">
        <is>
          <t>SÖDERMANLANDS LÄN</t>
        </is>
      </c>
      <c r="G127" t="inlineStr">
        <is>
          <t>NYKÖPING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46217</v>
      </c>
      <c r="F128" t="inlineStr">
        <is>
          <t>SÖDERMANLANDS LÄN</t>
        </is>
      </c>
      <c r="G128" t="inlineStr">
        <is>
          <t>NYKÖPING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31538-2022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44775</v>
      </c>
      <c r="E129" s="1" t="n">
        <v>46217</v>
      </c>
      <c r="F129" t="inlineStr">
        <is>
          <t>SÖDERMANLANDS LÄN</t>
        </is>
      </c>
      <c r="G129" t="inlineStr">
        <is>
          <t>NYKÖPING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13542-2022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46217</v>
      </c>
      <c r="F130" t="inlineStr">
        <is>
          <t>SÖDERMANLANDS LÄN</t>
        </is>
      </c>
      <c r="G130" t="inlineStr">
        <is>
          <t>NYKÖPING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30865-2022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46217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40025-2021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46217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31398-2022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44774</v>
      </c>
      <c r="E133" s="1" t="n">
        <v>46217</v>
      </c>
      <c r="F133" t="inlineStr">
        <is>
          <t>SÖDERMANLANDS LÄN</t>
        </is>
      </c>
      <c r="G133" t="inlineStr">
        <is>
          <t>NYKÖPING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44733</v>
      </c>
      <c r="E134" s="1" t="n">
        <v>46217</v>
      </c>
      <c r="F134" t="inlineStr">
        <is>
          <t>SÖDERMANLANDS LÄN</t>
        </is>
      </c>
      <c r="G134" t="inlineStr">
        <is>
          <t>NYKÖPING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46217</v>
      </c>
      <c r="F135" t="inlineStr">
        <is>
          <t>SÖDERMANLANDS LÄN</t>
        </is>
      </c>
      <c r="G135" t="inlineStr">
        <is>
          <t>NYKÖPING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46217</v>
      </c>
      <c r="F136" t="inlineStr">
        <is>
          <t>SÖDERMANLANDS LÄN</t>
        </is>
      </c>
      <c r="G136" t="inlineStr">
        <is>
          <t>NYKÖPING</t>
        </is>
      </c>
      <c r="I136" t="n">
        <v>14.6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46217</v>
      </c>
      <c r="F137" t="inlineStr">
        <is>
          <t>SÖDERMANLANDS LÄN</t>
        </is>
      </c>
      <c r="G137" t="inlineStr">
        <is>
          <t>NYKÖPING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15404-2022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44659</v>
      </c>
      <c r="E138" s="1" t="n">
        <v>46217</v>
      </c>
      <c r="F138" t="inlineStr">
        <is>
          <t>SÖDERMANLANDS LÄN</t>
        </is>
      </c>
      <c r="G138" t="inlineStr">
        <is>
          <t>NYKÖPING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41715-2021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44425</v>
      </c>
      <c r="E139" s="1" t="n">
        <v>46217</v>
      </c>
      <c r="F139" t="inlineStr">
        <is>
          <t>SÖDERMANLANDS LÄN</t>
        </is>
      </c>
      <c r="G139" t="inlineStr">
        <is>
          <t>NYKÖPING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46217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46217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46217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46217</v>
      </c>
      <c r="F143" t="inlineStr">
        <is>
          <t>SÖDERMANLANDS LÄN</t>
        </is>
      </c>
      <c r="G143" t="inlineStr">
        <is>
          <t>NYKÖPING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46217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46217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46217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46217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46217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46217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41721-2021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46217</v>
      </c>
      <c r="F150" t="inlineStr">
        <is>
          <t>SÖDERMANLANDS LÄN</t>
        </is>
      </c>
      <c r="G150" t="inlineStr">
        <is>
          <t>NYKÖPING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18824-2022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46217</v>
      </c>
      <c r="F151" t="inlineStr">
        <is>
          <t>SÖDERMANLANDS LÄN</t>
        </is>
      </c>
      <c r="G151" t="inlineStr">
        <is>
          <t>NYKÖPING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46217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64157-2021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46217</v>
      </c>
      <c r="F153" t="inlineStr">
        <is>
          <t>SÖDERMANLANDS LÄN</t>
        </is>
      </c>
      <c r="G153" t="inlineStr">
        <is>
          <t>NYKÖPING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44396</v>
      </c>
      <c r="E154" s="1" t="n">
        <v>46217</v>
      </c>
      <c r="F154" t="inlineStr">
        <is>
          <t>SÖDERMANLANDS LÄN</t>
        </is>
      </c>
      <c r="G154" t="inlineStr">
        <is>
          <t>NYKÖPING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8783-2022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46217</v>
      </c>
      <c r="F155" t="inlineStr">
        <is>
          <t>SÖDERMANLANDS LÄN</t>
        </is>
      </c>
      <c r="G155" t="inlineStr">
        <is>
          <t>NYKÖPING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46217</v>
      </c>
      <c r="F156" t="inlineStr">
        <is>
          <t>SÖDERMANLANDS LÄN</t>
        </is>
      </c>
      <c r="G156" t="inlineStr">
        <is>
          <t>NYKÖPING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46217</v>
      </c>
      <c r="F157" t="inlineStr">
        <is>
          <t>SÖDERMANLANDS LÄN</t>
        </is>
      </c>
      <c r="G157" t="inlineStr">
        <is>
          <t>NYKÖPING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69255-2021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46217</v>
      </c>
      <c r="F158" t="inlineStr">
        <is>
          <t>SÖDERMANLANDS LÄN</t>
        </is>
      </c>
      <c r="G158" t="inlineStr">
        <is>
          <t>NYKÖPING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59592-2021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46217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Kyrkan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16957-2022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46217</v>
      </c>
      <c r="F160" t="inlineStr">
        <is>
          <t>SÖDERMANLANDS LÄN</t>
        </is>
      </c>
      <c r="G160" t="inlineStr">
        <is>
          <t>NYKÖPING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46217</v>
      </c>
      <c r="F161" t="inlineStr">
        <is>
          <t>SÖDERMANLANDS LÄN</t>
        </is>
      </c>
      <c r="G161" t="inlineStr">
        <is>
          <t>NYKÖPING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62076-2021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46217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46217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46217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69247-2021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46217</v>
      </c>
      <c r="F165" t="inlineStr">
        <is>
          <t>SÖDERMANLANDS LÄN</t>
        </is>
      </c>
      <c r="G165" t="inlineStr">
        <is>
          <t>NYKÖPING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46217</v>
      </c>
      <c r="F166" t="inlineStr">
        <is>
          <t>SÖDERMANLANDS LÄN</t>
        </is>
      </c>
      <c r="G166" t="inlineStr">
        <is>
          <t>NYKÖPING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41723-2021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46217</v>
      </c>
      <c r="F167" t="inlineStr">
        <is>
          <t>SÖDERMANLANDS LÄN</t>
        </is>
      </c>
      <c r="G167" t="inlineStr">
        <is>
          <t>NYKÖPING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61248-2021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46217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63055-2021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46217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46217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8781-2022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46217</v>
      </c>
      <c r="F171" t="inlineStr">
        <is>
          <t>SÖDERMANLANDS LÄN</t>
        </is>
      </c>
      <c r="G171" t="inlineStr">
        <is>
          <t>NYKÖPING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39542-2021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44416</v>
      </c>
      <c r="E172" s="1" t="n">
        <v>46217</v>
      </c>
      <c r="F172" t="inlineStr">
        <is>
          <t>SÖDERMANLANDS LÄN</t>
        </is>
      </c>
      <c r="G172" t="inlineStr">
        <is>
          <t>NYKÖPING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42417-2021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44427</v>
      </c>
      <c r="E173" s="1" t="n">
        <v>46217</v>
      </c>
      <c r="F173" t="inlineStr">
        <is>
          <t>SÖDERMANLANDS LÄN</t>
        </is>
      </c>
      <c r="G173" t="inlineStr">
        <is>
          <t>NYKÖPING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49395-2021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46217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30859-2022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44767</v>
      </c>
      <c r="E175" s="1" t="n">
        <v>46217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46838-2021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44446</v>
      </c>
      <c r="E176" s="1" t="n">
        <v>46217</v>
      </c>
      <c r="F176" t="inlineStr">
        <is>
          <t>SÖDERMANLANDS LÄN</t>
        </is>
      </c>
      <c r="G176" t="inlineStr">
        <is>
          <t>NYKÖPING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15466-2022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44662</v>
      </c>
      <c r="E177" s="1" t="n">
        <v>46217</v>
      </c>
      <c r="F177" t="inlineStr">
        <is>
          <t>SÖDERMANLANDS LÄN</t>
        </is>
      </c>
      <c r="G177" t="inlineStr">
        <is>
          <t>NYKÖPING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44470</v>
      </c>
      <c r="E178" s="1" t="n">
        <v>46217</v>
      </c>
      <c r="F178" t="inlineStr">
        <is>
          <t>SÖDERMANLANDS LÄN</t>
        </is>
      </c>
      <c r="G178" t="inlineStr">
        <is>
          <t>NYKÖPING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41139-2022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46217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55288-2022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46217</v>
      </c>
      <c r="F180" t="inlineStr">
        <is>
          <t>SÖDERMANLANDS LÄN</t>
        </is>
      </c>
      <c r="G180" t="inlineStr">
        <is>
          <t>NYKÖPING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28503-2022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46217</v>
      </c>
      <c r="F181" t="inlineStr">
        <is>
          <t>SÖDERMANLANDS LÄN</t>
        </is>
      </c>
      <c r="G181" t="inlineStr">
        <is>
          <t>NYKÖPING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32841-2022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44784</v>
      </c>
      <c r="E182" s="1" t="n">
        <v>46217</v>
      </c>
      <c r="F182" t="inlineStr">
        <is>
          <t>SÖDERMANLANDS LÄN</t>
        </is>
      </c>
      <c r="G182" t="inlineStr">
        <is>
          <t>NYKÖPING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32671-2022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46217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Holmen skog AB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46217</v>
      </c>
      <c r="F184" t="inlineStr">
        <is>
          <t>SÖDERMANLANDS LÄN</t>
        </is>
      </c>
      <c r="G184" t="inlineStr">
        <is>
          <t>NYKÖPING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44733</v>
      </c>
      <c r="E185" s="1" t="n">
        <v>46217</v>
      </c>
      <c r="F185" t="inlineStr">
        <is>
          <t>SÖDERMANLANDS LÄN</t>
        </is>
      </c>
      <c r="G185" t="inlineStr">
        <is>
          <t>NYKÖPING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36634-2022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46217</v>
      </c>
      <c r="F186" t="inlineStr">
        <is>
          <t>SÖDERMANLANDS LÄN</t>
        </is>
      </c>
      <c r="G186" t="inlineStr">
        <is>
          <t>NYKÖPING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40680-2021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44420</v>
      </c>
      <c r="E187" s="1" t="n">
        <v>46217</v>
      </c>
      <c r="F187" t="inlineStr">
        <is>
          <t>SÖDERMANLANDS LÄN</t>
        </is>
      </c>
      <c r="G187" t="inlineStr">
        <is>
          <t>NYKÖPING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8778-2022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46217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25718-2022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44733</v>
      </c>
      <c r="E189" s="1" t="n">
        <v>46217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8523-2022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44613</v>
      </c>
      <c r="E190" s="1" t="n">
        <v>46217</v>
      </c>
      <c r="F190" t="inlineStr">
        <is>
          <t>SÖDERMANLANDS LÄN</t>
        </is>
      </c>
      <c r="G190" t="inlineStr">
        <is>
          <t>NYKÖPING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54029-2022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46217</v>
      </c>
      <c r="F191" t="inlineStr">
        <is>
          <t>SÖDERMANLANDS LÄN</t>
        </is>
      </c>
      <c r="G191" t="inlineStr">
        <is>
          <t>NYKÖPING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45533-2021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44440</v>
      </c>
      <c r="E192" s="1" t="n">
        <v>46217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38372-2022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46217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42092-2022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46217</v>
      </c>
      <c r="F194" t="inlineStr">
        <is>
          <t>SÖDERMANLANDS LÄN</t>
        </is>
      </c>
      <c r="G194" t="inlineStr">
        <is>
          <t>NYKÖPING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44536</v>
      </c>
      <c r="E195" s="1" t="n">
        <v>46217</v>
      </c>
      <c r="F195" t="inlineStr">
        <is>
          <t>SÖDERMANLANDS LÄN</t>
        </is>
      </c>
      <c r="G195" t="inlineStr">
        <is>
          <t>NYKÖPING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38468-2022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46217</v>
      </c>
      <c r="F196" t="inlineStr">
        <is>
          <t>SÖDERMANLANDS LÄN</t>
        </is>
      </c>
      <c r="G196" t="inlineStr">
        <is>
          <t>NYKÖPING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44679</v>
      </c>
      <c r="E197" s="1" t="n">
        <v>46217</v>
      </c>
      <c r="F197" t="inlineStr">
        <is>
          <t>SÖDERMANLANDS LÄN</t>
        </is>
      </c>
      <c r="G197" t="inlineStr">
        <is>
          <t>NYKÖPING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44582</v>
      </c>
      <c r="E198" s="1" t="n">
        <v>46217</v>
      </c>
      <c r="F198" t="inlineStr">
        <is>
          <t>SÖDERMANLANDS LÄN</t>
        </is>
      </c>
      <c r="G198" t="inlineStr">
        <is>
          <t>NYKÖPING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44853</v>
      </c>
      <c r="E199" s="1" t="n">
        <v>46217</v>
      </c>
      <c r="F199" t="inlineStr">
        <is>
          <t>SÖDERMANLANDS LÄN</t>
        </is>
      </c>
      <c r="G199" t="inlineStr">
        <is>
          <t>NYKÖPING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20775-2022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44701</v>
      </c>
      <c r="E200" s="1" t="n">
        <v>46217</v>
      </c>
      <c r="F200" t="inlineStr">
        <is>
          <t>SÖDERMANLANDS LÄN</t>
        </is>
      </c>
      <c r="G200" t="inlineStr">
        <is>
          <t>NYKÖPING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21088-2022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44704</v>
      </c>
      <c r="E201" s="1" t="n">
        <v>46217</v>
      </c>
      <c r="F201" t="inlineStr">
        <is>
          <t>SÖDERMANLANDS LÄN</t>
        </is>
      </c>
      <c r="G201" t="inlineStr">
        <is>
          <t>NYKÖPING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46217</v>
      </c>
      <c r="F202" t="inlineStr">
        <is>
          <t>SÖDERMANLANDS LÄN</t>
        </is>
      </c>
      <c r="G202" t="inlineStr">
        <is>
          <t>NYKÖPING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23922-2022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46217</v>
      </c>
      <c r="F203" t="inlineStr">
        <is>
          <t>SÖDERMANLANDS LÄN</t>
        </is>
      </c>
      <c r="G203" t="inlineStr">
        <is>
          <t>NYKÖPING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71175-2021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46217</v>
      </c>
      <c r="F204" t="inlineStr">
        <is>
          <t>SÖDERMANLANDS LÄN</t>
        </is>
      </c>
      <c r="G204" t="inlineStr">
        <is>
          <t>NYKÖPING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14384-2022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44652</v>
      </c>
      <c r="E205" s="1" t="n">
        <v>46217</v>
      </c>
      <c r="F205" t="inlineStr">
        <is>
          <t>SÖDERMANLANDS LÄN</t>
        </is>
      </c>
      <c r="G205" t="inlineStr">
        <is>
          <t>NYKÖPING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44658</v>
      </c>
      <c r="E206" s="1" t="n">
        <v>46217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Allmännings- och besparingsskogar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66860-2021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44522</v>
      </c>
      <c r="E207" s="1" t="n">
        <v>46217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66939-2021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46217</v>
      </c>
      <c r="F208" t="inlineStr">
        <is>
          <t>SÖDERMANLANDS LÄN</t>
        </is>
      </c>
      <c r="G208" t="inlineStr">
        <is>
          <t>NYKÖPING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54556-2022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46217</v>
      </c>
      <c r="F209" t="inlineStr">
        <is>
          <t>SÖDERMANLANDS LÄN</t>
        </is>
      </c>
      <c r="G209" t="inlineStr">
        <is>
          <t>NYKÖPING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46217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69598-2021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44531</v>
      </c>
      <c r="E211" s="1" t="n">
        <v>46217</v>
      </c>
      <c r="F211" t="inlineStr">
        <is>
          <t>SÖDERMANLANDS LÄN</t>
        </is>
      </c>
      <c r="G211" t="inlineStr">
        <is>
          <t>NYKÖPING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69252-2021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44530</v>
      </c>
      <c r="E212" s="1" t="n">
        <v>46217</v>
      </c>
      <c r="F212" t="inlineStr">
        <is>
          <t>SÖDERMANLANDS LÄN</t>
        </is>
      </c>
      <c r="G212" t="inlineStr">
        <is>
          <t>NYKÖPING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41737-2021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44425</v>
      </c>
      <c r="E213" s="1" t="n">
        <v>46217</v>
      </c>
      <c r="F213" t="inlineStr">
        <is>
          <t>SÖDERMANLANDS LÄN</t>
        </is>
      </c>
      <c r="G213" t="inlineStr">
        <is>
          <t>NYKÖPING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44413</v>
      </c>
      <c r="E214" s="1" t="n">
        <v>46217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45574-2021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44440</v>
      </c>
      <c r="E215" s="1" t="n">
        <v>46217</v>
      </c>
      <c r="F215" t="inlineStr">
        <is>
          <t>SÖDERMANLANDS LÄN</t>
        </is>
      </c>
      <c r="G215" t="inlineStr">
        <is>
          <t>NYKÖPING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71103-2021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46217</v>
      </c>
      <c r="F216" t="inlineStr">
        <is>
          <t>SÖDERMANLANDS LÄN</t>
        </is>
      </c>
      <c r="G216" t="inlineStr">
        <is>
          <t>NYKÖPING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23107-2022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44719</v>
      </c>
      <c r="E217" s="1" t="n">
        <v>46217</v>
      </c>
      <c r="F217" t="inlineStr">
        <is>
          <t>SÖDERMANLANDS LÄN</t>
        </is>
      </c>
      <c r="G217" t="inlineStr">
        <is>
          <t>NYKÖPING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28511-2022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44748</v>
      </c>
      <c r="E218" s="1" t="n">
        <v>46217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38459-2022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44813</v>
      </c>
      <c r="E219" s="1" t="n">
        <v>46217</v>
      </c>
      <c r="F219" t="inlineStr">
        <is>
          <t>SÖDERMANLANDS LÄN</t>
        </is>
      </c>
      <c r="G219" t="inlineStr">
        <is>
          <t>NYKÖPING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41437-2021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44424</v>
      </c>
      <c r="E220" s="1" t="n">
        <v>46217</v>
      </c>
      <c r="F220" t="inlineStr">
        <is>
          <t>SÖDERMANLANDS LÄN</t>
        </is>
      </c>
      <c r="G220" t="inlineStr">
        <is>
          <t>NYKÖPING</t>
        </is>
      </c>
      <c r="I220" t="n">
        <v>9.699999999999999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67825-2021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44525</v>
      </c>
      <c r="E221" s="1" t="n">
        <v>46217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52535-2021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44466</v>
      </c>
      <c r="E222" s="1" t="n">
        <v>46217</v>
      </c>
      <c r="F222" t="inlineStr">
        <is>
          <t>SÖDERMANLANDS LÄN</t>
        </is>
      </c>
      <c r="G222" t="inlineStr">
        <is>
          <t>NYKÖPING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21815-2022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46217</v>
      </c>
      <c r="F223" t="inlineStr">
        <is>
          <t>SÖDERMANLANDS LÄN</t>
        </is>
      </c>
      <c r="G223" t="inlineStr">
        <is>
          <t>NYKÖPING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21818-2022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44709</v>
      </c>
      <c r="E224" s="1" t="n">
        <v>46217</v>
      </c>
      <c r="F224" t="inlineStr">
        <is>
          <t>SÖDERMANLANDS LÄN</t>
        </is>
      </c>
      <c r="G224" t="inlineStr">
        <is>
          <t>NYKÖPING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71107-2021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44537</v>
      </c>
      <c r="E225" s="1" t="n">
        <v>46217</v>
      </c>
      <c r="F225" t="inlineStr">
        <is>
          <t>SÖDERMANLANDS LÄN</t>
        </is>
      </c>
      <c r="G225" t="inlineStr">
        <is>
          <t>NYKÖPING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25130-2022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44729</v>
      </c>
      <c r="E226" s="1" t="n">
        <v>46217</v>
      </c>
      <c r="F226" t="inlineStr">
        <is>
          <t>SÖDERMANLANDS LÄN</t>
        </is>
      </c>
      <c r="G226" t="inlineStr">
        <is>
          <t>NYKÖPING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22393-2022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46217</v>
      </c>
      <c r="F227" t="inlineStr">
        <is>
          <t>SÖDERMANLANDS LÄN</t>
        </is>
      </c>
      <c r="G227" t="inlineStr">
        <is>
          <t>NYKÖPING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55272-2021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44475</v>
      </c>
      <c r="E228" s="1" t="n">
        <v>46217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10873-2022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44627</v>
      </c>
      <c r="E229" s="1" t="n">
        <v>46217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Övriga Aktiebolag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46828-2021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44446</v>
      </c>
      <c r="E230" s="1" t="n">
        <v>46217</v>
      </c>
      <c r="F230" t="inlineStr">
        <is>
          <t>SÖDERMANLANDS LÄN</t>
        </is>
      </c>
      <c r="G230" t="inlineStr">
        <is>
          <t>NYKÖPING</t>
        </is>
      </c>
      <c r="I230" t="n">
        <v>30.2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63006-2021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44505</v>
      </c>
      <c r="E231" s="1" t="n">
        <v>46217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32836-2022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44784</v>
      </c>
      <c r="E232" s="1" t="n">
        <v>46217</v>
      </c>
      <c r="F232" t="inlineStr">
        <is>
          <t>SÖDERMANLANDS LÄN</t>
        </is>
      </c>
      <c r="G232" t="inlineStr">
        <is>
          <t>NYKÖPING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32721-2022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44783</v>
      </c>
      <c r="E233" s="1" t="n">
        <v>46217</v>
      </c>
      <c r="F233" t="inlineStr">
        <is>
          <t>SÖDERMANLANDS LÄN</t>
        </is>
      </c>
      <c r="G233" t="inlineStr">
        <is>
          <t>NYKÖPING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50158-2022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46217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46217</v>
      </c>
      <c r="F235" t="inlineStr">
        <is>
          <t>SÖDERMANLANDS LÄN</t>
        </is>
      </c>
      <c r="G235" t="inlineStr">
        <is>
          <t>NYKÖPING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7008-2024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45343</v>
      </c>
      <c r="E236" s="1" t="n">
        <v>46217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49223-2022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46217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Övriga statliga verk och myndigheter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44881</v>
      </c>
      <c r="E238" s="1" t="n">
        <v>46217</v>
      </c>
      <c r="F238" t="inlineStr">
        <is>
          <t>SÖDERMANLANDS LÄN</t>
        </is>
      </c>
      <c r="G238" t="inlineStr">
        <is>
          <t>NYKÖPING</t>
        </is>
      </c>
      <c r="I238" t="n">
        <v>16.2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12226-2024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45378</v>
      </c>
      <c r="E239" s="1" t="n">
        <v>46217</v>
      </c>
      <c r="F239" t="inlineStr">
        <is>
          <t>SÖDERMANLANDS LÄN</t>
        </is>
      </c>
      <c r="G239" t="inlineStr">
        <is>
          <t>NYKÖPING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10287-2024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46217</v>
      </c>
      <c r="F240" t="inlineStr">
        <is>
          <t>SÖDERMANLANDS LÄN</t>
        </is>
      </c>
      <c r="G240" t="inlineStr">
        <is>
          <t>NYKÖPING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41137-2022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46217</v>
      </c>
      <c r="F241" t="inlineStr">
        <is>
          <t>SÖDERMANLANDS LÄN</t>
        </is>
      </c>
      <c r="G241" t="inlineStr">
        <is>
          <t>NYKÖPING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42249-2022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44830</v>
      </c>
      <c r="E242" s="1" t="n">
        <v>46217</v>
      </c>
      <c r="F242" t="inlineStr">
        <is>
          <t>SÖDERMANLANDS LÄN</t>
        </is>
      </c>
      <c r="G242" t="inlineStr">
        <is>
          <t>NYKÖPING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21480-2024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45441</v>
      </c>
      <c r="E243" s="1" t="n">
        <v>46217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14930-2024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45398</v>
      </c>
      <c r="E244" s="1" t="n">
        <v>46217</v>
      </c>
      <c r="F244" t="inlineStr">
        <is>
          <t>SÖDERMANLANDS LÄN</t>
        </is>
      </c>
      <c r="G244" t="inlineStr">
        <is>
          <t>NYKÖPING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39368-2021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44414</v>
      </c>
      <c r="E245" s="1" t="n">
        <v>46217</v>
      </c>
      <c r="F245" t="inlineStr">
        <is>
          <t>SÖDERMANLANDS LÄN</t>
        </is>
      </c>
      <c r="G245" t="inlineStr">
        <is>
          <t>NYKÖPING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52373-2023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45224</v>
      </c>
      <c r="E246" s="1" t="n">
        <v>46217</v>
      </c>
      <c r="F246" t="inlineStr">
        <is>
          <t>SÖDERMANLANDS LÄN</t>
        </is>
      </c>
      <c r="G246" t="inlineStr">
        <is>
          <t>NYKÖPING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52374-2023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45224</v>
      </c>
      <c r="E247" s="1" t="n">
        <v>46217</v>
      </c>
      <c r="F247" t="inlineStr">
        <is>
          <t>SÖDERMANLANDS LÄN</t>
        </is>
      </c>
      <c r="G247" t="inlineStr">
        <is>
          <t>NYKÖPING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45930-2022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46217</v>
      </c>
      <c r="F248" t="inlineStr">
        <is>
          <t>SÖDERMANLANDS LÄN</t>
        </is>
      </c>
      <c r="G248" t="inlineStr">
        <is>
          <t>NYKÖPING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35178-2023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46217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65172-2023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45288</v>
      </c>
      <c r="E250" s="1" t="n">
        <v>46217</v>
      </c>
      <c r="F250" t="inlineStr">
        <is>
          <t>SÖDERMANLANDS LÄN</t>
        </is>
      </c>
      <c r="G250" t="inlineStr">
        <is>
          <t>NYKÖPING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45856-2021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44433</v>
      </c>
      <c r="E251" s="1" t="n">
        <v>46217</v>
      </c>
      <c r="F251" t="inlineStr">
        <is>
          <t>SÖDERMANLANDS LÄN</t>
        </is>
      </c>
      <c r="G251" t="inlineStr">
        <is>
          <t>NYKÖPING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39120-2022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44817</v>
      </c>
      <c r="E252" s="1" t="n">
        <v>46217</v>
      </c>
      <c r="F252" t="inlineStr">
        <is>
          <t>SÖDERMANLANDS LÄN</t>
        </is>
      </c>
      <c r="G252" t="inlineStr">
        <is>
          <t>NYKÖPING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42971-2021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44430</v>
      </c>
      <c r="E253" s="1" t="n">
        <v>46217</v>
      </c>
      <c r="F253" t="inlineStr">
        <is>
          <t>SÖDERMANLANDS LÄN</t>
        </is>
      </c>
      <c r="G253" t="inlineStr">
        <is>
          <t>NYKÖPING</t>
        </is>
      </c>
      <c r="I253" t="n">
        <v>9.4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65923-2021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44517</v>
      </c>
      <c r="E254" s="1" t="n">
        <v>46217</v>
      </c>
      <c r="F254" t="inlineStr">
        <is>
          <t>SÖDERMANLANDS LÄN</t>
        </is>
      </c>
      <c r="G254" t="inlineStr">
        <is>
          <t>NYKÖPING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13955-2023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45008</v>
      </c>
      <c r="E255" s="1" t="n">
        <v>46217</v>
      </c>
      <c r="F255" t="inlineStr">
        <is>
          <t>SÖDERMANLANDS LÄN</t>
        </is>
      </c>
      <c r="G255" t="inlineStr">
        <is>
          <t>NYKÖPING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10283-2024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46217</v>
      </c>
      <c r="F256" t="inlineStr">
        <is>
          <t>SÖDERMANLANDS LÄN</t>
        </is>
      </c>
      <c r="G256" t="inlineStr">
        <is>
          <t>NYKÖPING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46217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43653-2022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44837</v>
      </c>
      <c r="E258" s="1" t="n">
        <v>46217</v>
      </c>
      <c r="F258" t="inlineStr">
        <is>
          <t>SÖDERMANLANDS LÄN</t>
        </is>
      </c>
      <c r="G258" t="inlineStr">
        <is>
          <t>NYKÖPING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48709-2022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46217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9386-2024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45359</v>
      </c>
      <c r="E260" s="1" t="n">
        <v>46217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38155-2022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44812</v>
      </c>
      <c r="E261" s="1" t="n">
        <v>46217</v>
      </c>
      <c r="F261" t="inlineStr">
        <is>
          <t>SÖDERMANLANDS LÄN</t>
        </is>
      </c>
      <c r="G261" t="inlineStr">
        <is>
          <t>NYKÖPING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41646-2021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44425</v>
      </c>
      <c r="E262" s="1" t="n">
        <v>46217</v>
      </c>
      <c r="F262" t="inlineStr">
        <is>
          <t>SÖDERMANLANDS LÄN</t>
        </is>
      </c>
      <c r="G262" t="inlineStr">
        <is>
          <t>NYKÖPING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43585-2022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44837</v>
      </c>
      <c r="E263" s="1" t="n">
        <v>46217</v>
      </c>
      <c r="F263" t="inlineStr">
        <is>
          <t>SÖDERMANLANDS LÄN</t>
        </is>
      </c>
      <c r="G263" t="inlineStr">
        <is>
          <t>NYKÖPING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46217</v>
      </c>
      <c r="F264" t="inlineStr">
        <is>
          <t>SÖDERMANLANDS LÄN</t>
        </is>
      </c>
      <c r="G264" t="inlineStr">
        <is>
          <t>NYKÖPING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56928-2023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45244</v>
      </c>
      <c r="E265" s="1" t="n">
        <v>46217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Övriga Aktiebolag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33271-2024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45518</v>
      </c>
      <c r="E266" s="1" t="n">
        <v>46217</v>
      </c>
      <c r="F266" t="inlineStr">
        <is>
          <t>SÖDERMANLANDS LÄN</t>
        </is>
      </c>
      <c r="G266" t="inlineStr">
        <is>
          <t>NYKÖPING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48819-2021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44452</v>
      </c>
      <c r="E267" s="1" t="n">
        <v>46217</v>
      </c>
      <c r="F267" t="inlineStr">
        <is>
          <t>SÖDERMANLANDS LÄN</t>
        </is>
      </c>
      <c r="G267" t="inlineStr">
        <is>
          <t>NYKÖPING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55983-2021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44477</v>
      </c>
      <c r="E268" s="1" t="n">
        <v>46217</v>
      </c>
      <c r="F268" t="inlineStr">
        <is>
          <t>SÖDERMANLANDS LÄN</t>
        </is>
      </c>
      <c r="G268" t="inlineStr">
        <is>
          <t>NYKÖPING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44938</v>
      </c>
      <c r="E269" s="1" t="n">
        <v>46217</v>
      </c>
      <c r="F269" t="inlineStr">
        <is>
          <t>SÖDERMANLANDS LÄN</t>
        </is>
      </c>
      <c r="G269" t="inlineStr">
        <is>
          <t>NYKÖPING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59733-2021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44494</v>
      </c>
      <c r="E270" s="1" t="n">
        <v>46217</v>
      </c>
      <c r="F270" t="inlineStr">
        <is>
          <t>SÖDERMANLANDS LÄN</t>
        </is>
      </c>
      <c r="G270" t="inlineStr">
        <is>
          <t>NYKÖPING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51216-2024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46217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Sveaskog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44936</v>
      </c>
      <c r="E272" s="1" t="n">
        <v>46217</v>
      </c>
      <c r="F272" t="inlineStr">
        <is>
          <t>SÖDERMANLANDS LÄN</t>
        </is>
      </c>
      <c r="G272" t="inlineStr">
        <is>
          <t>NYKÖPING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68401-2021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46217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Övriga Aktiebolag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51244-2024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45603</v>
      </c>
      <c r="E274" s="1" t="n">
        <v>46217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70749-2021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44536</v>
      </c>
      <c r="E275" s="1" t="n">
        <v>46217</v>
      </c>
      <c r="F275" t="inlineStr">
        <is>
          <t>SÖDERMANLANDS LÄN</t>
        </is>
      </c>
      <c r="G275" t="inlineStr">
        <is>
          <t>NYKÖPING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38735-2023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46217</v>
      </c>
      <c r="F276" t="inlineStr">
        <is>
          <t>SÖDERMANLANDS LÄN</t>
        </is>
      </c>
      <c r="G276" t="inlineStr">
        <is>
          <t>NYKÖPING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8751-2023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46217</v>
      </c>
      <c r="F277" t="inlineStr">
        <is>
          <t>SÖDERMANLANDS LÄN</t>
        </is>
      </c>
      <c r="G277" t="inlineStr">
        <is>
          <t>NYKÖPING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11638-2024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45373</v>
      </c>
      <c r="E278" s="1" t="n">
        <v>46217</v>
      </c>
      <c r="F278" t="inlineStr">
        <is>
          <t>SÖDERMANLANDS LÄN</t>
        </is>
      </c>
      <c r="G278" t="inlineStr">
        <is>
          <t>NYKÖPING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61007-2021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44497</v>
      </c>
      <c r="E279" s="1" t="n">
        <v>46217</v>
      </c>
      <c r="F279" t="inlineStr">
        <is>
          <t>SÖDERMANLANDS LÄN</t>
        </is>
      </c>
      <c r="G279" t="inlineStr">
        <is>
          <t>NYKÖPING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45329</v>
      </c>
      <c r="E280" s="1" t="n">
        <v>46217</v>
      </c>
      <c r="F280" t="inlineStr">
        <is>
          <t>SÖDERMANLANDS LÄN</t>
        </is>
      </c>
      <c r="G280" t="inlineStr">
        <is>
          <t>NYKÖPING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8388-2024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45352</v>
      </c>
      <c r="E281" s="1" t="n">
        <v>46217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8392-2024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45352</v>
      </c>
      <c r="E282" s="1" t="n">
        <v>46217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Kommuner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68041-2021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44525</v>
      </c>
      <c r="E283" s="1" t="n">
        <v>46217</v>
      </c>
      <c r="F283" t="inlineStr">
        <is>
          <t>SÖDERMANLANDS LÄN</t>
        </is>
      </c>
      <c r="G283" t="inlineStr">
        <is>
          <t>NYKÖPING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56268-2022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44890</v>
      </c>
      <c r="E284" s="1" t="n">
        <v>46217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Övriga Aktiebolag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11718-2023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44992</v>
      </c>
      <c r="E285" s="1" t="n">
        <v>46217</v>
      </c>
      <c r="F285" t="inlineStr">
        <is>
          <t>SÖDERMANLANDS LÄN</t>
        </is>
      </c>
      <c r="G285" t="inlineStr">
        <is>
          <t>NYKÖPING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43359-2021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46217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36573-2024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46217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Kommuner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14257-2024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46217</v>
      </c>
      <c r="F288" t="inlineStr">
        <is>
          <t>SÖDERMANLANDS LÄN</t>
        </is>
      </c>
      <c r="G288" t="inlineStr">
        <is>
          <t>NYKÖPING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18941-2023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45044</v>
      </c>
      <c r="E289" s="1" t="n">
        <v>46217</v>
      </c>
      <c r="F289" t="inlineStr">
        <is>
          <t>SÖDERMANLANDS LÄN</t>
        </is>
      </c>
      <c r="G289" t="inlineStr">
        <is>
          <t>NYKÖPING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68024-2021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44525</v>
      </c>
      <c r="E290" s="1" t="n">
        <v>46217</v>
      </c>
      <c r="F290" t="inlineStr">
        <is>
          <t>SÖDERMANLANDS LÄN</t>
        </is>
      </c>
      <c r="G290" t="inlineStr">
        <is>
          <t>NYKÖPING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68030-2021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44525</v>
      </c>
      <c r="E291" s="1" t="n">
        <v>46217</v>
      </c>
      <c r="F291" t="inlineStr">
        <is>
          <t>SÖDERMANLANDS LÄN</t>
        </is>
      </c>
      <c r="G291" t="inlineStr">
        <is>
          <t>NYKÖPING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20327-2023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45056</v>
      </c>
      <c r="E292" s="1" t="n">
        <v>46217</v>
      </c>
      <c r="F292" t="inlineStr">
        <is>
          <t>SÖDERMANLANDS LÄN</t>
        </is>
      </c>
      <c r="G292" t="inlineStr">
        <is>
          <t>NYKÖPING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1820-2023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44938</v>
      </c>
      <c r="E293" s="1" t="n">
        <v>46217</v>
      </c>
      <c r="F293" t="inlineStr">
        <is>
          <t>SÖDERMANLANDS LÄN</t>
        </is>
      </c>
      <c r="G293" t="inlineStr">
        <is>
          <t>NYKÖPING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30860-2023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46217</v>
      </c>
      <c r="F294" t="inlineStr">
        <is>
          <t>SÖDERMANLANDS LÄN</t>
        </is>
      </c>
      <c r="G294" t="inlineStr">
        <is>
          <t>NYKÖPING</t>
        </is>
      </c>
      <c r="I294" t="n">
        <v>11.5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51558-2024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46217</v>
      </c>
      <c r="F295" t="inlineStr">
        <is>
          <t>SÖDERMANLANDS LÄN</t>
        </is>
      </c>
      <c r="G295" t="inlineStr">
        <is>
          <t>NYKÖPING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13296-2023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45005</v>
      </c>
      <c r="E296" s="1" t="n">
        <v>46217</v>
      </c>
      <c r="F296" t="inlineStr">
        <is>
          <t>SÖDERMANLANDS LÄN</t>
        </is>
      </c>
      <c r="G296" t="inlineStr">
        <is>
          <t>NYKÖPING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38394-2024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46217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9842-2022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44620</v>
      </c>
      <c r="E298" s="1" t="n">
        <v>46217</v>
      </c>
      <c r="F298" t="inlineStr">
        <is>
          <t>SÖDERMANLANDS LÄN</t>
        </is>
      </c>
      <c r="G298" t="inlineStr">
        <is>
          <t>NYKÖPING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59159-2022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46217</v>
      </c>
      <c r="F299" t="inlineStr">
        <is>
          <t>SÖDERMANLANDS LÄN</t>
        </is>
      </c>
      <c r="G299" t="inlineStr">
        <is>
          <t>NYKÖPING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71115-2021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46217</v>
      </c>
      <c r="F300" t="inlineStr">
        <is>
          <t>SÖDERMANLANDS LÄN</t>
        </is>
      </c>
      <c r="G300" t="inlineStr">
        <is>
          <t>NYKÖPING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46217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10955-2024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45370</v>
      </c>
      <c r="E302" s="1" t="n">
        <v>46217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Kommuner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44957</v>
      </c>
      <c r="E303" s="1" t="n">
        <v>46217</v>
      </c>
      <c r="F303" t="inlineStr">
        <is>
          <t>SÖDERMANLANDS LÄN</t>
        </is>
      </c>
      <c r="G303" t="inlineStr">
        <is>
          <t>NYKÖPING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60634-2022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44911</v>
      </c>
      <c r="E304" s="1" t="n">
        <v>46217</v>
      </c>
      <c r="F304" t="inlineStr">
        <is>
          <t>SÖDERMANLANDS LÄN</t>
        </is>
      </c>
      <c r="G304" t="inlineStr">
        <is>
          <t>NYKÖPING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44936</v>
      </c>
      <c r="E305" s="1" t="n">
        <v>46217</v>
      </c>
      <c r="F305" t="inlineStr">
        <is>
          <t>SÖDERMANLANDS LÄN</t>
        </is>
      </c>
      <c r="G305" t="inlineStr">
        <is>
          <t>NYKÖPING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55312-2021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44475</v>
      </c>
      <c r="E306" s="1" t="n">
        <v>46217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Sveaskog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32837-2022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44784</v>
      </c>
      <c r="E307" s="1" t="n">
        <v>46217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Kommuner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11753-2023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44992</v>
      </c>
      <c r="E308" s="1" t="n">
        <v>46217</v>
      </c>
      <c r="F308" t="inlineStr">
        <is>
          <t>SÖDERMANLANDS LÄN</t>
        </is>
      </c>
      <c r="G308" t="inlineStr">
        <is>
          <t>NYKÖPING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52546-2023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45218</v>
      </c>
      <c r="E309" s="1" t="n">
        <v>46217</v>
      </c>
      <c r="F309" t="inlineStr">
        <is>
          <t>SÖDERMANLANDS LÄN</t>
        </is>
      </c>
      <c r="G309" t="inlineStr">
        <is>
          <t>NYKÖPING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22972-2023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45072</v>
      </c>
      <c r="E310" s="1" t="n">
        <v>46217</v>
      </c>
      <c r="F310" t="inlineStr">
        <is>
          <t>SÖDERMANLANDS LÄN</t>
        </is>
      </c>
      <c r="G310" t="inlineStr">
        <is>
          <t>NYKÖPING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19763-2023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45051</v>
      </c>
      <c r="E311" s="1" t="n">
        <v>46217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2668-2023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44944</v>
      </c>
      <c r="E312" s="1" t="n">
        <v>46217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51243-2024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46217</v>
      </c>
      <c r="F313" t="inlineStr">
        <is>
          <t>SÖDERMANLANDS LÄN</t>
        </is>
      </c>
      <c r="G313" t="inlineStr">
        <is>
          <t>NYKÖPING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58857-2021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44489</v>
      </c>
      <c r="E314" s="1" t="n">
        <v>46217</v>
      </c>
      <c r="F314" t="inlineStr">
        <is>
          <t>SÖDERMANLANDS LÄN</t>
        </is>
      </c>
      <c r="G314" t="inlineStr">
        <is>
          <t>NYKÖPING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38922-2024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45547</v>
      </c>
      <c r="E315" s="1" t="n">
        <v>46217</v>
      </c>
      <c r="F315" t="inlineStr">
        <is>
          <t>SÖDERMANLANDS LÄN</t>
        </is>
      </c>
      <c r="G315" t="inlineStr">
        <is>
          <t>NYKÖPING</t>
        </is>
      </c>
      <c r="I315" t="n">
        <v>10.3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11363-2023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44990</v>
      </c>
      <c r="E316" s="1" t="n">
        <v>46217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Allmännings- och besparingsskogar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8688-2025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45712</v>
      </c>
      <c r="E317" s="1" t="n">
        <v>46217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32928-2022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44784</v>
      </c>
      <c r="E318" s="1" t="n">
        <v>46217</v>
      </c>
      <c r="F318" t="inlineStr">
        <is>
          <t>SÖDERMANLANDS LÄN</t>
        </is>
      </c>
      <c r="G318" t="inlineStr">
        <is>
          <t>NYKÖPING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7074-2024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45343</v>
      </c>
      <c r="E319" s="1" t="n">
        <v>46217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Kommuner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16072-2023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45027</v>
      </c>
      <c r="E320" s="1" t="n">
        <v>46217</v>
      </c>
      <c r="F320" t="inlineStr">
        <is>
          <t>SÖDERMANLANDS LÄN</t>
        </is>
      </c>
      <c r="G320" t="inlineStr">
        <is>
          <t>NYKÖPING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58654-2025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46217</v>
      </c>
      <c r="F321" t="inlineStr">
        <is>
          <t>SÖDERMANLANDS LÄN</t>
        </is>
      </c>
      <c r="G321" t="inlineStr">
        <is>
          <t>NYKÖPING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27975-2022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44744</v>
      </c>
      <c r="E322" s="1" t="n">
        <v>46217</v>
      </c>
      <c r="F322" t="inlineStr">
        <is>
          <t>SÖDERMANLANDS LÄN</t>
        </is>
      </c>
      <c r="G322" t="inlineStr">
        <is>
          <t>NYKÖPING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28644-2025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46217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6491-2023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46217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Övriga Aktiebolag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56491-2022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44893</v>
      </c>
      <c r="E325" s="1" t="n">
        <v>46217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Övriga Aktiebolag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7303-2025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45702</v>
      </c>
      <c r="E326" s="1" t="n">
        <v>46217</v>
      </c>
      <c r="F326" t="inlineStr">
        <is>
          <t>SÖDERMANLANDS LÄN</t>
        </is>
      </c>
      <c r="G326" t="inlineStr">
        <is>
          <t>NYKÖPING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30859-2023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45110</v>
      </c>
      <c r="E327" s="1" t="n">
        <v>46217</v>
      </c>
      <c r="F327" t="inlineStr">
        <is>
          <t>SÖDERMANLANDS LÄN</t>
        </is>
      </c>
      <c r="G327" t="inlineStr">
        <is>
          <t>NYKÖPING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10276-2024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45365</v>
      </c>
      <c r="E328" s="1" t="n">
        <v>46217</v>
      </c>
      <c r="F328" t="inlineStr">
        <is>
          <t>SÖDERMANLANDS LÄN</t>
        </is>
      </c>
      <c r="G328" t="inlineStr">
        <is>
          <t>NYKÖPING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38317-2022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44812</v>
      </c>
      <c r="E329" s="1" t="n">
        <v>46217</v>
      </c>
      <c r="F329" t="inlineStr">
        <is>
          <t>SÖDERMANLANDS LÄN</t>
        </is>
      </c>
      <c r="G329" t="inlineStr">
        <is>
          <t>NYKÖPING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60104-2023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45258</v>
      </c>
      <c r="E330" s="1" t="n">
        <v>46217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Övriga Aktiebolag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51689-2021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44462</v>
      </c>
      <c r="E331" s="1" t="n">
        <v>46217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Sveaskog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68401-2021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44529</v>
      </c>
      <c r="E332" s="1" t="n">
        <v>46217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Övriga Aktiebolag</t>
        </is>
      </c>
      <c r="I332" t="n">
        <v>16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56228-2024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45624</v>
      </c>
      <c r="E333" s="1" t="n">
        <v>46217</v>
      </c>
      <c r="F333" t="inlineStr">
        <is>
          <t>SÖDERMANLANDS LÄN</t>
        </is>
      </c>
      <c r="G333" t="inlineStr">
        <is>
          <t>NYKÖPING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41165-2024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45559</v>
      </c>
      <c r="E334" s="1" t="n">
        <v>46217</v>
      </c>
      <c r="F334" t="inlineStr">
        <is>
          <t>SÖDERMANLANDS LÄN</t>
        </is>
      </c>
      <c r="G334" t="inlineStr">
        <is>
          <t>NYKÖPING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19807-2026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46135</v>
      </c>
      <c r="E335" s="1" t="n">
        <v>46217</v>
      </c>
      <c r="F335" t="inlineStr">
        <is>
          <t>SÖDERMANLANDS LÄN</t>
        </is>
      </c>
      <c r="G335" t="inlineStr">
        <is>
          <t>NYKÖPING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54065-2025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45964</v>
      </c>
      <c r="E336" s="1" t="n">
        <v>46217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5107-2023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44958</v>
      </c>
      <c r="E337" s="1" t="n">
        <v>46217</v>
      </c>
      <c r="F337" t="inlineStr">
        <is>
          <t>SÖDERMANLANDS LÄN</t>
        </is>
      </c>
      <c r="G337" t="inlineStr">
        <is>
          <t>NYKÖPING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44960</v>
      </c>
      <c r="E338" s="1" t="n">
        <v>46217</v>
      </c>
      <c r="F338" t="inlineStr">
        <is>
          <t>SÖDERMANLANDS LÄN</t>
        </is>
      </c>
      <c r="G338" t="inlineStr">
        <is>
          <t>NYKÖPING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49494-2021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44454</v>
      </c>
      <c r="E339" s="1" t="n">
        <v>46217</v>
      </c>
      <c r="F339" t="inlineStr">
        <is>
          <t>SÖDERMANLANDS LÄN</t>
        </is>
      </c>
      <c r="G339" t="inlineStr">
        <is>
          <t>NYKÖPING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46217</v>
      </c>
      <c r="F340" t="inlineStr">
        <is>
          <t>SÖDERMANLANDS LÄN</t>
        </is>
      </c>
      <c r="G340" t="inlineStr">
        <is>
          <t>NYKÖPING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6392-2023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44965</v>
      </c>
      <c r="E341" s="1" t="n">
        <v>46217</v>
      </c>
      <c r="F341" t="inlineStr">
        <is>
          <t>SÖDERMANLANDS LÄN</t>
        </is>
      </c>
      <c r="G341" t="inlineStr">
        <is>
          <t>NYKÖPING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35361-2025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45854</v>
      </c>
      <c r="E342" s="1" t="n">
        <v>46217</v>
      </c>
      <c r="F342" t="inlineStr">
        <is>
          <t>SÖDERMANLANDS LÄN</t>
        </is>
      </c>
      <c r="G342" t="inlineStr">
        <is>
          <t>NYKÖPING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39068-2025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46217</v>
      </c>
      <c r="F343" t="inlineStr">
        <is>
          <t>SÖDERMANLANDS LÄN</t>
        </is>
      </c>
      <c r="G343" t="inlineStr">
        <is>
          <t>NYKÖPING</t>
        </is>
      </c>
      <c r="I343" t="n">
        <v>15.2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17691-2023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45037</v>
      </c>
      <c r="E344" s="1" t="n">
        <v>46217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6519-2023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44965</v>
      </c>
      <c r="E345" s="1" t="n">
        <v>46217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Kyrkan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10687-2023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44988</v>
      </c>
      <c r="E346" s="1" t="n">
        <v>46217</v>
      </c>
      <c r="F346" t="inlineStr">
        <is>
          <t>SÖDERMANLANDS LÄN</t>
        </is>
      </c>
      <c r="G346" t="inlineStr">
        <is>
          <t>NYKÖPING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17315-2024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45414</v>
      </c>
      <c r="E347" s="1" t="n">
        <v>46217</v>
      </c>
      <c r="F347" t="inlineStr">
        <is>
          <t>SÖDERMANLANDS LÄN</t>
        </is>
      </c>
      <c r="G347" t="inlineStr">
        <is>
          <t>NYKÖPING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41132-2024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45559</v>
      </c>
      <c r="E348" s="1" t="n">
        <v>46217</v>
      </c>
      <c r="F348" t="inlineStr">
        <is>
          <t>SÖDERMANLANDS LÄN</t>
        </is>
      </c>
      <c r="G348" t="inlineStr">
        <is>
          <t>NYKÖPING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18827-2022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44690</v>
      </c>
      <c r="E349" s="1" t="n">
        <v>46217</v>
      </c>
      <c r="F349" t="inlineStr">
        <is>
          <t>SÖDERMANLANDS LÄN</t>
        </is>
      </c>
      <c r="G349" t="inlineStr">
        <is>
          <t>NYKÖPING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35019-2023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45143</v>
      </c>
      <c r="E350" s="1" t="n">
        <v>46217</v>
      </c>
      <c r="F350" t="inlineStr">
        <is>
          <t>SÖDERMANLANDS LÄN</t>
        </is>
      </c>
      <c r="G350" t="inlineStr">
        <is>
          <t>NYKÖPING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47390-2025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45930</v>
      </c>
      <c r="E351" s="1" t="n">
        <v>46217</v>
      </c>
      <c r="F351" t="inlineStr">
        <is>
          <t>SÖDERMANLANDS LÄN</t>
        </is>
      </c>
      <c r="G351" t="inlineStr">
        <is>
          <t>NYKÖPING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45856-2021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44433</v>
      </c>
      <c r="E352" s="1" t="n">
        <v>46217</v>
      </c>
      <c r="F352" t="inlineStr">
        <is>
          <t>SÖDERMANLANDS LÄN</t>
        </is>
      </c>
      <c r="G352" t="inlineStr">
        <is>
          <t>NYKÖPING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45685</v>
      </c>
      <c r="E353" s="1" t="n">
        <v>46217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28664-2025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46217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Sveaskog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29846-2025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46217</v>
      </c>
      <c r="F355" t="inlineStr">
        <is>
          <t>SÖDERMANLANDS LÄN</t>
        </is>
      </c>
      <c r="G355" t="inlineStr">
        <is>
          <t>NYKÖPING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41748-2021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46217</v>
      </c>
      <c r="F356" t="inlineStr">
        <is>
          <t>SÖDERMANLANDS LÄN</t>
        </is>
      </c>
      <c r="G356" t="inlineStr">
        <is>
          <t>NYKÖPING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30639-2023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46217</v>
      </c>
      <c r="F357" t="inlineStr">
        <is>
          <t>SÖDERMANLANDS LÄN</t>
        </is>
      </c>
      <c r="G357" t="inlineStr">
        <is>
          <t>NYKÖPING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12149-2023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44998</v>
      </c>
      <c r="E358" s="1" t="n">
        <v>46217</v>
      </c>
      <c r="F358" t="inlineStr">
        <is>
          <t>SÖDERMANLANDS LÄN</t>
        </is>
      </c>
      <c r="G358" t="inlineStr">
        <is>
          <t>NYKÖPING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17234-2022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44678</v>
      </c>
      <c r="E359" s="1" t="n">
        <v>46217</v>
      </c>
      <c r="F359" t="inlineStr">
        <is>
          <t>SÖDERMANLANDS LÄN</t>
        </is>
      </c>
      <c r="G359" t="inlineStr">
        <is>
          <t>NYKÖPING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42749-2025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45908</v>
      </c>
      <c r="E360" s="1" t="n">
        <v>46217</v>
      </c>
      <c r="F360" t="inlineStr">
        <is>
          <t>SÖDERMANLANDS LÄN</t>
        </is>
      </c>
      <c r="G360" t="inlineStr">
        <is>
          <t>NYKÖPING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16981-2023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45033</v>
      </c>
      <c r="E361" s="1" t="n">
        <v>46217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16.5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13027-2024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45385</v>
      </c>
      <c r="E362" s="1" t="n">
        <v>46217</v>
      </c>
      <c r="F362" t="inlineStr">
        <is>
          <t>SÖDERMANLANDS LÄN</t>
        </is>
      </c>
      <c r="G362" t="inlineStr">
        <is>
          <t>NYKÖPING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7807-2025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46217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Kyrkan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59613-2021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44491</v>
      </c>
      <c r="E364" s="1" t="n">
        <v>46217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Övriga Aktiebolag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50698-2024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45602</v>
      </c>
      <c r="E365" s="1" t="n">
        <v>46217</v>
      </c>
      <c r="F365" t="inlineStr">
        <is>
          <t>SÖDERMANLANDS LÄN</t>
        </is>
      </c>
      <c r="G365" t="inlineStr">
        <is>
          <t>NYKÖPING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21142-2023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45062</v>
      </c>
      <c r="E366" s="1" t="n">
        <v>46217</v>
      </c>
      <c r="F366" t="inlineStr">
        <is>
          <t>SÖDERMANLANDS LÄN</t>
        </is>
      </c>
      <c r="G366" t="inlineStr">
        <is>
          <t>NYKÖPING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20179-2026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46139</v>
      </c>
      <c r="E367" s="1" t="n">
        <v>46217</v>
      </c>
      <c r="F367" t="inlineStr">
        <is>
          <t>SÖDERMANLANDS LÄN</t>
        </is>
      </c>
      <c r="G367" t="inlineStr">
        <is>
          <t>NYKÖPING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21987-2024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46217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25796-2022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44733</v>
      </c>
      <c r="E369" s="1" t="n">
        <v>46217</v>
      </c>
      <c r="F369" t="inlineStr">
        <is>
          <t>SÖDERMANLANDS LÄN</t>
        </is>
      </c>
      <c r="G369" t="inlineStr">
        <is>
          <t>NYKÖPING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49291-2023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45210</v>
      </c>
      <c r="E370" s="1" t="n">
        <v>46217</v>
      </c>
      <c r="F370" t="inlineStr">
        <is>
          <t>SÖDERMANLANDS LÄN</t>
        </is>
      </c>
      <c r="G370" t="inlineStr">
        <is>
          <t>NYKÖPING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44236-2025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46217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45123-2025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45919</v>
      </c>
      <c r="E372" s="1" t="n">
        <v>46217</v>
      </c>
      <c r="F372" t="inlineStr">
        <is>
          <t>SÖDERMANLANDS LÄN</t>
        </is>
      </c>
      <c r="G372" t="inlineStr">
        <is>
          <t>NYKÖPING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35463-2025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45855</v>
      </c>
      <c r="E373" s="1" t="n">
        <v>46217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24631-2022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44727</v>
      </c>
      <c r="E374" s="1" t="n">
        <v>46217</v>
      </c>
      <c r="F374" t="inlineStr">
        <is>
          <t>SÖDERMANLANDS LÄN</t>
        </is>
      </c>
      <c r="G374" t="inlineStr">
        <is>
          <t>NYKÖPING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18551-2024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45425</v>
      </c>
      <c r="E375" s="1" t="n">
        <v>46217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Kommuner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11554-2025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46217</v>
      </c>
      <c r="F376" t="inlineStr">
        <is>
          <t>SÖDERMANLANDS LÄN</t>
        </is>
      </c>
      <c r="G376" t="inlineStr">
        <is>
          <t>NYKÖPING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26993-2022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44740</v>
      </c>
      <c r="E377" s="1" t="n">
        <v>46217</v>
      </c>
      <c r="F377" t="inlineStr">
        <is>
          <t>SÖDERMANLANDS LÄN</t>
        </is>
      </c>
      <c r="G377" t="inlineStr">
        <is>
          <t>NYKÖPING</t>
        </is>
      </c>
      <c r="I377" t="n">
        <v>13.1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35419-2025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45855</v>
      </c>
      <c r="E378" s="1" t="n">
        <v>46217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21917-2022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46217</v>
      </c>
      <c r="F379" t="inlineStr">
        <is>
          <t>SÖDERMANLANDS LÄN</t>
        </is>
      </c>
      <c r="G379" t="inlineStr">
        <is>
          <t>NYKÖPING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35415-2025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45855</v>
      </c>
      <c r="E380" s="1" t="n">
        <v>46217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8415-2023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44977</v>
      </c>
      <c r="E381" s="1" t="n">
        <v>46217</v>
      </c>
      <c r="F381" t="inlineStr">
        <is>
          <t>SÖDERMANLANDS LÄN</t>
        </is>
      </c>
      <c r="G381" t="inlineStr">
        <is>
          <t>NYKÖPING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16906-2022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44676</v>
      </c>
      <c r="E382" s="1" t="n">
        <v>46217</v>
      </c>
      <c r="F382" t="inlineStr">
        <is>
          <t>SÖDERMANLANDS LÄN</t>
        </is>
      </c>
      <c r="G382" t="inlineStr">
        <is>
          <t>NYKÖPING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24891-2023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45085</v>
      </c>
      <c r="E383" s="1" t="n">
        <v>46217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3187-2022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44582</v>
      </c>
      <c r="E384" s="1" t="n">
        <v>46217</v>
      </c>
      <c r="F384" t="inlineStr">
        <is>
          <t>SÖDERMANLANDS LÄN</t>
        </is>
      </c>
      <c r="G384" t="inlineStr">
        <is>
          <t>NYKÖPING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52068-2023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45216</v>
      </c>
      <c r="E385" s="1" t="n">
        <v>46217</v>
      </c>
      <c r="F385" t="inlineStr">
        <is>
          <t>SÖDERMANLANDS LÄN</t>
        </is>
      </c>
      <c r="G385" t="inlineStr">
        <is>
          <t>NYKÖPING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38149-2024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45545</v>
      </c>
      <c r="E386" s="1" t="n">
        <v>46217</v>
      </c>
      <c r="F386" t="inlineStr">
        <is>
          <t>SÖDERMANLANDS LÄN</t>
        </is>
      </c>
      <c r="G386" t="inlineStr">
        <is>
          <t>NYKÖPING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35467-2025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45855</v>
      </c>
      <c r="E387" s="1" t="n">
        <v>46217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48484-2022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44858</v>
      </c>
      <c r="E388" s="1" t="n">
        <v>46217</v>
      </c>
      <c r="F388" t="inlineStr">
        <is>
          <t>SÖDERMANLANDS LÄN</t>
        </is>
      </c>
      <c r="G388" t="inlineStr">
        <is>
          <t>NYKÖPING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35455-2025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45855</v>
      </c>
      <c r="E389" s="1" t="n">
        <v>46217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38029-2021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44404</v>
      </c>
      <c r="E390" s="1" t="n">
        <v>46217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30198-2022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44757</v>
      </c>
      <c r="E391" s="1" t="n">
        <v>46217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52258-2023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45224</v>
      </c>
      <c r="E392" s="1" t="n">
        <v>46217</v>
      </c>
      <c r="F392" t="inlineStr">
        <is>
          <t>SÖDERMANLANDS LÄN</t>
        </is>
      </c>
      <c r="G392" t="inlineStr">
        <is>
          <t>NYKÖPING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41719-2021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44425</v>
      </c>
      <c r="E393" s="1" t="n">
        <v>46217</v>
      </c>
      <c r="F393" t="inlineStr">
        <is>
          <t>SÖDERMANLANDS LÄN</t>
        </is>
      </c>
      <c r="G393" t="inlineStr">
        <is>
          <t>NYKÖPING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12135-2025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45729</v>
      </c>
      <c r="E394" s="1" t="n">
        <v>46217</v>
      </c>
      <c r="F394" t="inlineStr">
        <is>
          <t>SÖDERMANLANDS LÄN</t>
        </is>
      </c>
      <c r="G394" t="inlineStr">
        <is>
          <t>NYKÖPING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44473-2021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44435</v>
      </c>
      <c r="E395" s="1" t="n">
        <v>46217</v>
      </c>
      <c r="F395" t="inlineStr">
        <is>
          <t>SÖDERMANLANDS LÄN</t>
        </is>
      </c>
      <c r="G395" t="inlineStr">
        <is>
          <t>NYKÖPING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50340-2025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46217</v>
      </c>
      <c r="F396" t="inlineStr">
        <is>
          <t>SÖDERMANLANDS LÄN</t>
        </is>
      </c>
      <c r="G396" t="inlineStr">
        <is>
          <t>NYKÖPING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1915-2022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44575</v>
      </c>
      <c r="E397" s="1" t="n">
        <v>46217</v>
      </c>
      <c r="F397" t="inlineStr">
        <is>
          <t>SÖDERMANLANDS LÄN</t>
        </is>
      </c>
      <c r="G397" t="inlineStr">
        <is>
          <t>NYKÖPING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49613-2025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46217</v>
      </c>
      <c r="F398" t="inlineStr">
        <is>
          <t>SÖDERMANLANDS LÄN</t>
        </is>
      </c>
      <c r="G398" t="inlineStr">
        <is>
          <t>NYKÖPING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12144-2025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45729</v>
      </c>
      <c r="E399" s="1" t="n">
        <v>46217</v>
      </c>
      <c r="F399" t="inlineStr">
        <is>
          <t>SÖDERMANLANDS LÄN</t>
        </is>
      </c>
      <c r="G399" t="inlineStr">
        <is>
          <t>NYKÖPING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49289-2023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45210</v>
      </c>
      <c r="E400" s="1" t="n">
        <v>46217</v>
      </c>
      <c r="F400" t="inlineStr">
        <is>
          <t>SÖDERMANLANDS LÄN</t>
        </is>
      </c>
      <c r="G400" t="inlineStr">
        <is>
          <t>NYKÖPING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50688-2025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46217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Kyrkan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50691-2025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46217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Kyrkan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18204-2025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45761</v>
      </c>
      <c r="E403" s="1" t="n">
        <v>46217</v>
      </c>
      <c r="F403" t="inlineStr">
        <is>
          <t>SÖDERMANLANDS LÄN</t>
        </is>
      </c>
      <c r="G403" t="inlineStr">
        <is>
          <t>NYKÖPING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50874-2025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46217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30855-2023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46217</v>
      </c>
      <c r="F405" t="inlineStr">
        <is>
          <t>SÖDERMANLANDS LÄN</t>
        </is>
      </c>
      <c r="G405" t="inlineStr">
        <is>
          <t>NYKÖPING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47260-2023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46217</v>
      </c>
      <c r="F406" t="inlineStr">
        <is>
          <t>SÖDERMANLANDS LÄN</t>
        </is>
      </c>
      <c r="G406" t="inlineStr">
        <is>
          <t>NYKÖPING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45672</v>
      </c>
      <c r="E407" s="1" t="n">
        <v>46217</v>
      </c>
      <c r="F407" t="inlineStr">
        <is>
          <t>SÖDERMANLANDS LÄN</t>
        </is>
      </c>
      <c r="G407" t="inlineStr">
        <is>
          <t>NYKÖPING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50156-2021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44456</v>
      </c>
      <c r="E408" s="1" t="n">
        <v>46217</v>
      </c>
      <c r="F408" t="inlineStr">
        <is>
          <t>SÖDERMANLANDS LÄN</t>
        </is>
      </c>
      <c r="G408" t="inlineStr">
        <is>
          <t>NYKÖPING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41735-2021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44425</v>
      </c>
      <c r="E409" s="1" t="n">
        <v>46217</v>
      </c>
      <c r="F409" t="inlineStr">
        <is>
          <t>SÖDERMANLANDS LÄN</t>
        </is>
      </c>
      <c r="G409" t="inlineStr">
        <is>
          <t>NYKÖPING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26224-2026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46217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Sveaskog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1020-2026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46217</v>
      </c>
      <c r="F411" t="inlineStr">
        <is>
          <t>SÖDERMANLANDS LÄN</t>
        </is>
      </c>
      <c r="G411" t="inlineStr">
        <is>
          <t>NYKÖPING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43306-2023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45183</v>
      </c>
      <c r="E412" s="1" t="n">
        <v>46217</v>
      </c>
      <c r="F412" t="inlineStr">
        <is>
          <t>SÖDERMANLANDS LÄN</t>
        </is>
      </c>
      <c r="G412" t="inlineStr">
        <is>
          <t>NYKÖPING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22176-2023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45069</v>
      </c>
      <c r="E413" s="1" t="n">
        <v>46217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41353-2025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45900</v>
      </c>
      <c r="E414" s="1" t="n">
        <v>46217</v>
      </c>
      <c r="F414" t="inlineStr">
        <is>
          <t>SÖDERMANLANDS LÄN</t>
        </is>
      </c>
      <c r="G414" t="inlineStr">
        <is>
          <t>NYKÖPING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52572-2025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45954</v>
      </c>
      <c r="E415" s="1" t="n">
        <v>46217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60210-2022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44910</v>
      </c>
      <c r="E416" s="1" t="n">
        <v>46217</v>
      </c>
      <c r="F416" t="inlineStr">
        <is>
          <t>SÖDERMANLANDS LÄN</t>
        </is>
      </c>
      <c r="G416" t="inlineStr">
        <is>
          <t>NYKÖPING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12812-2025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45733</v>
      </c>
      <c r="E417" s="1" t="n">
        <v>46217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52585-2025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45954</v>
      </c>
      <c r="E418" s="1" t="n">
        <v>46217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28705-2025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45820</v>
      </c>
      <c r="E419" s="1" t="n">
        <v>46217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24504-2025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45798</v>
      </c>
      <c r="E420" s="1" t="n">
        <v>46217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41099-2022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44825</v>
      </c>
      <c r="E421" s="1" t="n">
        <v>46217</v>
      </c>
      <c r="F421" t="inlineStr">
        <is>
          <t>SÖDERMANLANDS LÄN</t>
        </is>
      </c>
      <c r="G421" t="inlineStr">
        <is>
          <t>NYKÖPING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44943</v>
      </c>
      <c r="E422" s="1" t="n">
        <v>46217</v>
      </c>
      <c r="F422" t="inlineStr">
        <is>
          <t>SÖDERMANLANDS LÄN</t>
        </is>
      </c>
      <c r="G422" t="inlineStr">
        <is>
          <t>NYKÖPING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2544-2023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44943</v>
      </c>
      <c r="E423" s="1" t="n">
        <v>46217</v>
      </c>
      <c r="F423" t="inlineStr">
        <is>
          <t>SÖDERMANLANDS LÄN</t>
        </is>
      </c>
      <c r="G423" t="inlineStr">
        <is>
          <t>NYKÖPING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20497-2026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46217</v>
      </c>
      <c r="F424" t="inlineStr">
        <is>
          <t>SÖDERMANLANDS LÄN</t>
        </is>
      </c>
      <c r="G424" t="inlineStr">
        <is>
          <t>NYKÖPING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23327-2023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45076</v>
      </c>
      <c r="E425" s="1" t="n">
        <v>46217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Övriga Aktiebolag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53335-2023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45229</v>
      </c>
      <c r="E426" s="1" t="n">
        <v>46217</v>
      </c>
      <c r="F426" t="inlineStr">
        <is>
          <t>SÖDERMANLANDS LÄN</t>
        </is>
      </c>
      <c r="G426" t="inlineStr">
        <is>
          <t>NYKÖPING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52045-2021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46217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52055-2021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44462</v>
      </c>
      <c r="E428" s="1" t="n">
        <v>46217</v>
      </c>
      <c r="F428" t="inlineStr">
        <is>
          <t>SÖDERMANLANDS LÄN</t>
        </is>
      </c>
      <c r="G428" t="inlineStr">
        <is>
          <t>NYKÖPING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55311-2025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45970</v>
      </c>
      <c r="E429" s="1" t="n">
        <v>46217</v>
      </c>
      <c r="F429" t="inlineStr">
        <is>
          <t>SÖDERMANLANDS LÄN</t>
        </is>
      </c>
      <c r="G429" t="inlineStr">
        <is>
          <t>NYKÖPING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56128-2025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46217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51725-2021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44462</v>
      </c>
      <c r="E431" s="1" t="n">
        <v>46217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56342-2025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46217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26685-2026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46217</v>
      </c>
      <c r="F433" t="inlineStr">
        <is>
          <t>SÖDERMANLANDS LÄN</t>
        </is>
      </c>
      <c r="G433" t="inlineStr">
        <is>
          <t>NYKÖPING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7131-2026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46217</v>
      </c>
      <c r="F434" t="inlineStr">
        <is>
          <t>SÖDERMANLANDS LÄN</t>
        </is>
      </c>
      <c r="G434" t="inlineStr">
        <is>
          <t>NYKÖPING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57324-2025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45980</v>
      </c>
      <c r="E435" s="1" t="n">
        <v>46217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45686</v>
      </c>
      <c r="E436" s="1" t="n">
        <v>46217</v>
      </c>
      <c r="F436" t="inlineStr">
        <is>
          <t>SÖDERMANLANDS LÄN</t>
        </is>
      </c>
      <c r="G436" t="inlineStr">
        <is>
          <t>NYKÖPING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57074-2025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46217</v>
      </c>
      <c r="F437" t="inlineStr">
        <is>
          <t>SÖDERMANLANDS LÄN</t>
        </is>
      </c>
      <c r="G437" t="inlineStr">
        <is>
          <t>NYKÖPING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20798-2023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45058</v>
      </c>
      <c r="E438" s="1" t="n">
        <v>46217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12887-2025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45733</v>
      </c>
      <c r="E439" s="1" t="n">
        <v>46217</v>
      </c>
      <c r="F439" t="inlineStr">
        <is>
          <t>SÖDERMANLANDS LÄN</t>
        </is>
      </c>
      <c r="G439" t="inlineStr">
        <is>
          <t>NYKÖPING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57937-2025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45982</v>
      </c>
      <c r="E440" s="1" t="n">
        <v>46217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26686-2026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46217</v>
      </c>
      <c r="F441" t="inlineStr">
        <is>
          <t>SÖDERMANLANDS LÄN</t>
        </is>
      </c>
      <c r="G441" t="inlineStr">
        <is>
          <t>NYKÖPING</t>
        </is>
      </c>
      <c r="I441" t="n">
        <v>7.9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26687-2026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46217</v>
      </c>
      <c r="F442" t="inlineStr">
        <is>
          <t>SÖDERMANLANDS LÄN</t>
        </is>
      </c>
      <c r="G442" t="inlineStr">
        <is>
          <t>NYKÖPING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41222-2023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46217</v>
      </c>
      <c r="F443" t="inlineStr">
        <is>
          <t>SÖDERMANLANDS LÄN</t>
        </is>
      </c>
      <c r="G443" t="inlineStr">
        <is>
          <t>NYKÖPING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21129-2024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45440</v>
      </c>
      <c r="E444" s="1" t="n">
        <v>46217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Kommuner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26643-2026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46217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26503-2026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46217</v>
      </c>
      <c r="F446" t="inlineStr">
        <is>
          <t>SÖDERMANLANDS LÄN</t>
        </is>
      </c>
      <c r="G446" t="inlineStr">
        <is>
          <t>NYKÖPING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38607-2023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45162</v>
      </c>
      <c r="E447" s="1" t="n">
        <v>46217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Kommuner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26839-2026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46185</v>
      </c>
      <c r="E448" s="1" t="n">
        <v>46217</v>
      </c>
      <c r="F448" t="inlineStr">
        <is>
          <t>SÖDERMANLANDS LÄN</t>
        </is>
      </c>
      <c r="G448" t="inlineStr">
        <is>
          <t>NYKÖPING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26841-2026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46217</v>
      </c>
      <c r="F449" t="inlineStr">
        <is>
          <t>SÖDERMANLANDS LÄN</t>
        </is>
      </c>
      <c r="G449" t="inlineStr">
        <is>
          <t>NYKÖPING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21022-2026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46145</v>
      </c>
      <c r="E450" s="1" t="n">
        <v>46217</v>
      </c>
      <c r="F450" t="inlineStr">
        <is>
          <t>SÖDERMANLANDS LÄN</t>
        </is>
      </c>
      <c r="G450" t="inlineStr">
        <is>
          <t>NYKÖPING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21020-2026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46145</v>
      </c>
      <c r="E451" s="1" t="n">
        <v>46217</v>
      </c>
      <c r="F451" t="inlineStr">
        <is>
          <t>SÖDERMANLANDS LÄN</t>
        </is>
      </c>
      <c r="G451" t="inlineStr">
        <is>
          <t>NYKÖPING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26848-2026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46185</v>
      </c>
      <c r="E452" s="1" t="n">
        <v>46217</v>
      </c>
      <c r="F452" t="inlineStr">
        <is>
          <t>SÖDERMANLANDS LÄN</t>
        </is>
      </c>
      <c r="G452" t="inlineStr">
        <is>
          <t>NYKÖPING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58786-2025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46217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Sveaskog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58788-2025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46217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Sveaskog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58281-2022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44901</v>
      </c>
      <c r="E455" s="1" t="n">
        <v>46217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8710-2024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45356</v>
      </c>
      <c r="E456" s="1" t="n">
        <v>46217</v>
      </c>
      <c r="F456" t="inlineStr">
        <is>
          <t>SÖDERMANLANDS LÄN</t>
        </is>
      </c>
      <c r="G456" t="inlineStr">
        <is>
          <t>NYKÖPING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45307</v>
      </c>
      <c r="E457" s="1" t="n">
        <v>46217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Kommuner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21672-2026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46149</v>
      </c>
      <c r="E458" s="1" t="n">
        <v>46217</v>
      </c>
      <c r="F458" t="inlineStr">
        <is>
          <t>SÖDERMANLANDS LÄN</t>
        </is>
      </c>
      <c r="G458" t="inlineStr">
        <is>
          <t>NYKÖPING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21676-2026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46149</v>
      </c>
      <c r="E459" s="1" t="n">
        <v>46217</v>
      </c>
      <c r="F459" t="inlineStr">
        <is>
          <t>SÖDERMANLANDS LÄN</t>
        </is>
      </c>
      <c r="G459" t="inlineStr">
        <is>
          <t>NYKÖPING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9074-2026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46217</v>
      </c>
      <c r="F460" t="inlineStr">
        <is>
          <t>SÖDERMANLANDS LÄN</t>
        </is>
      </c>
      <c r="G460" t="inlineStr">
        <is>
          <t>NYKÖPING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31868-2023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45107</v>
      </c>
      <c r="E461" s="1" t="n">
        <v>46217</v>
      </c>
      <c r="F461" t="inlineStr">
        <is>
          <t>SÖDERMANLANDS LÄN</t>
        </is>
      </c>
      <c r="G461" t="inlineStr">
        <is>
          <t>NYKÖPING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12529-2024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45379</v>
      </c>
      <c r="E462" s="1" t="n">
        <v>46217</v>
      </c>
      <c r="F462" t="inlineStr">
        <is>
          <t>SÖDERMANLANDS LÄN</t>
        </is>
      </c>
      <c r="G462" t="inlineStr">
        <is>
          <t>NYKÖPING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46217</v>
      </c>
      <c r="F463" t="inlineStr">
        <is>
          <t>SÖDERMANLANDS LÄN</t>
        </is>
      </c>
      <c r="G463" t="inlineStr">
        <is>
          <t>NYKÖPING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17247-2025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45756</v>
      </c>
      <c r="E464" s="1" t="n">
        <v>46217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24447-2023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45082</v>
      </c>
      <c r="E465" s="1" t="n">
        <v>46217</v>
      </c>
      <c r="F465" t="inlineStr">
        <is>
          <t>SÖDERMANLANDS LÄN</t>
        </is>
      </c>
      <c r="G465" t="inlineStr">
        <is>
          <t>NYKÖPING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18123-2023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45040</v>
      </c>
      <c r="E466" s="1" t="n">
        <v>46217</v>
      </c>
      <c r="F466" t="inlineStr">
        <is>
          <t>SÖDERMANLANDS LÄN</t>
        </is>
      </c>
      <c r="G466" t="inlineStr">
        <is>
          <t>NYKÖPING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59906-2025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46217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8299-2024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45350</v>
      </c>
      <c r="E468" s="1" t="n">
        <v>46217</v>
      </c>
      <c r="F468" t="inlineStr">
        <is>
          <t>SÖDERMANLANDS LÄN</t>
        </is>
      </c>
      <c r="G468" t="inlineStr">
        <is>
          <t>NYKÖPING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59995-2025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46217</v>
      </c>
      <c r="F469" t="inlineStr">
        <is>
          <t>SÖDERMANLANDS LÄN</t>
        </is>
      </c>
      <c r="G469" t="inlineStr">
        <is>
          <t>NYKÖPING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59991-2025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45993</v>
      </c>
      <c r="E470" s="1" t="n">
        <v>46217</v>
      </c>
      <c r="F470" t="inlineStr">
        <is>
          <t>SÖDERMANLANDS LÄN</t>
        </is>
      </c>
      <c r="G470" t="inlineStr">
        <is>
          <t>NYKÖPING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59992-2025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46217</v>
      </c>
      <c r="F471" t="inlineStr">
        <is>
          <t>SÖDERMANLANDS LÄN</t>
        </is>
      </c>
      <c r="G471" t="inlineStr">
        <is>
          <t>NYKÖPING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59998-2025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46217</v>
      </c>
      <c r="F472" t="inlineStr">
        <is>
          <t>SÖDERMANLANDS LÄN</t>
        </is>
      </c>
      <c r="G472" t="inlineStr">
        <is>
          <t>NYKÖPING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69244-2021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44530</v>
      </c>
      <c r="E473" s="1" t="n">
        <v>46217</v>
      </c>
      <c r="F473" t="inlineStr">
        <is>
          <t>SÖDERMANLANDS LÄN</t>
        </is>
      </c>
      <c r="G473" t="inlineStr">
        <is>
          <t>NYKÖPING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59917-2025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45993</v>
      </c>
      <c r="E474" s="1" t="n">
        <v>46217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33683-2023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45132</v>
      </c>
      <c r="E475" s="1" t="n">
        <v>46217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60512-2021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44496</v>
      </c>
      <c r="E476" s="1" t="n">
        <v>46217</v>
      </c>
      <c r="F476" t="inlineStr">
        <is>
          <t>SÖDERMANLANDS LÄN</t>
        </is>
      </c>
      <c r="G476" t="inlineStr">
        <is>
          <t>NYKÖPING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10435-2022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44623</v>
      </c>
      <c r="E477" s="1" t="n">
        <v>46217</v>
      </c>
      <c r="F477" t="inlineStr">
        <is>
          <t>SÖDERMANLANDS LÄN</t>
        </is>
      </c>
      <c r="G477" t="inlineStr">
        <is>
          <t>NYKÖPING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27894-2023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46217</v>
      </c>
      <c r="F478" t="inlineStr">
        <is>
          <t>SÖDERMANLANDS LÄN</t>
        </is>
      </c>
      <c r="G478" t="inlineStr">
        <is>
          <t>NYKÖPING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2510-2022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44579</v>
      </c>
      <c r="E479" s="1" t="n">
        <v>46217</v>
      </c>
      <c r="F479" t="inlineStr">
        <is>
          <t>SÖDERMANLANDS LÄN</t>
        </is>
      </c>
      <c r="G479" t="inlineStr">
        <is>
          <t>NYKÖPING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5835-2024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45335</v>
      </c>
      <c r="E480" s="1" t="n">
        <v>46217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64081-2023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46217</v>
      </c>
      <c r="F481" t="inlineStr">
        <is>
          <t>SÖDERMANLANDS LÄN</t>
        </is>
      </c>
      <c r="G481" t="inlineStr">
        <is>
          <t>NYKÖPING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28137-2026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46217</v>
      </c>
      <c r="F482" t="inlineStr">
        <is>
          <t>SÖDERMANLANDS LÄN</t>
        </is>
      </c>
      <c r="G482" t="inlineStr">
        <is>
          <t>NYKÖPING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61253-2025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45999</v>
      </c>
      <c r="E483" s="1" t="n">
        <v>46217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Allmännings- och besparingsskogar</t>
        </is>
      </c>
      <c r="I483" t="n">
        <v>13.5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17897-2024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45419</v>
      </c>
      <c r="E484" s="1" t="n">
        <v>46217</v>
      </c>
      <c r="F484" t="inlineStr">
        <is>
          <t>SÖDERMANLANDS LÄN</t>
        </is>
      </c>
      <c r="G484" t="inlineStr">
        <is>
          <t>NYKÖPING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17900-2024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45419</v>
      </c>
      <c r="E485" s="1" t="n">
        <v>46217</v>
      </c>
      <c r="F485" t="inlineStr">
        <is>
          <t>SÖDERMANLANDS LÄN</t>
        </is>
      </c>
      <c r="G485" t="inlineStr">
        <is>
          <t>NYKÖPING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61254-2025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45999</v>
      </c>
      <c r="E486" s="1" t="n">
        <v>46217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Allmännings- och besparingsskogar</t>
        </is>
      </c>
      <c r="I486" t="n">
        <v>10.6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37733-2023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46217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Kommuner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61357-2025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46001</v>
      </c>
      <c r="E488" s="1" t="n">
        <v>46217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73877-2021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46217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Holmen skog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9167-2023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44980</v>
      </c>
      <c r="E490" s="1" t="n">
        <v>46217</v>
      </c>
      <c r="F490" t="inlineStr">
        <is>
          <t>SÖDERMANLANDS LÄN</t>
        </is>
      </c>
      <c r="G490" t="inlineStr">
        <is>
          <t>NYKÖPING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11978-2023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44995</v>
      </c>
      <c r="E491" s="1" t="n">
        <v>46217</v>
      </c>
      <c r="F491" t="inlineStr">
        <is>
          <t>SÖDERMANLANDS LÄN</t>
        </is>
      </c>
      <c r="G491" t="inlineStr">
        <is>
          <t>NYKÖPING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9200-2023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44976</v>
      </c>
      <c r="E492" s="1" t="n">
        <v>46217</v>
      </c>
      <c r="F492" t="inlineStr">
        <is>
          <t>SÖDERMANLANDS LÄN</t>
        </is>
      </c>
      <c r="G492" t="inlineStr">
        <is>
          <t>NYKÖPING</t>
        </is>
      </c>
      <c r="I492" t="n">
        <v>11.1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47138-2023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46217</v>
      </c>
      <c r="F493" t="inlineStr">
        <is>
          <t>SÖDERMANLANDS LÄN</t>
        </is>
      </c>
      <c r="G493" t="inlineStr">
        <is>
          <t>NYKÖPING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16460-2023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45029</v>
      </c>
      <c r="E494" s="1" t="n">
        <v>46217</v>
      </c>
      <c r="F494" t="inlineStr">
        <is>
          <t>SÖDERMANLANDS LÄN</t>
        </is>
      </c>
      <c r="G494" t="inlineStr">
        <is>
          <t>NYKÖPING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62323-2025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46003</v>
      </c>
      <c r="E495" s="1" t="n">
        <v>46217</v>
      </c>
      <c r="F495" t="inlineStr">
        <is>
          <t>SÖDERMANLANDS LÄN</t>
        </is>
      </c>
      <c r="G495" t="inlineStr">
        <is>
          <t>NYKÖPING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2513-2022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44579</v>
      </c>
      <c r="E496" s="1" t="n">
        <v>46217</v>
      </c>
      <c r="F496" t="inlineStr">
        <is>
          <t>SÖDERMANLANDS LÄN</t>
        </is>
      </c>
      <c r="G496" t="inlineStr">
        <is>
          <t>NYKÖPING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67857-2021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44525</v>
      </c>
      <c r="E497" s="1" t="n">
        <v>46217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Sveaskog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17832-2024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45418</v>
      </c>
      <c r="E498" s="1" t="n">
        <v>46217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Kommuner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1742-2023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44938</v>
      </c>
      <c r="E499" s="1" t="n">
        <v>46217</v>
      </c>
      <c r="F499" t="inlineStr">
        <is>
          <t>SÖDERMANLANDS LÄN</t>
        </is>
      </c>
      <c r="G499" t="inlineStr">
        <is>
          <t>NYKÖPING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1912-2022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44575</v>
      </c>
      <c r="E500" s="1" t="n">
        <v>46217</v>
      </c>
      <c r="F500" t="inlineStr">
        <is>
          <t>SÖDERMANLANDS LÄN</t>
        </is>
      </c>
      <c r="G500" t="inlineStr">
        <is>
          <t>NYKÖPING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62115-2025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46217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36015-2023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45148</v>
      </c>
      <c r="E502" s="1" t="n">
        <v>46217</v>
      </c>
      <c r="F502" t="inlineStr">
        <is>
          <t>SÖDERMANLANDS LÄN</t>
        </is>
      </c>
      <c r="G502" t="inlineStr">
        <is>
          <t>NYKÖPING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62113-2025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46217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62517-2025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46007</v>
      </c>
      <c r="E504" s="1" t="n">
        <v>46217</v>
      </c>
      <c r="F504" t="inlineStr">
        <is>
          <t>SÖDERMANLANDS LÄN</t>
        </is>
      </c>
      <c r="G504" t="inlineStr">
        <is>
          <t>NYKÖPING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72679-2021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44546</v>
      </c>
      <c r="E505" s="1" t="n">
        <v>46217</v>
      </c>
      <c r="F505" t="inlineStr">
        <is>
          <t>SÖDERMANLANDS LÄN</t>
        </is>
      </c>
      <c r="G505" t="inlineStr">
        <is>
          <t>NYKÖPING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62492-2025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46007</v>
      </c>
      <c r="E506" s="1" t="n">
        <v>46217</v>
      </c>
      <c r="F506" t="inlineStr">
        <is>
          <t>SÖDERMANLANDS LÄN</t>
        </is>
      </c>
      <c r="G506" t="inlineStr">
        <is>
          <t>NYKÖPING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27206-2023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45096</v>
      </c>
      <c r="E507" s="1" t="n">
        <v>46217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Övriga Aktiebolag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62491-2025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46007</v>
      </c>
      <c r="E508" s="1" t="n">
        <v>46217</v>
      </c>
      <c r="F508" t="inlineStr">
        <is>
          <t>SÖDERMANLANDS LÄN</t>
        </is>
      </c>
      <c r="G508" t="inlineStr">
        <is>
          <t>NYKÖPING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57633-2024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45630</v>
      </c>
      <c r="E509" s="1" t="n">
        <v>46217</v>
      </c>
      <c r="F509" t="inlineStr">
        <is>
          <t>SÖDERMANLANDS LÄN</t>
        </is>
      </c>
      <c r="G509" t="inlineStr">
        <is>
          <t>NYKÖPING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1638-2024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45306</v>
      </c>
      <c r="E510" s="1" t="n">
        <v>46217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Kommuner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63293-2025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46217</v>
      </c>
      <c r="F511" t="inlineStr">
        <is>
          <t>SÖDERMANLANDS LÄN</t>
        </is>
      </c>
      <c r="G511" t="inlineStr">
        <is>
          <t>NYKÖPING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23207-2024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45452</v>
      </c>
      <c r="E512" s="1" t="n">
        <v>46217</v>
      </c>
      <c r="F512" t="inlineStr">
        <is>
          <t>SÖDERMANLANDS LÄN</t>
        </is>
      </c>
      <c r="G512" t="inlineStr">
        <is>
          <t>NYKÖPING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63246-2025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46217</v>
      </c>
      <c r="F513" t="inlineStr">
        <is>
          <t>SÖDERMANLANDS LÄN</t>
        </is>
      </c>
      <c r="G513" t="inlineStr">
        <is>
          <t>NYKÖPING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62917-2025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46217</v>
      </c>
      <c r="F514" t="inlineStr">
        <is>
          <t>SÖDERMANLANDS LÄN</t>
        </is>
      </c>
      <c r="G514" t="inlineStr">
        <is>
          <t>NYKÖPING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63322-2025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46010</v>
      </c>
      <c r="E515" s="1" t="n">
        <v>46217</v>
      </c>
      <c r="F515" t="inlineStr">
        <is>
          <t>SÖDERMANLANDS LÄN</t>
        </is>
      </c>
      <c r="G515" t="inlineStr">
        <is>
          <t>NYKÖPING</t>
        </is>
      </c>
      <c r="I515" t="n">
        <v>21.2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36163-2023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45149</v>
      </c>
      <c r="E516" s="1" t="n">
        <v>46217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Kommuner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41241-2023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46217</v>
      </c>
      <c r="F517" t="inlineStr">
        <is>
          <t>SÖDERMANLANDS LÄN</t>
        </is>
      </c>
      <c r="G517" t="inlineStr">
        <is>
          <t>NYKÖPING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70092-2021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44536</v>
      </c>
      <c r="E518" s="1" t="n">
        <v>46217</v>
      </c>
      <c r="F518" t="inlineStr">
        <is>
          <t>SÖDERMANLANDS LÄN</t>
        </is>
      </c>
      <c r="G518" t="inlineStr">
        <is>
          <t>NYKÖPING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33669-2023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45132</v>
      </c>
      <c r="E519" s="1" t="n">
        <v>46217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22475-2026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46155</v>
      </c>
      <c r="E520" s="1" t="n">
        <v>46217</v>
      </c>
      <c r="F520" t="inlineStr">
        <is>
          <t>SÖDERMANLANDS LÄN</t>
        </is>
      </c>
      <c r="G520" t="inlineStr">
        <is>
          <t>NYKÖPING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33670-2023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45132</v>
      </c>
      <c r="E521" s="1" t="n">
        <v>46217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35951-2023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45148</v>
      </c>
      <c r="E522" s="1" t="n">
        <v>46217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Kommuner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38472-2023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45162</v>
      </c>
      <c r="E523" s="1" t="n">
        <v>46217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38512-2023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46217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49902-2025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45940</v>
      </c>
      <c r="E525" s="1" t="n">
        <v>46217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Sveaskog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56322-2023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45243</v>
      </c>
      <c r="E526" s="1" t="n">
        <v>46217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8378-2024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45351</v>
      </c>
      <c r="E527" s="1" t="n">
        <v>46217</v>
      </c>
      <c r="F527" t="inlineStr">
        <is>
          <t>SÖDERMANLANDS LÄN</t>
        </is>
      </c>
      <c r="G527" t="inlineStr">
        <is>
          <t>NYKÖPING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2041-2022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44575</v>
      </c>
      <c r="E528" s="1" t="n">
        <v>46217</v>
      </c>
      <c r="F528" t="inlineStr">
        <is>
          <t>SÖDERMANLANDS LÄN</t>
        </is>
      </c>
      <c r="G528" t="inlineStr">
        <is>
          <t>NYKÖPING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46027</v>
      </c>
      <c r="E529" s="1" t="n">
        <v>46217</v>
      </c>
      <c r="F529" t="inlineStr">
        <is>
          <t>SÖDERMANLANDS LÄN</t>
        </is>
      </c>
      <c r="G529" t="inlineStr">
        <is>
          <t>NYKÖPING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42525-2023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45181</v>
      </c>
      <c r="E530" s="1" t="n">
        <v>46217</v>
      </c>
      <c r="F530" t="inlineStr">
        <is>
          <t>SÖDERMANLANDS LÄN</t>
        </is>
      </c>
      <c r="G530" t="inlineStr">
        <is>
          <t>NYKÖPING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46217</v>
      </c>
      <c r="F531" t="inlineStr">
        <is>
          <t>SÖDERMANLANDS LÄN</t>
        </is>
      </c>
      <c r="G531" t="inlineStr">
        <is>
          <t>NYKÖPING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2939-2022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44581</v>
      </c>
      <c r="E532" s="1" t="n">
        <v>46217</v>
      </c>
      <c r="F532" t="inlineStr">
        <is>
          <t>SÖDERMANLANDS LÄN</t>
        </is>
      </c>
      <c r="G532" t="inlineStr">
        <is>
          <t>NYKÖPING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35469-2023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45146</v>
      </c>
      <c r="E533" s="1" t="n">
        <v>46217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817-2026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46217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38034-2023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45160</v>
      </c>
      <c r="E535" s="1" t="n">
        <v>46217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Kommuner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11908-2023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44995</v>
      </c>
      <c r="E536" s="1" t="n">
        <v>46217</v>
      </c>
      <c r="F536" t="inlineStr">
        <is>
          <t>SÖDERMANLANDS LÄN</t>
        </is>
      </c>
      <c r="G536" t="inlineStr">
        <is>
          <t>NYKÖPING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65109-2021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44515</v>
      </c>
      <c r="E537" s="1" t="n">
        <v>46217</v>
      </c>
      <c r="F537" t="inlineStr">
        <is>
          <t>SÖDERMANLANDS LÄN</t>
        </is>
      </c>
      <c r="G537" t="inlineStr">
        <is>
          <t>NYKÖPING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10616-2025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45721</v>
      </c>
      <c r="E538" s="1" t="n">
        <v>46217</v>
      </c>
      <c r="F538" t="inlineStr">
        <is>
          <t>SÖDERMANLANDS LÄN</t>
        </is>
      </c>
      <c r="G538" t="inlineStr">
        <is>
          <t>NYKÖPING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1686-2026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46034</v>
      </c>
      <c r="E539" s="1" t="n">
        <v>46217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46036</v>
      </c>
      <c r="E540" s="1" t="n">
        <v>46217</v>
      </c>
      <c r="F540" t="inlineStr">
        <is>
          <t>SÖDERMANLANDS LÄN</t>
        </is>
      </c>
      <c r="G540" t="inlineStr">
        <is>
          <t>NYKÖPING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4885-2024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45329</v>
      </c>
      <c r="E541" s="1" t="n">
        <v>46217</v>
      </c>
      <c r="F541" t="inlineStr">
        <is>
          <t>SÖDERMANLANDS LÄN</t>
        </is>
      </c>
      <c r="G541" t="inlineStr">
        <is>
          <t>NYKÖPING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45329</v>
      </c>
      <c r="E542" s="1" t="n">
        <v>46217</v>
      </c>
      <c r="F542" t="inlineStr">
        <is>
          <t>SÖDERMANLANDS LÄN</t>
        </is>
      </c>
      <c r="G542" t="inlineStr">
        <is>
          <t>NYKÖPING</t>
        </is>
      </c>
      <c r="I542" t="n">
        <v>17.8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46217</v>
      </c>
      <c r="F543" t="inlineStr">
        <is>
          <t>SÖDERMANLANDS LÄN</t>
        </is>
      </c>
      <c r="G543" t="inlineStr">
        <is>
          <t>NYKÖPING</t>
        </is>
      </c>
      <c r="I543" t="n">
        <v>11.7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2130-2026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46036</v>
      </c>
      <c r="E544" s="1" t="n">
        <v>46217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3353-2022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44585</v>
      </c>
      <c r="E545" s="1" t="n">
        <v>46217</v>
      </c>
      <c r="F545" t="inlineStr">
        <is>
          <t>SÖDERMANLANDS LÄN</t>
        </is>
      </c>
      <c r="G545" t="inlineStr">
        <is>
          <t>NYKÖPING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33126-2023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45114</v>
      </c>
      <c r="E546" s="1" t="n">
        <v>46217</v>
      </c>
      <c r="F546" t="inlineStr">
        <is>
          <t>SÖDERMANLANDS LÄN</t>
        </is>
      </c>
      <c r="G546" t="inlineStr">
        <is>
          <t>NYKÖPING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46036</v>
      </c>
      <c r="E547" s="1" t="n">
        <v>46217</v>
      </c>
      <c r="F547" t="inlineStr">
        <is>
          <t>SÖDERMANLANDS LÄN</t>
        </is>
      </c>
      <c r="G547" t="inlineStr">
        <is>
          <t>NYKÖPING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13863-2022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44649</v>
      </c>
      <c r="E548" s="1" t="n">
        <v>46217</v>
      </c>
      <c r="F548" t="inlineStr">
        <is>
          <t>SÖDERMANLANDS LÄN</t>
        </is>
      </c>
      <c r="G548" t="inlineStr">
        <is>
          <t>NYKÖPING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3473-2026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46217</v>
      </c>
      <c r="F549" t="inlineStr">
        <is>
          <t>SÖDERMANLANDS LÄN</t>
        </is>
      </c>
      <c r="G549" t="inlineStr">
        <is>
          <t>NYKÖPING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3344-2026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46041</v>
      </c>
      <c r="E550" s="1" t="n">
        <v>46217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40635-2023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45170</v>
      </c>
      <c r="E551" s="1" t="n">
        <v>46217</v>
      </c>
      <c r="F551" t="inlineStr">
        <is>
          <t>SÖDERMANLANDS LÄN</t>
        </is>
      </c>
      <c r="G551" t="inlineStr">
        <is>
          <t>NYKÖPING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3342-2026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46041</v>
      </c>
      <c r="E552" s="1" t="n">
        <v>46217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51241-2024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45603</v>
      </c>
      <c r="E553" s="1" t="n">
        <v>46217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Sveaskog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12131-2026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46217</v>
      </c>
      <c r="F554" t="inlineStr">
        <is>
          <t>SÖDERMANLANDS LÄN</t>
        </is>
      </c>
      <c r="G554" t="inlineStr">
        <is>
          <t>NYKÖPING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7253-2022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44606</v>
      </c>
      <c r="E555" s="1" t="n">
        <v>46217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Allmännings- och besparingsskogar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10689-2023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44988</v>
      </c>
      <c r="E556" s="1" t="n">
        <v>46217</v>
      </c>
      <c r="F556" t="inlineStr">
        <is>
          <t>SÖDERMANLANDS LÄN</t>
        </is>
      </c>
      <c r="G556" t="inlineStr">
        <is>
          <t>NYKÖPING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5387-2026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46050</v>
      </c>
      <c r="E557" s="1" t="n">
        <v>46217</v>
      </c>
      <c r="F557" t="inlineStr">
        <is>
          <t>SÖDERMANLANDS LÄN</t>
        </is>
      </c>
      <c r="G557" t="inlineStr">
        <is>
          <t>NYKÖPING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52551-2023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45218</v>
      </c>
      <c r="E558" s="1" t="n">
        <v>46217</v>
      </c>
      <c r="F558" t="inlineStr">
        <is>
          <t>SÖDERMANLANDS LÄN</t>
        </is>
      </c>
      <c r="G558" t="inlineStr">
        <is>
          <t>NYKÖPING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46049</v>
      </c>
      <c r="E559" s="1" t="n">
        <v>46217</v>
      </c>
      <c r="F559" t="inlineStr">
        <is>
          <t>SÖDERMANLANDS LÄN</t>
        </is>
      </c>
      <c r="G559" t="inlineStr">
        <is>
          <t>NYKÖPING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5202-2026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46049</v>
      </c>
      <c r="E560" s="1" t="n">
        <v>46217</v>
      </c>
      <c r="F560" t="inlineStr">
        <is>
          <t>SÖDERMANLANDS LÄN</t>
        </is>
      </c>
      <c r="G560" t="inlineStr">
        <is>
          <t>NYKÖPING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5210-2026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46049</v>
      </c>
      <c r="E561" s="1" t="n">
        <v>46217</v>
      </c>
      <c r="F561" t="inlineStr">
        <is>
          <t>SÖDERMANLANDS LÄN</t>
        </is>
      </c>
      <c r="G561" t="inlineStr">
        <is>
          <t>NYKÖPING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44820-2022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44839</v>
      </c>
      <c r="E562" s="1" t="n">
        <v>46217</v>
      </c>
      <c r="F562" t="inlineStr">
        <is>
          <t>SÖDERMANLANDS LÄN</t>
        </is>
      </c>
      <c r="G562" t="inlineStr">
        <is>
          <t>NYKÖPING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44908-2022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44840</v>
      </c>
      <c r="E563" s="1" t="n">
        <v>46217</v>
      </c>
      <c r="F563" t="inlineStr">
        <is>
          <t>SÖDERMANLANDS LÄN</t>
        </is>
      </c>
      <c r="G563" t="inlineStr">
        <is>
          <t>NYKÖPING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5198-2026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46049</v>
      </c>
      <c r="E564" s="1" t="n">
        <v>46217</v>
      </c>
      <c r="F564" t="inlineStr">
        <is>
          <t>SÖDERMANLANDS LÄN</t>
        </is>
      </c>
      <c r="G564" t="inlineStr">
        <is>
          <t>NYKÖPING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5206-2026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46049</v>
      </c>
      <c r="E565" s="1" t="n">
        <v>46217</v>
      </c>
      <c r="F565" t="inlineStr">
        <is>
          <t>SÖDERMANLANDS LÄN</t>
        </is>
      </c>
      <c r="G565" t="inlineStr">
        <is>
          <t>NYKÖPING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39149-2023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46217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8006-2024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45350</v>
      </c>
      <c r="E567" s="1" t="n">
        <v>46217</v>
      </c>
      <c r="F567" t="inlineStr">
        <is>
          <t>SÖDERMANLANDS LÄN</t>
        </is>
      </c>
      <c r="G567" t="inlineStr">
        <is>
          <t>NYKÖPING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36714-2023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45153</v>
      </c>
      <c r="E568" s="1" t="n">
        <v>46217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Kommuner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14370-2022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44652</v>
      </c>
      <c r="E569" s="1" t="n">
        <v>46217</v>
      </c>
      <c r="F569" t="inlineStr">
        <is>
          <t>SÖDERMANLANDS LÄN</t>
        </is>
      </c>
      <c r="G569" t="inlineStr">
        <is>
          <t>NYKÖPING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18918-2023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45044</v>
      </c>
      <c r="E570" s="1" t="n">
        <v>46217</v>
      </c>
      <c r="F570" t="inlineStr">
        <is>
          <t>SÖDERMANLANDS LÄN</t>
        </is>
      </c>
      <c r="G570" t="inlineStr">
        <is>
          <t>NYKÖPING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18926-2023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45044</v>
      </c>
      <c r="E571" s="1" t="n">
        <v>46217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12538-2025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45730</v>
      </c>
      <c r="E572" s="1" t="n">
        <v>46217</v>
      </c>
      <c r="F572" t="inlineStr">
        <is>
          <t>SÖDERMANLANDS LÄN</t>
        </is>
      </c>
      <c r="G572" t="inlineStr">
        <is>
          <t>NYKÖPING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56770-2025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46217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11728-2022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44634</v>
      </c>
      <c r="E574" s="1" t="n">
        <v>46217</v>
      </c>
      <c r="F574" t="inlineStr">
        <is>
          <t>SÖDERMANLANDS LÄN</t>
        </is>
      </c>
      <c r="G574" t="inlineStr">
        <is>
          <t>NYKÖPING</t>
        </is>
      </c>
      <c r="I574" t="n">
        <v>11.4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21062-2023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45061</v>
      </c>
      <c r="E575" s="1" t="n">
        <v>46217</v>
      </c>
      <c r="F575" t="inlineStr">
        <is>
          <t>SÖDERMANLANDS LÄN</t>
        </is>
      </c>
      <c r="G575" t="inlineStr">
        <is>
          <t>NYKÖPING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43880-2023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46217</v>
      </c>
      <c r="F576" t="inlineStr">
        <is>
          <t>SÖDERMANLANDS LÄN</t>
        </is>
      </c>
      <c r="G576" t="inlineStr">
        <is>
          <t>NYKÖPING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56845-2025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45978</v>
      </c>
      <c r="E577" s="1" t="n">
        <v>46217</v>
      </c>
      <c r="F577" t="inlineStr">
        <is>
          <t>SÖDERMANLANDS LÄN</t>
        </is>
      </c>
      <c r="G577" t="inlineStr">
        <is>
          <t>NYKÖPING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58653-2025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45986</v>
      </c>
      <c r="E578" s="1" t="n">
        <v>46217</v>
      </c>
      <c r="F578" t="inlineStr">
        <is>
          <t>SÖDERMANLANDS LÄN</t>
        </is>
      </c>
      <c r="G578" t="inlineStr">
        <is>
          <t>NYKÖPING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58650-2025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45986</v>
      </c>
      <c r="E579" s="1" t="n">
        <v>46217</v>
      </c>
      <c r="F579" t="inlineStr">
        <is>
          <t>SÖDERMANLANDS LÄN</t>
        </is>
      </c>
      <c r="G579" t="inlineStr">
        <is>
          <t>NYKÖPING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11755-2026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46217</v>
      </c>
      <c r="F580" t="inlineStr">
        <is>
          <t>SÖDERMANLANDS LÄN</t>
        </is>
      </c>
      <c r="G580" t="inlineStr">
        <is>
          <t>NYKÖPING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2598-2025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45674</v>
      </c>
      <c r="E581" s="1" t="n">
        <v>46217</v>
      </c>
      <c r="F581" t="inlineStr">
        <is>
          <t>SÖDERMANLANDS LÄN</t>
        </is>
      </c>
      <c r="G581" t="inlineStr">
        <is>
          <t>NYKÖPING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58676-2025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45986</v>
      </c>
      <c r="E582" s="1" t="n">
        <v>46217</v>
      </c>
      <c r="F582" t="inlineStr">
        <is>
          <t>SÖDERMANLANDS LÄN</t>
        </is>
      </c>
      <c r="G582" t="inlineStr">
        <is>
          <t>NYKÖPING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38745-2023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45161</v>
      </c>
      <c r="E583" s="1" t="n">
        <v>46217</v>
      </c>
      <c r="F583" t="inlineStr">
        <is>
          <t>SÖDERMANLANDS LÄN</t>
        </is>
      </c>
      <c r="G583" t="inlineStr">
        <is>
          <t>NYKÖPING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35458-2023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45146</v>
      </c>
      <c r="E584" s="1" t="n">
        <v>46217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11757-2026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46217</v>
      </c>
      <c r="F585" t="inlineStr">
        <is>
          <t>SÖDERMANLANDS LÄN</t>
        </is>
      </c>
      <c r="G585" t="inlineStr">
        <is>
          <t>NYKÖPING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9453-2026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46217</v>
      </c>
      <c r="F586" t="inlineStr">
        <is>
          <t>SÖDERMANLANDS LÄN</t>
        </is>
      </c>
      <c r="G586" t="inlineStr">
        <is>
          <t>NYKÖPING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39356-2023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45166</v>
      </c>
      <c r="E587" s="1" t="n">
        <v>46217</v>
      </c>
      <c r="F587" t="inlineStr">
        <is>
          <t>SÖDERMANLANDS LÄN</t>
        </is>
      </c>
      <c r="G587" t="inlineStr">
        <is>
          <t>NYKÖPING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9434-2026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46217</v>
      </c>
      <c r="F588" t="inlineStr">
        <is>
          <t>SÖDERMANLANDS LÄN</t>
        </is>
      </c>
      <c r="G588" t="inlineStr">
        <is>
          <t>NYKÖPING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9468-2026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46217</v>
      </c>
      <c r="F589" t="inlineStr">
        <is>
          <t>SÖDERMANLANDS LÄN</t>
        </is>
      </c>
      <c r="G589" t="inlineStr">
        <is>
          <t>NYKÖPING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21925-2022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44711</v>
      </c>
      <c r="E590" s="1" t="n">
        <v>46217</v>
      </c>
      <c r="F590" t="inlineStr">
        <is>
          <t>SÖDERMANLANDS LÄN</t>
        </is>
      </c>
      <c r="G590" t="inlineStr">
        <is>
          <t>NYKÖPING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23063-2026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46161</v>
      </c>
      <c r="E591" s="1" t="n">
        <v>46217</v>
      </c>
      <c r="F591" t="inlineStr">
        <is>
          <t>SÖDERMANLANDS LÄN</t>
        </is>
      </c>
      <c r="G591" t="inlineStr">
        <is>
          <t>NYKÖPING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13858-2022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44649</v>
      </c>
      <c r="E592" s="1" t="n">
        <v>46217</v>
      </c>
      <c r="F592" t="inlineStr">
        <is>
          <t>SÖDERMANLANDS LÄN</t>
        </is>
      </c>
      <c r="G592" t="inlineStr">
        <is>
          <t>NYKÖPING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37907-2022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44811</v>
      </c>
      <c r="E593" s="1" t="n">
        <v>46217</v>
      </c>
      <c r="F593" t="inlineStr">
        <is>
          <t>SÖDERMANLANDS LÄN</t>
        </is>
      </c>
      <c r="G593" t="inlineStr">
        <is>
          <t>NYKÖPING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37911-2022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44810</v>
      </c>
      <c r="E594" s="1" t="n">
        <v>46217</v>
      </c>
      <c r="F594" t="inlineStr">
        <is>
          <t>SÖDERMANLANDS LÄN</t>
        </is>
      </c>
      <c r="G594" t="inlineStr">
        <is>
          <t>NYKÖPING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29485-2026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46217</v>
      </c>
      <c r="F595" t="inlineStr">
        <is>
          <t>SÖDERMANLANDS LÄN</t>
        </is>
      </c>
      <c r="G595" t="inlineStr">
        <is>
          <t>NYKÖPING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43952-2022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44838</v>
      </c>
      <c r="E596" s="1" t="n">
        <v>46217</v>
      </c>
      <c r="F596" t="inlineStr">
        <is>
          <t>SÖDERMANLANDS LÄN</t>
        </is>
      </c>
      <c r="G596" t="inlineStr">
        <is>
          <t>NYKÖPING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44191-2022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44839</v>
      </c>
      <c r="E597" s="1" t="n">
        <v>46217</v>
      </c>
      <c r="F597" t="inlineStr">
        <is>
          <t>SÖDERMANLANDS LÄN</t>
        </is>
      </c>
      <c r="G597" t="inlineStr">
        <is>
          <t>NYKÖPING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24798-2022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44728</v>
      </c>
      <c r="E598" s="1" t="n">
        <v>46217</v>
      </c>
      <c r="F598" t="inlineStr">
        <is>
          <t>SÖDERMANLANDS LÄN</t>
        </is>
      </c>
      <c r="G598" t="inlineStr">
        <is>
          <t>NYKÖPING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56851-2025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45978</v>
      </c>
      <c r="E599" s="1" t="n">
        <v>46217</v>
      </c>
      <c r="F599" t="inlineStr">
        <is>
          <t>SÖDERMANLANDS LÄN</t>
        </is>
      </c>
      <c r="G599" t="inlineStr">
        <is>
          <t>NYKÖPING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9836-2026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46217</v>
      </c>
      <c r="F600" t="inlineStr">
        <is>
          <t>SÖDERMANLANDS LÄN</t>
        </is>
      </c>
      <c r="G600" t="inlineStr">
        <is>
          <t>NYKÖPING</t>
        </is>
      </c>
      <c r="I600" t="n">
        <v>10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30212-2026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46217</v>
      </c>
      <c r="F601" t="inlineStr">
        <is>
          <t>SÖDERMANLANDS LÄN</t>
        </is>
      </c>
      <c r="G601" t="inlineStr">
        <is>
          <t>NYKÖPING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58493-2025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45985</v>
      </c>
      <c r="E602" s="1" t="n">
        <v>46217</v>
      </c>
      <c r="F602" t="inlineStr">
        <is>
          <t>SÖDERMANLANDS LÄN</t>
        </is>
      </c>
      <c r="G602" t="inlineStr">
        <is>
          <t>NYKÖPING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58496-2025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45985</v>
      </c>
      <c r="E603" s="1" t="n">
        <v>46217</v>
      </c>
      <c r="F603" t="inlineStr">
        <is>
          <t>SÖDERMANLANDS LÄN</t>
        </is>
      </c>
      <c r="G603" t="inlineStr">
        <is>
          <t>NYKÖPING</t>
        </is>
      </c>
      <c r="I603" t="n">
        <v>9.699999999999999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39321-2023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46217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46217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4182-2025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46217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24280-2022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44725</v>
      </c>
      <c r="E607" s="1" t="n">
        <v>46217</v>
      </c>
      <c r="F607" t="inlineStr">
        <is>
          <t>SÖDERMANLANDS LÄN</t>
        </is>
      </c>
      <c r="G607" t="inlineStr">
        <is>
          <t>NYKÖPING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31424-2022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44774</v>
      </c>
      <c r="E608" s="1" t="n">
        <v>46217</v>
      </c>
      <c r="F608" t="inlineStr">
        <is>
          <t>SÖDERMANLANDS LÄN</t>
        </is>
      </c>
      <c r="G608" t="inlineStr">
        <is>
          <t>NYKÖPING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23637-2026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46163</v>
      </c>
      <c r="E609" s="1" t="n">
        <v>46217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Kyrkan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47370-2022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44853</v>
      </c>
      <c r="E610" s="1" t="n">
        <v>46217</v>
      </c>
      <c r="F610" t="inlineStr">
        <is>
          <t>SÖDERMANLANDS LÄN</t>
        </is>
      </c>
      <c r="G610" t="inlineStr">
        <is>
          <t>NYKÖPING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38508-2023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45162</v>
      </c>
      <c r="E611" s="1" t="n">
        <v>46217</v>
      </c>
      <c r="F611" t="inlineStr">
        <is>
          <t>SÖDERMANLANDS LÄN</t>
        </is>
      </c>
      <c r="G611" t="inlineStr">
        <is>
          <t>NYKÖPING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13455-2022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44645</v>
      </c>
      <c r="E612" s="1" t="n">
        <v>46217</v>
      </c>
      <c r="F612" t="inlineStr">
        <is>
          <t>SÖDERMANLANDS LÄN</t>
        </is>
      </c>
      <c r="G612" t="inlineStr">
        <is>
          <t>NYKÖPING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49223-2022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44858</v>
      </c>
      <c r="E613" s="1" t="n">
        <v>46217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Övriga statliga verk och myndigheter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13254-2026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46093</v>
      </c>
      <c r="E614" s="1" t="n">
        <v>46217</v>
      </c>
      <c r="F614" t="inlineStr">
        <is>
          <t>SÖDERMANLANDS LÄN</t>
        </is>
      </c>
      <c r="G614" t="inlineStr">
        <is>
          <t>NYKÖPING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13260-2026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46093</v>
      </c>
      <c r="E615" s="1" t="n">
        <v>46217</v>
      </c>
      <c r="F615" t="inlineStr">
        <is>
          <t>SÖDERMANLANDS LÄN</t>
        </is>
      </c>
      <c r="G615" t="inlineStr">
        <is>
          <t>NYKÖPING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51699-2023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45222</v>
      </c>
      <c r="E616" s="1" t="n">
        <v>46217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24829-2024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45461</v>
      </c>
      <c r="E617" s="1" t="n">
        <v>46217</v>
      </c>
      <c r="F617" t="inlineStr">
        <is>
          <t>SÖDERMANLANDS LÄN</t>
        </is>
      </c>
      <c r="G617" t="inlineStr">
        <is>
          <t>NYKÖPING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35532-2022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44799</v>
      </c>
      <c r="E618" s="1" t="n">
        <v>46217</v>
      </c>
      <c r="F618" t="inlineStr">
        <is>
          <t>SÖDERMANLANDS LÄN</t>
        </is>
      </c>
      <c r="G618" t="inlineStr">
        <is>
          <t>NYKÖPING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7428-2025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45705</v>
      </c>
      <c r="E619" s="1" t="n">
        <v>46217</v>
      </c>
      <c r="F619" t="inlineStr">
        <is>
          <t>SÖDERMANLANDS LÄN</t>
        </is>
      </c>
      <c r="G619" t="inlineStr">
        <is>
          <t>NYKÖPING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8787-2025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45712</v>
      </c>
      <c r="E620" s="1" t="n">
        <v>46217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24197-2022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44725</v>
      </c>
      <c r="E621" s="1" t="n">
        <v>46217</v>
      </c>
      <c r="F621" t="inlineStr">
        <is>
          <t>SÖDERMANLANDS LÄN</t>
        </is>
      </c>
      <c r="G621" t="inlineStr">
        <is>
          <t>NYKÖPING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58685-2025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45986</v>
      </c>
      <c r="E622" s="1" t="n">
        <v>46217</v>
      </c>
      <c r="F622" t="inlineStr">
        <is>
          <t>SÖDERMANLANDS LÄN</t>
        </is>
      </c>
      <c r="G622" t="inlineStr">
        <is>
          <t>NYKÖPING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65231-2023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45289</v>
      </c>
      <c r="E623" s="1" t="n">
        <v>46217</v>
      </c>
      <c r="F623" t="inlineStr">
        <is>
          <t>SÖDERMANLANDS LÄN</t>
        </is>
      </c>
      <c r="G623" t="inlineStr">
        <is>
          <t>NYKÖPING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14402-2026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46217</v>
      </c>
      <c r="F624" t="inlineStr">
        <is>
          <t>SÖDERMANLANDS LÄN</t>
        </is>
      </c>
      <c r="G624" t="inlineStr">
        <is>
          <t>NYKÖPING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35252-2022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44798</v>
      </c>
      <c r="E625" s="1" t="n">
        <v>46217</v>
      </c>
      <c r="F625" t="inlineStr">
        <is>
          <t>SÖDERMANLANDS LÄN</t>
        </is>
      </c>
      <c r="G625" t="inlineStr">
        <is>
          <t>NYKÖPING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14363-2026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46217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14384-2026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46100</v>
      </c>
      <c r="E627" s="1" t="n">
        <v>46217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30907-2022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44767</v>
      </c>
      <c r="E628" s="1" t="n">
        <v>46217</v>
      </c>
      <c r="F628" t="inlineStr">
        <is>
          <t>SÖDERMANLANDS LÄN</t>
        </is>
      </c>
      <c r="G628" t="inlineStr">
        <is>
          <t>NYKÖPING</t>
        </is>
      </c>
      <c r="I628" t="n">
        <v>9.1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45926-2022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44846</v>
      </c>
      <c r="E629" s="1" t="n">
        <v>46217</v>
      </c>
      <c r="F629" t="inlineStr">
        <is>
          <t>SÖDERMANLANDS LÄN</t>
        </is>
      </c>
      <c r="G629" t="inlineStr">
        <is>
          <t>NYKÖPING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12111-2026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46086</v>
      </c>
      <c r="E630" s="1" t="n">
        <v>46217</v>
      </c>
      <c r="F630" t="inlineStr">
        <is>
          <t>SÖDERMANLANDS LÄN</t>
        </is>
      </c>
      <c r="G630" t="inlineStr">
        <is>
          <t>NYKÖPING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7756-2024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45348</v>
      </c>
      <c r="E631" s="1" t="n">
        <v>46217</v>
      </c>
      <c r="F631" t="inlineStr">
        <is>
          <t>SÖDERMANLANDS LÄN</t>
        </is>
      </c>
      <c r="G631" t="inlineStr">
        <is>
          <t>NYKÖPING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7824-2024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45349</v>
      </c>
      <c r="E632" s="1" t="n">
        <v>46217</v>
      </c>
      <c r="F632" t="inlineStr">
        <is>
          <t>SÖDERMANLANDS LÄN</t>
        </is>
      </c>
      <c r="G632" t="inlineStr">
        <is>
          <t>NYKÖPING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7496-2022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44607</v>
      </c>
      <c r="E633" s="1" t="n">
        <v>46217</v>
      </c>
      <c r="F633" t="inlineStr">
        <is>
          <t>SÖDERMANLANDS LÄN</t>
        </is>
      </c>
      <c r="G633" t="inlineStr">
        <is>
          <t>NYKÖPING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37941-2022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44810</v>
      </c>
      <c r="E634" s="1" t="n">
        <v>46217</v>
      </c>
      <c r="F634" t="inlineStr">
        <is>
          <t>SÖDERMANLANDS LÄN</t>
        </is>
      </c>
      <c r="G634" t="inlineStr">
        <is>
          <t>NYKÖPING</t>
        </is>
      </c>
      <c r="I634" t="n">
        <v>13.5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48459-2021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44452</v>
      </c>
      <c r="E635" s="1" t="n">
        <v>46217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19027-2026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46131</v>
      </c>
      <c r="E636" s="1" t="n">
        <v>46217</v>
      </c>
      <c r="F636" t="inlineStr">
        <is>
          <t>SÖDERMANLANDS LÄN</t>
        </is>
      </c>
      <c r="G636" t="inlineStr">
        <is>
          <t>NYKÖPING</t>
        </is>
      </c>
      <c r="I636" t="n">
        <v>12.4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24152-2026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46217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Kyrkan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8140-2023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44974</v>
      </c>
      <c r="E638" s="1" t="n">
        <v>46217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26561-2023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45092</v>
      </c>
      <c r="E639" s="1" t="n">
        <v>46217</v>
      </c>
      <c r="F639" t="inlineStr">
        <is>
          <t>SÖDERMANLANDS LÄN</t>
        </is>
      </c>
      <c r="G639" t="inlineStr">
        <is>
          <t>NYKÖPING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1930-2022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44575</v>
      </c>
      <c r="E640" s="1" t="n">
        <v>46217</v>
      </c>
      <c r="F640" t="inlineStr">
        <is>
          <t>SÖDERMANLANDS LÄN</t>
        </is>
      </c>
      <c r="G640" t="inlineStr">
        <is>
          <t>NYKÖPING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17460-2026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46120</v>
      </c>
      <c r="E641" s="1" t="n">
        <v>46217</v>
      </c>
      <c r="F641" t="inlineStr">
        <is>
          <t>SÖDERMANLANDS LÄN</t>
        </is>
      </c>
      <c r="G641" t="inlineStr">
        <is>
          <t>NYKÖPING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46022-2025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45924</v>
      </c>
      <c r="E642" s="1" t="n">
        <v>46217</v>
      </c>
      <c r="F642" t="inlineStr">
        <is>
          <t>SÖDERMANLANDS LÄN</t>
        </is>
      </c>
      <c r="G642" t="inlineStr">
        <is>
          <t>NYKÖPING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24285-2026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46217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Kyrkan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17074-2026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46114</v>
      </c>
      <c r="E644" s="1" t="n">
        <v>46217</v>
      </c>
      <c r="F644" t="inlineStr">
        <is>
          <t>SÖDERMANLANDS LÄN</t>
        </is>
      </c>
      <c r="G644" t="inlineStr">
        <is>
          <t>NYKÖPING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10622-2025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45721</v>
      </c>
      <c r="E645" s="1" t="n">
        <v>46217</v>
      </c>
      <c r="F645" t="inlineStr">
        <is>
          <t>SÖDERMANLANDS LÄN</t>
        </is>
      </c>
      <c r="G645" t="inlineStr">
        <is>
          <t>NYKÖPING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62948-2023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45271</v>
      </c>
      <c r="E646" s="1" t="n">
        <v>46217</v>
      </c>
      <c r="F646" t="inlineStr">
        <is>
          <t>SÖDERMANLANDS LÄN</t>
        </is>
      </c>
      <c r="G646" t="inlineStr">
        <is>
          <t>NYKÖPING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30695-2026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46211</v>
      </c>
      <c r="E647" s="1" t="n">
        <v>46217</v>
      </c>
      <c r="F647" t="inlineStr">
        <is>
          <t>SÖDERMANLANDS LÄN</t>
        </is>
      </c>
      <c r="G647" t="inlineStr">
        <is>
          <t>NYKÖPING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15047-2025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45743</v>
      </c>
      <c r="E648" s="1" t="n">
        <v>46217</v>
      </c>
      <c r="F648" t="inlineStr">
        <is>
          <t>SÖDERMANLANDS LÄN</t>
        </is>
      </c>
      <c r="G648" t="inlineStr">
        <is>
          <t>NYKÖPING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32594-2022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44783</v>
      </c>
      <c r="E649" s="1" t="n">
        <v>46217</v>
      </c>
      <c r="F649" t="inlineStr">
        <is>
          <t>SÖDERMANLANDS LÄN</t>
        </is>
      </c>
      <c r="G649" t="inlineStr">
        <is>
          <t>NYKÖPING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46737-2025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45926</v>
      </c>
      <c r="E650" s="1" t="n">
        <v>46217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9.4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63882-2023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45278</v>
      </c>
      <c r="E651" s="1" t="n">
        <v>46217</v>
      </c>
      <c r="F651" t="inlineStr">
        <is>
          <t>SÖDERMANLANDS LÄN</t>
        </is>
      </c>
      <c r="G651" t="inlineStr">
        <is>
          <t>NYKÖPING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30720-2026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46211</v>
      </c>
      <c r="E652" s="1" t="n">
        <v>46217</v>
      </c>
      <c r="F652" t="inlineStr">
        <is>
          <t>SÖDERMANLANDS LÄN</t>
        </is>
      </c>
      <c r="G652" t="inlineStr">
        <is>
          <t>NYKÖPING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18080-2026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46125</v>
      </c>
      <c r="E653" s="1" t="n">
        <v>46217</v>
      </c>
      <c r="F653" t="inlineStr">
        <is>
          <t>SÖDERMANLANDS LÄN</t>
        </is>
      </c>
      <c r="G653" t="inlineStr">
        <is>
          <t>NYKÖPING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9913-2022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44620</v>
      </c>
      <c r="E654" s="1" t="n">
        <v>46217</v>
      </c>
      <c r="F654" t="inlineStr">
        <is>
          <t>SÖDERMANLANDS LÄN</t>
        </is>
      </c>
      <c r="G654" t="inlineStr">
        <is>
          <t>NYKÖPING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998-2024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45301</v>
      </c>
      <c r="E655" s="1" t="n">
        <v>46217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Övriga Aktiebolag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57028-2024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45628</v>
      </c>
      <c r="E656" s="1" t="n">
        <v>46217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20131-2022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44698</v>
      </c>
      <c r="E657" s="1" t="n">
        <v>46217</v>
      </c>
      <c r="F657" t="inlineStr">
        <is>
          <t>SÖDERMANLANDS LÄN</t>
        </is>
      </c>
      <c r="G657" t="inlineStr">
        <is>
          <t>NYKÖPING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71555-2021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44540</v>
      </c>
      <c r="E658" s="1" t="n">
        <v>46217</v>
      </c>
      <c r="F658" t="inlineStr">
        <is>
          <t>SÖDERMANLANDS LÄN</t>
        </is>
      </c>
      <c r="G658" t="inlineStr">
        <is>
          <t>NYKÖPING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6976-2023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44967</v>
      </c>
      <c r="E659" s="1" t="n">
        <v>46217</v>
      </c>
      <c r="F659" t="inlineStr">
        <is>
          <t>SÖDERMANLANDS LÄN</t>
        </is>
      </c>
      <c r="G659" t="inlineStr">
        <is>
          <t>NYKÖPING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13967-2026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46217</v>
      </c>
      <c r="F660" t="inlineStr">
        <is>
          <t>SÖDERMANLANDS LÄN</t>
        </is>
      </c>
      <c r="G660" t="inlineStr">
        <is>
          <t>NYKÖPING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42246-2022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44830</v>
      </c>
      <c r="E661" s="1" t="n">
        <v>46217</v>
      </c>
      <c r="F661" t="inlineStr">
        <is>
          <t>SÖDERMANLANDS LÄN</t>
        </is>
      </c>
      <c r="G661" t="inlineStr">
        <is>
          <t>NYKÖPING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34218-2024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45524</v>
      </c>
      <c r="E662" s="1" t="n">
        <v>46217</v>
      </c>
      <c r="F662" t="inlineStr">
        <is>
          <t>SÖDERMANLANDS LÄN</t>
        </is>
      </c>
      <c r="G662" t="inlineStr">
        <is>
          <t>NYKÖPING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55506-2021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44475</v>
      </c>
      <c r="E663" s="1" t="n">
        <v>46217</v>
      </c>
      <c r="F663" t="inlineStr">
        <is>
          <t>SÖDERMANLANDS LÄN</t>
        </is>
      </c>
      <c r="G663" t="inlineStr">
        <is>
          <t>NYKÖPING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4406-2024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45327</v>
      </c>
      <c r="E664" s="1" t="n">
        <v>46217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Holmen skog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5521-2023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46217</v>
      </c>
      <c r="F665" t="inlineStr">
        <is>
          <t>SÖDERMANLANDS LÄN</t>
        </is>
      </c>
      <c r="G665" t="inlineStr">
        <is>
          <t>NYKÖPING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25334-2026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46176</v>
      </c>
      <c r="E666" s="1" t="n">
        <v>46217</v>
      </c>
      <c r="F666" t="inlineStr">
        <is>
          <t>SÖDERMANLANDS LÄN</t>
        </is>
      </c>
      <c r="G666" t="inlineStr">
        <is>
          <t>NYKÖPING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7223-2023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44970</v>
      </c>
      <c r="E667" s="1" t="n">
        <v>46217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25336-2026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46176</v>
      </c>
      <c r="E668" s="1" t="n">
        <v>46217</v>
      </c>
      <c r="F668" t="inlineStr">
        <is>
          <t>SÖDERMANLANDS LÄN</t>
        </is>
      </c>
      <c r="G668" t="inlineStr">
        <is>
          <t>NYKÖPING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33863-2022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44790</v>
      </c>
      <c r="E669" s="1" t="n">
        <v>46217</v>
      </c>
      <c r="F669" t="inlineStr">
        <is>
          <t>SÖDERMANLANDS LÄN</t>
        </is>
      </c>
      <c r="G669" t="inlineStr">
        <is>
          <t>NYKÖPING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53738-2022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44880</v>
      </c>
      <c r="E670" s="1" t="n">
        <v>46217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13963-2022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44650</v>
      </c>
      <c r="E671" s="1" t="n">
        <v>46217</v>
      </c>
      <c r="F671" t="inlineStr">
        <is>
          <t>SÖDERMANLANDS LÄN</t>
        </is>
      </c>
      <c r="G671" t="inlineStr">
        <is>
          <t>NYKÖPING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24497-2025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45798</v>
      </c>
      <c r="E672" s="1" t="n">
        <v>46217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43581-2022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44837</v>
      </c>
      <c r="E673" s="1" t="n">
        <v>46217</v>
      </c>
      <c r="F673" t="inlineStr">
        <is>
          <t>SÖDERMANLANDS LÄN</t>
        </is>
      </c>
      <c r="G673" t="inlineStr">
        <is>
          <t>NYKÖPING</t>
        </is>
      </c>
      <c r="I673" t="n">
        <v>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53569-2022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44879</v>
      </c>
      <c r="E674" s="1" t="n">
        <v>46217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Övriga Aktiebolag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25403-2026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46217</v>
      </c>
      <c r="F675" t="inlineStr">
        <is>
          <t>SÖDERMANLANDS LÄN</t>
        </is>
      </c>
      <c r="G675" t="inlineStr">
        <is>
          <t>NYKÖPING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53413-2022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44879</v>
      </c>
      <c r="E676" s="1" t="n">
        <v>46217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Övriga Aktiebolag</t>
        </is>
      </c>
      <c r="I676" t="n">
        <v>8.800000000000001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40291-2021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44419</v>
      </c>
      <c r="E677" s="1" t="n">
        <v>46217</v>
      </c>
      <c r="F677" t="inlineStr">
        <is>
          <t>SÖDERMANLANDS LÄN</t>
        </is>
      </c>
      <c r="G677" t="inlineStr">
        <is>
          <t>NYKÖPING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12800-2023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45001</v>
      </c>
      <c r="E678" s="1" t="n">
        <v>46217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Kyrkan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1707-2023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44938</v>
      </c>
      <c r="E679" s="1" t="n">
        <v>46217</v>
      </c>
      <c r="F679" t="inlineStr">
        <is>
          <t>SÖDERMANLANDS LÄN</t>
        </is>
      </c>
      <c r="G679" t="inlineStr">
        <is>
          <t>NYKÖPING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61618-2022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44916</v>
      </c>
      <c r="E680" s="1" t="n">
        <v>46217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15397-2023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45019</v>
      </c>
      <c r="E681" s="1" t="n">
        <v>46217</v>
      </c>
      <c r="F681" t="inlineStr">
        <is>
          <t>SÖDERMANLANDS LÄN</t>
        </is>
      </c>
      <c r="G681" t="inlineStr">
        <is>
          <t>NYKÖPING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38410-2022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44812</v>
      </c>
      <c r="E682" s="1" t="n">
        <v>46217</v>
      </c>
      <c r="F682" t="inlineStr">
        <is>
          <t>SÖDERMANLANDS LÄN</t>
        </is>
      </c>
      <c r="G682" t="inlineStr">
        <is>
          <t>NYKÖPING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38023-2021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44404</v>
      </c>
      <c r="E683" s="1" t="n">
        <v>46217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5642-2023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44960</v>
      </c>
      <c r="E684" s="1" t="n">
        <v>46217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1739-2023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44938</v>
      </c>
      <c r="E685" s="1" t="n">
        <v>46217</v>
      </c>
      <c r="F685" t="inlineStr">
        <is>
          <t>SÖDERMANLANDS LÄN</t>
        </is>
      </c>
      <c r="G685" t="inlineStr">
        <is>
          <t>NYKÖPING</t>
        </is>
      </c>
      <c r="I685" t="n">
        <v>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23114-2023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45075</v>
      </c>
      <c r="E686" s="1" t="n">
        <v>46217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Sveaskog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72985-2021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44549</v>
      </c>
      <c r="E687" s="1" t="n">
        <v>46217</v>
      </c>
      <c r="F687" t="inlineStr">
        <is>
          <t>SÖDERMANLANDS LÄN</t>
        </is>
      </c>
      <c r="G687" t="inlineStr">
        <is>
          <t>NYKÖPING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8407-2023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44977</v>
      </c>
      <c r="E688" s="1" t="n">
        <v>46217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Övriga Aktiebolag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51530-2022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44869</v>
      </c>
      <c r="E689" s="1" t="n">
        <v>46217</v>
      </c>
      <c r="F689" t="inlineStr">
        <is>
          <t>SÖDERMANLANDS LÄN</t>
        </is>
      </c>
      <c r="G689" t="inlineStr">
        <is>
          <t>NYKÖPING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39310-2023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45166</v>
      </c>
      <c r="E690" s="1" t="n">
        <v>46217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4854-2023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44957</v>
      </c>
      <c r="E691" s="1" t="n">
        <v>46217</v>
      </c>
      <c r="F691" t="inlineStr">
        <is>
          <t>SÖDERMANLANDS LÄN</t>
        </is>
      </c>
      <c r="G691" t="inlineStr">
        <is>
          <t>NYKÖPING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21257-2023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45062</v>
      </c>
      <c r="E692" s="1" t="n">
        <v>46217</v>
      </c>
      <c r="F692" t="inlineStr">
        <is>
          <t>SÖDERMANLANDS LÄN</t>
        </is>
      </c>
      <c r="G692" t="inlineStr">
        <is>
          <t>NYKÖPING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11068-2024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45370</v>
      </c>
      <c r="E693" s="1" t="n">
        <v>46217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Kommuner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46575-2021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44445</v>
      </c>
      <c r="E694" s="1" t="n">
        <v>46217</v>
      </c>
      <c r="F694" t="inlineStr">
        <is>
          <t>SÖDERMANLANDS LÄN</t>
        </is>
      </c>
      <c r="G694" t="inlineStr">
        <is>
          <t>NYKÖPING</t>
        </is>
      </c>
      <c r="I694" t="n">
        <v>19.1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51556-2024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45604</v>
      </c>
      <c r="E695" s="1" t="n">
        <v>46217</v>
      </c>
      <c r="F695" t="inlineStr">
        <is>
          <t>SÖDERMANLANDS LÄN</t>
        </is>
      </c>
      <c r="G695" t="inlineStr">
        <is>
          <t>NYKÖPING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3216-2023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44946</v>
      </c>
      <c r="E696" s="1" t="n">
        <v>46217</v>
      </c>
      <c r="F696" t="inlineStr">
        <is>
          <t>SÖDERMANLANDS LÄN</t>
        </is>
      </c>
      <c r="G696" t="inlineStr">
        <is>
          <t>NYKÖPING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18510-2024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45424</v>
      </c>
      <c r="E697" s="1" t="n">
        <v>46217</v>
      </c>
      <c r="F697" t="inlineStr">
        <is>
          <t>SÖDERMANLANDS LÄN</t>
        </is>
      </c>
      <c r="G697" t="inlineStr">
        <is>
          <t>NYKÖPING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5291-2023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44959</v>
      </c>
      <c r="E698" s="1" t="n">
        <v>46217</v>
      </c>
      <c r="F698" t="inlineStr">
        <is>
          <t>SÖDERMANLANDS LÄN</t>
        </is>
      </c>
      <c r="G698" t="inlineStr">
        <is>
          <t>NYKÖPING</t>
        </is>
      </c>
      <c r="I698" t="n">
        <v>6.5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42858-2021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44430</v>
      </c>
      <c r="E699" s="1" t="n">
        <v>46217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49942-2022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44865</v>
      </c>
      <c r="E700" s="1" t="n">
        <v>46217</v>
      </c>
      <c r="F700" t="inlineStr">
        <is>
          <t>SÖDERMANLANDS LÄN</t>
        </is>
      </c>
      <c r="G700" t="inlineStr">
        <is>
          <t>NYKÖPING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51880-2023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45216</v>
      </c>
      <c r="E701" s="1" t="n">
        <v>46217</v>
      </c>
      <c r="F701" t="inlineStr">
        <is>
          <t>SÖDERMANLANDS LÄN</t>
        </is>
      </c>
      <c r="G701" t="inlineStr">
        <is>
          <t>NYKÖPING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53374-2021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44468</v>
      </c>
      <c r="E702" s="1" t="n">
        <v>46217</v>
      </c>
      <c r="F702" t="inlineStr">
        <is>
          <t>SÖDERMANLANDS LÄN</t>
        </is>
      </c>
      <c r="G702" t="inlineStr">
        <is>
          <t>NYKÖPING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72666-2021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44546</v>
      </c>
      <c r="E703" s="1" t="n">
        <v>46217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7043-2023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44968</v>
      </c>
      <c r="E704" s="1" t="n">
        <v>46217</v>
      </c>
      <c r="F704" t="inlineStr">
        <is>
          <t>SÖDERMANLANDS LÄN</t>
        </is>
      </c>
      <c r="G704" t="inlineStr">
        <is>
          <t>NYKÖPING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5485-2023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44960</v>
      </c>
      <c r="E705" s="1" t="n">
        <v>46217</v>
      </c>
      <c r="F705" t="inlineStr">
        <is>
          <t>SÖDERMANLANDS LÄN</t>
        </is>
      </c>
      <c r="G705" t="inlineStr">
        <is>
          <t>NYKÖPING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6129-2023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44964</v>
      </c>
      <c r="E706" s="1" t="n">
        <v>46217</v>
      </c>
      <c r="F706" t="inlineStr">
        <is>
          <t>SÖDERMANLANDS LÄN</t>
        </is>
      </c>
      <c r="G706" t="inlineStr">
        <is>
          <t>NYKÖPING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39253-2023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45166</v>
      </c>
      <c r="E707" s="1" t="n">
        <v>46217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27563-2024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45474</v>
      </c>
      <c r="E708" s="1" t="n">
        <v>46217</v>
      </c>
      <c r="F708" t="inlineStr">
        <is>
          <t>SÖDERMANLANDS LÄN</t>
        </is>
      </c>
      <c r="G708" t="inlineStr">
        <is>
          <t>NYKÖPING</t>
        </is>
      </c>
      <c r="I708" t="n">
        <v>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72117-2021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44543</v>
      </c>
      <c r="E709" s="1" t="n">
        <v>46217</v>
      </c>
      <c r="F709" t="inlineStr">
        <is>
          <t>SÖDERMANLANDS LÄN</t>
        </is>
      </c>
      <c r="G709" t="inlineStr">
        <is>
          <t>NYKÖPING</t>
        </is>
      </c>
      <c r="I709" t="n">
        <v>14.9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50776-2022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44867</v>
      </c>
      <c r="E710" s="1" t="n">
        <v>46217</v>
      </c>
      <c r="F710" t="inlineStr">
        <is>
          <t>SÖDERMANLANDS LÄN</t>
        </is>
      </c>
      <c r="G710" t="inlineStr">
        <is>
          <t>NYKÖPING</t>
        </is>
      </c>
      <c r="I710" t="n">
        <v>13.4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9469-2022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44616</v>
      </c>
      <c r="E711" s="1" t="n">
        <v>46217</v>
      </c>
      <c r="F711" t="inlineStr">
        <is>
          <t>SÖDERMANLANDS LÄN</t>
        </is>
      </c>
      <c r="G711" t="inlineStr">
        <is>
          <t>NYKÖPING</t>
        </is>
      </c>
      <c r="I711" t="n">
        <v>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28973-2023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45096</v>
      </c>
      <c r="E712" s="1" t="n">
        <v>46217</v>
      </c>
      <c r="F712" t="inlineStr">
        <is>
          <t>SÖDERMANLANDS LÄN</t>
        </is>
      </c>
      <c r="G712" t="inlineStr">
        <is>
          <t>NYKÖPING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27915-2023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46217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27933-2023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45098</v>
      </c>
      <c r="E714" s="1" t="n">
        <v>46217</v>
      </c>
      <c r="F714" t="inlineStr">
        <is>
          <t>SÖDERMANLANDS LÄN</t>
        </is>
      </c>
      <c r="G714" t="inlineStr">
        <is>
          <t>NYKÖPING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27944-2023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45098</v>
      </c>
      <c r="E715" s="1" t="n">
        <v>46217</v>
      </c>
      <c r="F715" t="inlineStr">
        <is>
          <t>SÖDERMANLANDS LÄN</t>
        </is>
      </c>
      <c r="G715" t="inlineStr">
        <is>
          <t>NYKÖPING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16457-2023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45029</v>
      </c>
      <c r="E716" s="1" t="n">
        <v>46217</v>
      </c>
      <c r="F716" t="inlineStr">
        <is>
          <t>SÖDERMANLANDS LÄN</t>
        </is>
      </c>
      <c r="G716" t="inlineStr">
        <is>
          <t>NYKÖPING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67736-2021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44525</v>
      </c>
      <c r="E717" s="1" t="n">
        <v>46217</v>
      </c>
      <c r="F717" t="inlineStr">
        <is>
          <t>SÖDERMANLANDS LÄN</t>
        </is>
      </c>
      <c r="G717" t="inlineStr">
        <is>
          <t>NYKÖPING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51410-2022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44869</v>
      </c>
      <c r="E718" s="1" t="n">
        <v>46217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17372-2023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46217</v>
      </c>
      <c r="F719" t="inlineStr">
        <is>
          <t>SÖDERMANLANDS LÄN</t>
        </is>
      </c>
      <c r="G719" t="inlineStr">
        <is>
          <t>NYKÖPING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8340-2023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44976</v>
      </c>
      <c r="E720" s="1" t="n">
        <v>46217</v>
      </c>
      <c r="F720" t="inlineStr">
        <is>
          <t>SÖDERMANLANDS LÄN</t>
        </is>
      </c>
      <c r="G720" t="inlineStr">
        <is>
          <t>NYKÖPING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6125-2023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44964</v>
      </c>
      <c r="E721" s="1" t="n">
        <v>46217</v>
      </c>
      <c r="F721" t="inlineStr">
        <is>
          <t>SÖDERMANLANDS LÄN</t>
        </is>
      </c>
      <c r="G721" t="inlineStr">
        <is>
          <t>NYKÖPING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64159-2021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44510</v>
      </c>
      <c r="E722" s="1" t="n">
        <v>46217</v>
      </c>
      <c r="F722" t="inlineStr">
        <is>
          <t>SÖDERMANLANDS LÄN</t>
        </is>
      </c>
      <c r="G722" t="inlineStr">
        <is>
          <t>NYKÖPING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38054-2023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45160</v>
      </c>
      <c r="E723" s="1" t="n">
        <v>46217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Kommuner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38063-2023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45160</v>
      </c>
      <c r="E724" s="1" t="n">
        <v>46217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Kommuner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43657-2022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44837</v>
      </c>
      <c r="E725" s="1" t="n">
        <v>46217</v>
      </c>
      <c r="F725" t="inlineStr">
        <is>
          <t>SÖDERMANLANDS LÄN</t>
        </is>
      </c>
      <c r="G725" t="inlineStr">
        <is>
          <t>NYKÖPING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42368-2024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45564</v>
      </c>
      <c r="E726" s="1" t="n">
        <v>46217</v>
      </c>
      <c r="F726" t="inlineStr">
        <is>
          <t>SÖDERMANLANDS LÄN</t>
        </is>
      </c>
      <c r="G726" t="inlineStr">
        <is>
          <t>NYKÖPING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12153-2025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45729</v>
      </c>
      <c r="E727" s="1" t="n">
        <v>46217</v>
      </c>
      <c r="F727" t="inlineStr">
        <is>
          <t>SÖDERMANLANDS LÄN</t>
        </is>
      </c>
      <c r="G727" t="inlineStr">
        <is>
          <t>NYKÖPING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1804-2023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44938</v>
      </c>
      <c r="E728" s="1" t="n">
        <v>46217</v>
      </c>
      <c r="F728" t="inlineStr">
        <is>
          <t>SÖDERMANLANDS LÄN</t>
        </is>
      </c>
      <c r="G728" t="inlineStr">
        <is>
          <t>NYKÖPING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8573-2023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44977</v>
      </c>
      <c r="E729" s="1" t="n">
        <v>46217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Övriga Aktiebolag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64099-2021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44509</v>
      </c>
      <c r="E730" s="1" t="n">
        <v>46217</v>
      </c>
      <c r="F730" t="inlineStr">
        <is>
          <t>SÖDERMANLANDS LÄN</t>
        </is>
      </c>
      <c r="G730" t="inlineStr">
        <is>
          <t>NYKÖPING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57836-2023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45247</v>
      </c>
      <c r="E731" s="1" t="n">
        <v>46217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Övriga Aktiebolag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20985-2023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45061</v>
      </c>
      <c r="E732" s="1" t="n">
        <v>46217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2428-2022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44579</v>
      </c>
      <c r="E733" s="1" t="n">
        <v>46217</v>
      </c>
      <c r="F733" t="inlineStr">
        <is>
          <t>SÖDERMANLANDS LÄN</t>
        </is>
      </c>
      <c r="G733" t="inlineStr">
        <is>
          <t>NYKÖPING</t>
        </is>
      </c>
      <c r="I733" t="n">
        <v>10.8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2445-2022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44579</v>
      </c>
      <c r="E734" s="1" t="n">
        <v>46217</v>
      </c>
      <c r="F734" t="inlineStr">
        <is>
          <t>SÖDERMANLANDS LÄN</t>
        </is>
      </c>
      <c r="G734" t="inlineStr">
        <is>
          <t>NYKÖPING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10981-2024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45370</v>
      </c>
      <c r="E735" s="1" t="n">
        <v>46217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Kommuner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2517-2022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44579</v>
      </c>
      <c r="E736" s="1" t="n">
        <v>46217</v>
      </c>
      <c r="F736" t="inlineStr">
        <is>
          <t>SÖDERMANLANDS LÄN</t>
        </is>
      </c>
      <c r="G736" t="inlineStr">
        <is>
          <t>NYKÖPING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38846-2023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45163</v>
      </c>
      <c r="E737" s="1" t="n">
        <v>46217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2255-2022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44578</v>
      </c>
      <c r="E738" s="1" t="n">
        <v>46217</v>
      </c>
      <c r="F738" t="inlineStr">
        <is>
          <t>SÖDERMANLANDS LÄN</t>
        </is>
      </c>
      <c r="G738" t="inlineStr">
        <is>
          <t>NYKÖPING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33653-2024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45520</v>
      </c>
      <c r="E739" s="1" t="n">
        <v>46217</v>
      </c>
      <c r="F739" t="inlineStr">
        <is>
          <t>SÖDERMANLANDS LÄN</t>
        </is>
      </c>
      <c r="G739" t="inlineStr">
        <is>
          <t>NYKÖPING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21249-2023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46217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45282-2022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44844</v>
      </c>
      <c r="E741" s="1" t="n">
        <v>46217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35020-2023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45143</v>
      </c>
      <c r="E742" s="1" t="n">
        <v>46217</v>
      </c>
      <c r="F742" t="inlineStr">
        <is>
          <t>SÖDERMANLANDS LÄN</t>
        </is>
      </c>
      <c r="G742" t="inlineStr">
        <is>
          <t>NYKÖPING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24285-2022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44725</v>
      </c>
      <c r="E743" s="1" t="n">
        <v>46217</v>
      </c>
      <c r="F743" t="inlineStr">
        <is>
          <t>SÖDERMANLANDS LÄN</t>
        </is>
      </c>
      <c r="G743" t="inlineStr">
        <is>
          <t>NYKÖPING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14848-2024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45398</v>
      </c>
      <c r="E744" s="1" t="n">
        <v>46217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1407-2025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45667</v>
      </c>
      <c r="E745" s="1" t="n">
        <v>46217</v>
      </c>
      <c r="F745" t="inlineStr">
        <is>
          <t>SÖDERMANLANDS LÄN</t>
        </is>
      </c>
      <c r="G745" t="inlineStr">
        <is>
          <t>NYKÖPING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16881-2024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45410</v>
      </c>
      <c r="E746" s="1" t="n">
        <v>46217</v>
      </c>
      <c r="F746" t="inlineStr">
        <is>
          <t>SÖDERMANLANDS LÄN</t>
        </is>
      </c>
      <c r="G746" t="inlineStr">
        <is>
          <t>NYKÖPING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57621-2024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45630</v>
      </c>
      <c r="E747" s="1" t="n">
        <v>46217</v>
      </c>
      <c r="F747" t="inlineStr">
        <is>
          <t>SÖDERMANLANDS LÄN</t>
        </is>
      </c>
      <c r="G747" t="inlineStr">
        <is>
          <t>NYKÖPING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2255-2024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45310</v>
      </c>
      <c r="E748" s="1" t="n">
        <v>46217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Holmen skog AB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31401-2022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44774</v>
      </c>
      <c r="E749" s="1" t="n">
        <v>46217</v>
      </c>
      <c r="F749" t="inlineStr">
        <is>
          <t>SÖDERMANLANDS LÄN</t>
        </is>
      </c>
      <c r="G749" t="inlineStr">
        <is>
          <t>NYKÖPING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7036-2023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44968</v>
      </c>
      <c r="E750" s="1" t="n">
        <v>46217</v>
      </c>
      <c r="F750" t="inlineStr">
        <is>
          <t>SÖDERMANLANDS LÄN</t>
        </is>
      </c>
      <c r="G750" t="inlineStr">
        <is>
          <t>NYKÖPING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18604-2023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45043</v>
      </c>
      <c r="E751" s="1" t="n">
        <v>46217</v>
      </c>
      <c r="F751" t="inlineStr">
        <is>
          <t>SÖDERMANLANDS LÄN</t>
        </is>
      </c>
      <c r="G751" t="inlineStr">
        <is>
          <t>NYKÖPING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53800-2022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44880</v>
      </c>
      <c r="E752" s="1" t="n">
        <v>46217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Övriga Aktiebolag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10211-2024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45364</v>
      </c>
      <c r="E753" s="1" t="n">
        <v>46217</v>
      </c>
      <c r="F753" t="inlineStr">
        <is>
          <t>SÖDERMANLANDS LÄN</t>
        </is>
      </c>
      <c r="G753" t="inlineStr">
        <is>
          <t>NYKÖPING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54183-2022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44881</v>
      </c>
      <c r="E754" s="1" t="n">
        <v>46217</v>
      </c>
      <c r="F754" t="inlineStr">
        <is>
          <t>SÖDERMANLANDS LÄN</t>
        </is>
      </c>
      <c r="G754" t="inlineStr">
        <is>
          <t>NYKÖPING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18478-2025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45762</v>
      </c>
      <c r="E755" s="1" t="n">
        <v>46217</v>
      </c>
      <c r="F755" t="inlineStr">
        <is>
          <t>SÖDERMANLANDS LÄN</t>
        </is>
      </c>
      <c r="G755" t="inlineStr">
        <is>
          <t>NYKÖPING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36000-2023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45148</v>
      </c>
      <c r="E756" s="1" t="n">
        <v>46217</v>
      </c>
      <c r="F756" t="inlineStr">
        <is>
          <t>SÖDERMANLANDS LÄN</t>
        </is>
      </c>
      <c r="G756" t="inlineStr">
        <is>
          <t>NYKÖPING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32875-2022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44784</v>
      </c>
      <c r="E757" s="1" t="n">
        <v>46217</v>
      </c>
      <c r="F757" t="inlineStr">
        <is>
          <t>SÖDERMANLANDS LÄN</t>
        </is>
      </c>
      <c r="G757" t="inlineStr">
        <is>
          <t>NYKÖPING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21137-2023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45062</v>
      </c>
      <c r="E758" s="1" t="n">
        <v>46217</v>
      </c>
      <c r="F758" t="inlineStr">
        <is>
          <t>SÖDERMANLANDS LÄN</t>
        </is>
      </c>
      <c r="G758" t="inlineStr">
        <is>
          <t>NYKÖPING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10639-2025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45721</v>
      </c>
      <c r="E759" s="1" t="n">
        <v>46217</v>
      </c>
      <c r="F759" t="inlineStr">
        <is>
          <t>SÖDERMANLANDS LÄN</t>
        </is>
      </c>
      <c r="G759" t="inlineStr">
        <is>
          <t>NYKÖPING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926-2023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44932</v>
      </c>
      <c r="E760" s="1" t="n">
        <v>46217</v>
      </c>
      <c r="F760" t="inlineStr">
        <is>
          <t>SÖDERMANLANDS LÄN</t>
        </is>
      </c>
      <c r="G760" t="inlineStr">
        <is>
          <t>NYKÖPING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929-2023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44932</v>
      </c>
      <c r="E761" s="1" t="n">
        <v>46217</v>
      </c>
      <c r="F761" t="inlineStr">
        <is>
          <t>SÖDERMANLANDS LÄN</t>
        </is>
      </c>
      <c r="G761" t="inlineStr">
        <is>
          <t>NYKÖPING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2368-2023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44942</v>
      </c>
      <c r="E762" s="1" t="n">
        <v>46217</v>
      </c>
      <c r="F762" t="inlineStr">
        <is>
          <t>SÖDERMANLANDS LÄN</t>
        </is>
      </c>
      <c r="G762" t="inlineStr">
        <is>
          <t>NYKÖPING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41288-2023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45174</v>
      </c>
      <c r="E763" s="1" t="n">
        <v>46217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31392-2022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44774</v>
      </c>
      <c r="E764" s="1" t="n">
        <v>46217</v>
      </c>
      <c r="F764" t="inlineStr">
        <is>
          <t>SÖDERMANLANDS LÄN</t>
        </is>
      </c>
      <c r="G764" t="inlineStr">
        <is>
          <t>NYKÖPING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42251-2022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44830</v>
      </c>
      <c r="E765" s="1" t="n">
        <v>46217</v>
      </c>
      <c r="F765" t="inlineStr">
        <is>
          <t>SÖDERMANLANDS LÄN</t>
        </is>
      </c>
      <c r="G765" t="inlineStr">
        <is>
          <t>NYKÖPING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6348-2023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44965</v>
      </c>
      <c r="E766" s="1" t="n">
        <v>46217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Kyrkan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37361-2024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45540</v>
      </c>
      <c r="E767" s="1" t="n">
        <v>46217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Holmen skog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12139-2025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45729</v>
      </c>
      <c r="E768" s="1" t="n">
        <v>46217</v>
      </c>
      <c r="F768" t="inlineStr">
        <is>
          <t>SÖDERMANLANDS LÄN</t>
        </is>
      </c>
      <c r="G768" t="inlineStr">
        <is>
          <t>NYKÖPING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12140-2025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45729</v>
      </c>
      <c r="E769" s="1" t="n">
        <v>46217</v>
      </c>
      <c r="F769" t="inlineStr">
        <is>
          <t>SÖDERMANLANDS LÄN</t>
        </is>
      </c>
      <c r="G769" t="inlineStr">
        <is>
          <t>NYKÖPING</t>
        </is>
      </c>
      <c r="I769" t="n">
        <v>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62432-2023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45268</v>
      </c>
      <c r="E770" s="1" t="n">
        <v>46217</v>
      </c>
      <c r="F770" t="inlineStr">
        <is>
          <t>SÖDERMANLANDS LÄN</t>
        </is>
      </c>
      <c r="G770" t="inlineStr">
        <is>
          <t>NYKÖPING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65174-2023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45288</v>
      </c>
      <c r="E771" s="1" t="n">
        <v>46217</v>
      </c>
      <c r="F771" t="inlineStr">
        <is>
          <t>SÖDERMANLANDS LÄN</t>
        </is>
      </c>
      <c r="G771" t="inlineStr">
        <is>
          <t>NYKÖPING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68500-2021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44529</v>
      </c>
      <c r="E772" s="1" t="n">
        <v>46217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13.1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39429-2021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44414</v>
      </c>
      <c r="E773" s="1" t="n">
        <v>46217</v>
      </c>
      <c r="F773" t="inlineStr">
        <is>
          <t>SÖDERMANLANDS LÄN</t>
        </is>
      </c>
      <c r="G773" t="inlineStr">
        <is>
          <t>NYKÖPING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42856-2021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44430</v>
      </c>
      <c r="E774" s="1" t="n">
        <v>46217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12826-2024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45384</v>
      </c>
      <c r="E775" s="1" t="n">
        <v>46217</v>
      </c>
      <c r="F775" t="inlineStr">
        <is>
          <t>SÖDERMANLANDS LÄN</t>
        </is>
      </c>
      <c r="G775" t="inlineStr">
        <is>
          <t>NYKÖPING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29551-2023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45106</v>
      </c>
      <c r="E776" s="1" t="n">
        <v>46217</v>
      </c>
      <c r="F776" t="inlineStr">
        <is>
          <t>SÖDERMANLANDS LÄN</t>
        </is>
      </c>
      <c r="G776" t="inlineStr">
        <is>
          <t>NYKÖPING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1558-2024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45306</v>
      </c>
      <c r="E777" s="1" t="n">
        <v>46217</v>
      </c>
      <c r="F777" t="inlineStr">
        <is>
          <t>SÖDERMANLANDS LÄN</t>
        </is>
      </c>
      <c r="G777" t="inlineStr">
        <is>
          <t>NYKÖPING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51259-2024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45603</v>
      </c>
      <c r="E778" s="1" t="n">
        <v>46217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Sveaskog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21984-2024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45443</v>
      </c>
      <c r="E779" s="1" t="n">
        <v>46217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18525-2024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45424</v>
      </c>
      <c r="E780" s="1" t="n">
        <v>46217</v>
      </c>
      <c r="F780" t="inlineStr">
        <is>
          <t>SÖDERMANLANDS LÄN</t>
        </is>
      </c>
      <c r="G780" t="inlineStr">
        <is>
          <t>NYKÖPING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3571-2023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44950</v>
      </c>
      <c r="E781" s="1" t="n">
        <v>46217</v>
      </c>
      <c r="F781" t="inlineStr">
        <is>
          <t>SÖDERMANLANDS LÄN</t>
        </is>
      </c>
      <c r="G781" t="inlineStr">
        <is>
          <t>NYKÖPING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8324-2024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45350</v>
      </c>
      <c r="E782" s="1" t="n">
        <v>46217</v>
      </c>
      <c r="F782" t="inlineStr">
        <is>
          <t>SÖDERMANLANDS LÄN</t>
        </is>
      </c>
      <c r="G782" t="inlineStr">
        <is>
          <t>NYKÖPING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2900-2024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45315</v>
      </c>
      <c r="E783" s="1" t="n">
        <v>46217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Kyrkan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44824-2023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45190</v>
      </c>
      <c r="E784" s="1" t="n">
        <v>46217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Holmen skog AB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7045-2023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44968</v>
      </c>
      <c r="E785" s="1" t="n">
        <v>46217</v>
      </c>
      <c r="F785" t="inlineStr">
        <is>
          <t>SÖDERMANLANDS LÄN</t>
        </is>
      </c>
      <c r="G785" t="inlineStr">
        <is>
          <t>NYKÖPING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20482-2025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45775</v>
      </c>
      <c r="E786" s="1" t="n">
        <v>46217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Kommuner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58553-2024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45635</v>
      </c>
      <c r="E787" s="1" t="n">
        <v>46217</v>
      </c>
      <c r="F787" t="inlineStr">
        <is>
          <t>SÖDERMANLANDS LÄN</t>
        </is>
      </c>
      <c r="G787" t="inlineStr">
        <is>
          <t>NYKÖPING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34203-2024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45524</v>
      </c>
      <c r="E788" s="1" t="n">
        <v>46217</v>
      </c>
      <c r="F788" t="inlineStr">
        <is>
          <t>SÖDERMANLANDS LÄN</t>
        </is>
      </c>
      <c r="G788" t="inlineStr">
        <is>
          <t>NYKÖPING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59148-2024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45637</v>
      </c>
      <c r="E789" s="1" t="n">
        <v>46217</v>
      </c>
      <c r="F789" t="inlineStr">
        <is>
          <t>SÖDERMANLANDS LÄN</t>
        </is>
      </c>
      <c r="G789" t="inlineStr">
        <is>
          <t>NYKÖPING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42977-2021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44430</v>
      </c>
      <c r="E790" s="1" t="n">
        <v>46217</v>
      </c>
      <c r="F790" t="inlineStr">
        <is>
          <t>SÖDERMANLANDS LÄN</t>
        </is>
      </c>
      <c r="G790" t="inlineStr">
        <is>
          <t>NYKÖPING</t>
        </is>
      </c>
      <c r="I790" t="n">
        <v>25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53071-2024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45611</v>
      </c>
      <c r="E791" s="1" t="n">
        <v>46217</v>
      </c>
      <c r="F791" t="inlineStr">
        <is>
          <t>SÖDERMANLANDS LÄN</t>
        </is>
      </c>
      <c r="G791" t="inlineStr">
        <is>
          <t>NYKÖPING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55865-2023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45239</v>
      </c>
      <c r="E792" s="1" t="n">
        <v>46217</v>
      </c>
      <c r="F792" t="inlineStr">
        <is>
          <t>SÖDERMANLANDS LÄN</t>
        </is>
      </c>
      <c r="G792" t="inlineStr">
        <is>
          <t>NYKÖPING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2059-2025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45672</v>
      </c>
      <c r="E793" s="1" t="n">
        <v>46217</v>
      </c>
      <c r="F793" t="inlineStr">
        <is>
          <t>SÖDERMANLANDS LÄN</t>
        </is>
      </c>
      <c r="G793" t="inlineStr">
        <is>
          <t>NYKÖPING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12844-2025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45733</v>
      </c>
      <c r="E794" s="1" t="n">
        <v>46217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Holmen skog AB</t>
        </is>
      </c>
      <c r="I794" t="n">
        <v>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27947-2025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45817</v>
      </c>
      <c r="E795" s="1" t="n">
        <v>46217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27874-2025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45817</v>
      </c>
      <c r="E796" s="1" t="n">
        <v>46217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27805-2025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45817</v>
      </c>
      <c r="E797" s="1" t="n">
        <v>46217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Holmen skog AB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28646-2025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45819</v>
      </c>
      <c r="E798" s="1" t="n">
        <v>46217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Sveaskog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15056-2025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45743</v>
      </c>
      <c r="E799" s="1" t="n">
        <v>46217</v>
      </c>
      <c r="F799" t="inlineStr">
        <is>
          <t>SÖDERMANLANDS LÄN</t>
        </is>
      </c>
      <c r="G799" t="inlineStr">
        <is>
          <t>NYKÖPING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30034-2025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45826</v>
      </c>
      <c r="E800" s="1" t="n">
        <v>46217</v>
      </c>
      <c r="F800" t="inlineStr">
        <is>
          <t>SÖDERMANLANDS LÄN</t>
        </is>
      </c>
      <c r="G800" t="inlineStr">
        <is>
          <t>NYKÖPING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31034-2025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45831</v>
      </c>
      <c r="E801" s="1" t="n">
        <v>46217</v>
      </c>
      <c r="F801" t="inlineStr">
        <is>
          <t>SÖDERMANLANDS LÄN</t>
        </is>
      </c>
      <c r="G801" t="inlineStr">
        <is>
          <t>NYKÖPING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30706-2025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45831</v>
      </c>
      <c r="E802" s="1" t="n">
        <v>46217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Sveaskog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31923-2025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45834</v>
      </c>
      <c r="E803" s="1" t="n">
        <v>46217</v>
      </c>
      <c r="F803" t="inlineStr">
        <is>
          <t>SÖDERMANLANDS LÄN</t>
        </is>
      </c>
      <c r="G803" t="inlineStr">
        <is>
          <t>NYKÖPING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31929-2025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46217</v>
      </c>
      <c r="F804" t="inlineStr">
        <is>
          <t>SÖDERMANLANDS LÄN</t>
        </is>
      </c>
      <c r="G804" t="inlineStr">
        <is>
          <t>NYKÖPING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31922-2025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45834</v>
      </c>
      <c r="E805" s="1" t="n">
        <v>46217</v>
      </c>
      <c r="F805" t="inlineStr">
        <is>
          <t>SÖDERMANLANDS LÄN</t>
        </is>
      </c>
      <c r="G805" t="inlineStr">
        <is>
          <t>NYKÖPING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31928-2025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46217</v>
      </c>
      <c r="F806" t="inlineStr">
        <is>
          <t>SÖDERMANLANDS LÄN</t>
        </is>
      </c>
      <c r="G806" t="inlineStr">
        <is>
          <t>NYKÖPING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33767-2025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45842</v>
      </c>
      <c r="E807" s="1" t="n">
        <v>46217</v>
      </c>
      <c r="F807" t="inlineStr">
        <is>
          <t>SÖDERMANLANDS LÄN</t>
        </is>
      </c>
      <c r="G807" t="inlineStr">
        <is>
          <t>NYKÖPING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33773-2025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45842</v>
      </c>
      <c r="E808" s="1" t="n">
        <v>46217</v>
      </c>
      <c r="F808" t="inlineStr">
        <is>
          <t>SÖDERMANLANDS LÄN</t>
        </is>
      </c>
      <c r="G808" t="inlineStr">
        <is>
          <t>NYKÖPING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33382-2025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45841</v>
      </c>
      <c r="E809" s="1" t="n">
        <v>46217</v>
      </c>
      <c r="F809" t="inlineStr">
        <is>
          <t>SÖDERMANLANDS LÄN</t>
        </is>
      </c>
      <c r="G809" t="inlineStr">
        <is>
          <t>NYKÖPING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33762-2025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45842</v>
      </c>
      <c r="E810" s="1" t="n">
        <v>46217</v>
      </c>
      <c r="F810" t="inlineStr">
        <is>
          <t>SÖDERMANLANDS LÄN</t>
        </is>
      </c>
      <c r="G810" t="inlineStr">
        <is>
          <t>NYKÖPING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33764-2025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45842</v>
      </c>
      <c r="E811" s="1" t="n">
        <v>46217</v>
      </c>
      <c r="F811" t="inlineStr">
        <is>
          <t>SÖDERMANLANDS LÄN</t>
        </is>
      </c>
      <c r="G811" t="inlineStr">
        <is>
          <t>NYKÖPING</t>
        </is>
      </c>
      <c r="I811" t="n">
        <v>6.2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34012-2025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45844</v>
      </c>
      <c r="E812" s="1" t="n">
        <v>46217</v>
      </c>
      <c r="F812" t="inlineStr">
        <is>
          <t>SÖDERMANLANDS LÄN</t>
        </is>
      </c>
      <c r="G812" t="inlineStr">
        <is>
          <t>NYKÖPING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13763-2025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45737</v>
      </c>
      <c r="E813" s="1" t="n">
        <v>46217</v>
      </c>
      <c r="F813" t="inlineStr">
        <is>
          <t>SÖDERMANLANDS LÄN</t>
        </is>
      </c>
      <c r="G813" t="inlineStr">
        <is>
          <t>NYKÖPING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35732-2025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45860</v>
      </c>
      <c r="E814" s="1" t="n">
        <v>46217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Holmen skog AB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2687-2023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44944</v>
      </c>
      <c r="E815" s="1" t="n">
        <v>46217</v>
      </c>
      <c r="F815" t="inlineStr">
        <is>
          <t>SÖDERMANLANDS LÄN</t>
        </is>
      </c>
      <c r="G815" t="inlineStr">
        <is>
          <t>NYKÖPING</t>
        </is>
      </c>
      <c r="I815" t="n">
        <v>14.9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1999-2020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44092</v>
      </c>
      <c r="E816" s="1" t="n">
        <v>46217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Kommuner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1573-2020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44013</v>
      </c>
      <c r="E817" s="1" t="n">
        <v>46217</v>
      </c>
      <c r="F817" t="inlineStr">
        <is>
          <t>SÖDERMANLANDS LÄN</t>
        </is>
      </c>
      <c r="G817" t="inlineStr">
        <is>
          <t>NYKÖPING</t>
        </is>
      </c>
      <c r="I817" t="n">
        <v>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2311-2022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44684</v>
      </c>
      <c r="E818" s="1" t="n">
        <v>46217</v>
      </c>
      <c r="F818" t="inlineStr">
        <is>
          <t>SÖDERMANLANDS LÄN</t>
        </is>
      </c>
      <c r="G818" t="inlineStr">
        <is>
          <t>NYKÖPING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3579-2022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44735</v>
      </c>
      <c r="E819" s="1" t="n">
        <v>46217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3783-2023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45223</v>
      </c>
      <c r="E820" s="1" t="n">
        <v>46217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Sveaskog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220-2023</t>
        </is>
      </c>
      <c r="B821" t="inlineStr">
        <is>
          <t>samrådsanmälan</t>
        </is>
      </c>
      <c r="C821" t="inlineStr">
        <is>
          <t>Stubbskörd</t>
        </is>
      </c>
      <c r="D821" s="1" t="n">
        <v>44949</v>
      </c>
      <c r="E821" s="1" t="n">
        <v>46217</v>
      </c>
      <c r="F821" t="inlineStr">
        <is>
          <t>SÖDERMANLANDS LÄN</t>
        </is>
      </c>
      <c r="G821" t="inlineStr">
        <is>
          <t>NYKÖPING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1224-2023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45029</v>
      </c>
      <c r="E822" s="1" t="n">
        <v>46217</v>
      </c>
      <c r="F822" t="inlineStr">
        <is>
          <t>SÖDERMANLANDS LÄN</t>
        </is>
      </c>
      <c r="G822" t="inlineStr">
        <is>
          <t>NYKÖPING</t>
        </is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633-2025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45714</v>
      </c>
      <c r="E823" s="1" t="n">
        <v>46217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Holmen skog AB</t>
        </is>
      </c>
      <c r="I823" t="n">
        <v>39.6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3071-2024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45517</v>
      </c>
      <c r="E824" s="1" t="n">
        <v>46217</v>
      </c>
      <c r="F824" t="inlineStr">
        <is>
          <t>SÖDERMANLANDS LÄN</t>
        </is>
      </c>
      <c r="G824" t="inlineStr">
        <is>
          <t>NYKÖPING</t>
        </is>
      </c>
      <c r="H824" t="inlineStr">
        <is>
          <t>Sveaskog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2818-2025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45939</v>
      </c>
      <c r="E825" s="1" t="n">
        <v>46217</v>
      </c>
      <c r="F825" t="inlineStr">
        <is>
          <t>SÖDERMANLANDS LÄN</t>
        </is>
      </c>
      <c r="G825" t="inlineStr">
        <is>
          <t>NYKÖPING</t>
        </is>
      </c>
      <c r="H825" t="inlineStr">
        <is>
          <t>Sveaskog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248-2026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46050</v>
      </c>
      <c r="E826" s="1" t="n">
        <v>46217</v>
      </c>
      <c r="F826" t="inlineStr">
        <is>
          <t>SÖDERMANLANDS LÄN</t>
        </is>
      </c>
      <c r="G826" t="inlineStr">
        <is>
          <t>NYKÖPING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>
      <c r="A827" t="inlineStr">
        <is>
          <t>S 641-2026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46090</v>
      </c>
      <c r="E827" s="1" t="n">
        <v>46217</v>
      </c>
      <c r="F827" t="inlineStr">
        <is>
          <t>SÖDERMANLANDS LÄN</t>
        </is>
      </c>
      <c r="G827" t="inlineStr">
        <is>
          <t>NYKÖPING</t>
        </is>
      </c>
      <c r="I827" t="n">
        <v>46.2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2026-07-14T09:01:00Z</dcterms:created>
  <dcterms:modified xmlns:dcterms="http://purl.org/dc/terms/" xmlns:xsi="http://www.w3.org/2001/XMLSchema-instance" xsi:type="dcterms:W3CDTF">2026-07-14T09:01:01Z</dcterms:modified>
</cp:coreProperties>
</file>