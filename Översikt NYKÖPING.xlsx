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46322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46322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46322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46322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46322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46322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46322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46322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39773-2026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46290</v>
      </c>
      <c r="E10" s="1" t="n">
        <v>46322</v>
      </c>
      <c r="F10" t="inlineStr">
        <is>
          <t>SÖDERMANLANDS LÄN</t>
        </is>
      </c>
      <c r="G10" t="inlineStr">
        <is>
          <t>NYKÖPING</t>
        </is>
      </c>
      <c r="H10" t="inlineStr">
        <is>
          <t>Holmen skog AB</t>
        </is>
      </c>
      <c r="I10" t="n">
        <v>3.6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9</v>
      </c>
      <c r="U10" t="n">
        <v>4</v>
      </c>
      <c r="V10" s="2" t="inlineStr">
        <is>
          <t>Månlåsbräken
Talltita
Blåmossa
Mindre märgborre
Järpe
Spillkråka
Grönsiska</t>
        </is>
      </c>
      <c r="W10">
        <f>HYPERLINK("https://klasma.github.io/Logging_0480/artfynd/A 39773-2026 artfynd.xlsx", "A 39773-2026")</f>
        <v/>
      </c>
      <c r="X10">
        <f>HYPERLINK("https://klasma.github.io/Logging_0480/kartor/A 39773-2026 karta.png", "A 39773-2026")</f>
        <v/>
      </c>
      <c r="Y10">
        <f>HYPERLINK("https://klasma.github.io/Logging_0480/kartor_geotiff/A 39773-2026 georefererad karta.tif", "A 39773-2026")</f>
        <v/>
      </c>
      <c r="AA10">
        <f>HYPERLINK("https://klasma.github.io/Logging_0480/klagomål/A 39773-2026 FSC-klagomål.docx", "A 39773-2026")</f>
        <v/>
      </c>
      <c r="AB10">
        <f>HYPERLINK("https://klasma.github.io/Logging_0480/klagomålsmail/A 39773-2026 FSC-klagomål mail.docx", "A 39773-2026")</f>
        <v/>
      </c>
      <c r="AC10">
        <f>HYPERLINK("https://klasma.github.io/Logging_0480/tillsyn/A 39773-2026 tillsynsbegäran.docx", "A 39773-2026")</f>
        <v/>
      </c>
      <c r="AD10">
        <f>HYPERLINK("https://klasma.github.io/Logging_0480/tillsynsmail/A 39773-2026 tillsynsbegäran mail.docx", "A 39773-2026")</f>
        <v/>
      </c>
      <c r="AE10">
        <f>HYPERLINK("https://klasma.github.io/Logging_0480/fåglar/A 39773-2026 prioriterade fågelarter.docx", "A 39773-2026")</f>
        <v/>
      </c>
    </row>
    <row r="11" ht="15" customHeight="1">
      <c r="A11" t="inlineStr">
        <is>
          <t>A 25183-2022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46322</v>
      </c>
      <c r="F11" t="inlineStr">
        <is>
          <t>SÖDERMANLANDS LÄN</t>
        </is>
      </c>
      <c r="G11" t="inlineStr">
        <is>
          <t>NYKÖPING</t>
        </is>
      </c>
      <c r="I11" t="n">
        <v>3</v>
      </c>
      <c r="J11" t="n">
        <v>0</v>
      </c>
      <c r="K11" t="n">
        <v>4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7</v>
      </c>
      <c r="U11" t="n">
        <v>2</v>
      </c>
      <c r="V11" s="2" t="inlineStr">
        <is>
          <t>Ask
Backtimjan
Svinrot
Blåmossa
Gulvaxing
Toppvaxing
Ängsvaxing agg.</t>
        </is>
      </c>
      <c r="W11">
        <f>HYPERLINK("https://klasma.github.io/Logging_0480/artfynd/A 25183-2022 artfynd.xlsx", "A 25183-2022")</f>
        <v/>
      </c>
      <c r="X11">
        <f>HYPERLINK("https://klasma.github.io/Logging_0480/kartor/A 25183-2022 karta.png", "A 25183-2022")</f>
        <v/>
      </c>
      <c r="Y11">
        <f>HYPERLINK("https://klasma.github.io/Logging_0480/kartor_geotiff/A 25183-2022 georefererad karta.tif", "A 25183-2022")</f>
        <v/>
      </c>
      <c r="AA11">
        <f>HYPERLINK("https://klasma.github.io/Logging_0480/klagomål/A 25183-2022 FSC-klagomål.docx", "A 25183-2022")</f>
        <v/>
      </c>
      <c r="AB11">
        <f>HYPERLINK("https://klasma.github.io/Logging_0480/klagomålsmail/A 25183-2022 FSC-klagomål mail.docx", "A 25183-2022")</f>
        <v/>
      </c>
      <c r="AC11">
        <f>HYPERLINK("https://klasma.github.io/Logging_0480/tillsyn/A 25183-2022 tillsynsbegäran.docx", "A 25183-2022")</f>
        <v/>
      </c>
      <c r="AD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46322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46322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46322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46322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46322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39776-2026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46290</v>
      </c>
      <c r="E17" s="1" t="n">
        <v>46322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2.3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6</v>
      </c>
      <c r="T17" t="n">
        <v>7</v>
      </c>
      <c r="U17" t="n">
        <v>7</v>
      </c>
      <c r="V17" s="2" t="inlineStr">
        <is>
          <t>Fjällig taggsvamp s.str.
Motaggsvamp
Mindre märgborre
Järpe
Spillkråka
Timmerticka</t>
        </is>
      </c>
      <c r="W17">
        <f>HYPERLINK("https://klasma.github.io/Logging_0480/artfynd/A 39776-2026 artfynd.xlsx", "A 39776-2026")</f>
        <v/>
      </c>
      <c r="X17">
        <f>HYPERLINK("https://klasma.github.io/Logging_0480/kartor/A 39776-2026 karta.png", "A 39776-2026")</f>
        <v/>
      </c>
      <c r="Y17">
        <f>HYPERLINK("https://klasma.github.io/Logging_0480/kartor_geotiff/A 39776-2026 georefererad karta.tif", "A 39776-2026")</f>
        <v/>
      </c>
      <c r="AA17">
        <f>HYPERLINK("https://klasma.github.io/Logging_0480/klagomål/A 39776-2026 FSC-klagomål.docx", "A 39776-2026")</f>
        <v/>
      </c>
      <c r="AB17">
        <f>HYPERLINK("https://klasma.github.io/Logging_0480/klagomålsmail/A 39776-2026 FSC-klagomål mail.docx", "A 39776-2026")</f>
        <v/>
      </c>
      <c r="AC17">
        <f>HYPERLINK("https://klasma.github.io/Logging_0480/tillsyn/A 39776-2026 tillsynsbegäran.docx", "A 39776-2026")</f>
        <v/>
      </c>
      <c r="AD17">
        <f>HYPERLINK("https://klasma.github.io/Logging_0480/tillsynsmail/A 39776-2026 tillsynsbegäran mail.docx", "A 39776-2026")</f>
        <v/>
      </c>
      <c r="AE17">
        <f>HYPERLINK("https://klasma.github.io/Logging_0480/fåglar/A 39776-2026 prioriterade fågelarter.docx", "A 39776-2026")</f>
        <v/>
      </c>
    </row>
    <row r="18" ht="15" customHeight="1">
      <c r="A18" t="inlineStr">
        <is>
          <t>A 56727-2025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45978</v>
      </c>
      <c r="E18" s="1" t="n">
        <v>46322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2.9</v>
      </c>
      <c r="J18" t="n">
        <v>6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6</v>
      </c>
      <c r="T18" t="n">
        <v>24</v>
      </c>
      <c r="U18" t="n">
        <v>5</v>
      </c>
      <c r="V18" s="2" t="inlineStr">
        <is>
          <t>Hasselsnok
Sandödla
Huggorm
Kopparödla
Skogsödla
Vanlig snok</t>
        </is>
      </c>
      <c r="W18">
        <f>HYPERLINK("https://klasma.github.io/Logging_0480/artfynd/A 56727-2025 artfynd.xlsx", "A 56727-2025")</f>
        <v/>
      </c>
      <c r="X18">
        <f>HYPERLINK("https://klasma.github.io/Logging_0480/kartor/A 56727-2025 karta.png", "A 56727-2025")</f>
        <v/>
      </c>
      <c r="Y18">
        <f>HYPERLINK("https://klasma.github.io/Logging_0480/kartor_geotiff/A 56727-2025 georefererad karta.tif", "A 56727-2025")</f>
        <v/>
      </c>
      <c r="AA18">
        <f>HYPERLINK("https://klasma.github.io/Logging_0480/klagomål/A 56727-2025 FSC-klagomål.docx", "A 56727-2025")</f>
        <v/>
      </c>
      <c r="AB18">
        <f>HYPERLINK("https://klasma.github.io/Logging_0480/klagomålsmail/A 56727-2025 FSC-klagomål mail.docx", "A 56727-2025")</f>
        <v/>
      </c>
      <c r="AC18">
        <f>HYPERLINK("https://klasma.github.io/Logging_0480/tillsyn/A 56727-2025 tillsynsbegäran.docx", "A 56727-2025")</f>
        <v/>
      </c>
      <c r="AD18">
        <f>HYPERLINK("https://klasma.github.io/Logging_0480/tillsynsmail/A 56727-2025 tillsynsbegäran mail.docx", "A 56727-2025")</f>
        <v/>
      </c>
    </row>
    <row r="19" ht="15" customHeight="1">
      <c r="A19" t="inlineStr">
        <is>
          <t>A 29797-2024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45485</v>
      </c>
      <c r="E19" s="1" t="n">
        <v>46322</v>
      </c>
      <c r="F19" t="inlineStr">
        <is>
          <t>SÖDERMANLANDS LÄN</t>
        </is>
      </c>
      <c r="G19" t="inlineStr">
        <is>
          <t>NYKÖPING</t>
        </is>
      </c>
      <c r="I19" t="n">
        <v>22.2</v>
      </c>
      <c r="J19" t="n">
        <v>5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7</v>
      </c>
      <c r="U19" t="n">
        <v>2</v>
      </c>
      <c r="V19" s="2" t="inlineStr">
        <is>
          <t>Jungfrulin
Spillkråka
Citronfläckad kärrtrollslända
Större vattensalamander
Trana
Revlummer</t>
        </is>
      </c>
      <c r="W19">
        <f>HYPERLINK("https://klasma.github.io/Logging_0480/artfynd/A 29797-2024 artfynd.xlsx", "A 29797-2024")</f>
        <v/>
      </c>
      <c r="X19">
        <f>HYPERLINK("https://klasma.github.io/Logging_0480/kartor/A 29797-2024 karta.png", "A 29797-2024")</f>
        <v/>
      </c>
      <c r="Y19">
        <f>HYPERLINK("https://klasma.github.io/Logging_0480/kartor_geotiff/A 29797-2024 georefererad karta.tif", "A 29797-2024")</f>
        <v/>
      </c>
      <c r="AA19">
        <f>HYPERLINK("https://klasma.github.io/Logging_0480/klagomål/A 29797-2024 FSC-klagomål.docx", "A 29797-2024")</f>
        <v/>
      </c>
      <c r="AB19">
        <f>HYPERLINK("https://klasma.github.io/Logging_0480/klagomålsmail/A 29797-2024 FSC-klagomål mail.docx", "A 29797-2024")</f>
        <v/>
      </c>
      <c r="AC19">
        <f>HYPERLINK("https://klasma.github.io/Logging_0480/tillsyn/A 29797-2024 tillsynsbegäran.docx", "A 29797-2024")</f>
        <v/>
      </c>
      <c r="AD19">
        <f>HYPERLINK("https://klasma.github.io/Logging_0480/tillsynsmail/A 29797-2024 tillsynsbegäran mail.docx", "A 29797-2024")</f>
        <v/>
      </c>
      <c r="AE19">
        <f>HYPERLINK("https://klasma.github.io/Logging_0480/fåglar/A 29797-2024 prioriterade fågelarter.docx", "A 29797-2024")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46322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46322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46322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46322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46322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5869-2024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45335</v>
      </c>
      <c r="E25" s="1" t="n">
        <v>46322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1.5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Gulsparv
Havsörn
Fläcknycklar
Revlummer</t>
        </is>
      </c>
      <c r="W25">
        <f>HYPERLINK("https://klasma.github.io/Logging_0480/artfynd/A 5869-2024 artfynd.xlsx", "A 5869-2024")</f>
        <v/>
      </c>
      <c r="X25">
        <f>HYPERLINK("https://klasma.github.io/Logging_0480/kartor/A 5869-2024 karta.png", "A 5869-2024")</f>
        <v/>
      </c>
      <c r="Y25">
        <f>HYPERLINK("https://klasma.github.io/Logging_0480/kartor_geotiff/A 5869-2024 georefererad karta.tif", "A 5869-2024")</f>
        <v/>
      </c>
      <c r="AA25">
        <f>HYPERLINK("https://klasma.github.io/Logging_0480/klagomål/A 5869-2024 FSC-klagomål.docx", "A 5869-2024")</f>
        <v/>
      </c>
      <c r="AB25">
        <f>HYPERLINK("https://klasma.github.io/Logging_0480/klagomålsmail/A 5869-2024 FSC-klagomål mail.docx", "A 5869-2024")</f>
        <v/>
      </c>
      <c r="AC25">
        <f>HYPERLINK("https://klasma.github.io/Logging_0480/tillsyn/A 5869-2024 tillsynsbegäran.docx", "A 5869-2024")</f>
        <v/>
      </c>
      <c r="AD25">
        <f>HYPERLINK("https://klasma.github.io/Logging_0480/tillsynsmail/A 5869-2024 tillsynsbegäran mail.docx", "A 5869-2024")</f>
        <v/>
      </c>
      <c r="AE25">
        <f>HYPERLINK("https://klasma.github.io/Logging_0480/fåglar/A 5869-2024 prioriterade fågelarter.docx", "A 5869-2024")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46322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46322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46322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46322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46322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10115-2026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46075</v>
      </c>
      <c r="E31" s="1" t="n">
        <v>46322</v>
      </c>
      <c r="F31" t="inlineStr">
        <is>
          <t>SÖDERMANLANDS LÄN</t>
        </is>
      </c>
      <c r="G31" t="inlineStr">
        <is>
          <t>NYKÖPING</t>
        </is>
      </c>
      <c r="I31" t="n">
        <v>4.2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10115-2026 artfynd.xlsx", "A 10115-2026")</f>
        <v/>
      </c>
      <c r="X31">
        <f>HYPERLINK("https://klasma.github.io/Logging_0480/kartor/A 10115-2026 karta.png", "A 10115-2026")</f>
        <v/>
      </c>
      <c r="Y31">
        <f>HYPERLINK("https://klasma.github.io/Logging_0480/kartor_geotiff/A 10115-2026 georefererad karta.tif", "A 10115-2026")</f>
        <v/>
      </c>
      <c r="AA31">
        <f>HYPERLINK("https://klasma.github.io/Logging_0480/klagomål/A 10115-2026 FSC-klagomål.docx", "A 10115-2026")</f>
        <v/>
      </c>
      <c r="AB31">
        <f>HYPERLINK("https://klasma.github.io/Logging_0480/klagomålsmail/A 10115-2026 FSC-klagomål mail.docx", "A 10115-2026")</f>
        <v/>
      </c>
      <c r="AC31">
        <f>HYPERLINK("https://klasma.github.io/Logging_0480/tillsyn/A 10115-2026 tillsynsbegäran.docx", "A 10115-2026")</f>
        <v/>
      </c>
      <c r="AD31">
        <f>HYPERLINK("https://klasma.github.io/Logging_0480/tillsynsmail/A 10115-2026 tillsynsbegäran mail.docx", "A 10115-2026")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46322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46322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54227-2025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46322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Grantaggsvamp
Skarp dropptaggsvamp
Zontaggsvamp</t>
        </is>
      </c>
      <c r="W34">
        <f>HYPERLINK("https://klasma.github.io/Logging_0480/artfynd/A 54227-2025 artfynd.xlsx", "A 54227-2025")</f>
        <v/>
      </c>
      <c r="X34">
        <f>HYPERLINK("https://klasma.github.io/Logging_0480/kartor/A 54227-2025 karta.png", "A 54227-2025")</f>
        <v/>
      </c>
      <c r="Y34">
        <f>HYPERLINK("https://klasma.github.io/Logging_0480/kartor_geotiff/A 54227-2025 georefererad karta.tif", "A 54227-2025")</f>
        <v/>
      </c>
      <c r="AA34">
        <f>HYPERLINK("https://klasma.github.io/Logging_0480/klagomål/A 54227-2025 FSC-klagomål.docx", "A 54227-2025")</f>
        <v/>
      </c>
      <c r="AB34">
        <f>HYPERLINK("https://klasma.github.io/Logging_0480/klagomålsmail/A 54227-2025 FSC-klagomål mail.docx", "A 54227-2025")</f>
        <v/>
      </c>
      <c r="AC34">
        <f>HYPERLINK("https://klasma.github.io/Logging_0480/tillsyn/A 54227-2025 tillsynsbegäran.docx", "A 54227-2025")</f>
        <v/>
      </c>
      <c r="AD34">
        <f>HYPERLINK("https://klasma.github.io/Logging_0480/tillsynsmail/A 54227-2025 tillsynsbegäran mail.docx", "A 54227-2025")</f>
        <v/>
      </c>
    </row>
    <row r="35" ht="15" customHeight="1">
      <c r="A35" t="inlineStr">
        <is>
          <t>A 22417-2023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45070</v>
      </c>
      <c r="E35" s="1" t="n">
        <v>46322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1.6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Backstarr
Sjöhjortron
Vanlig snok</t>
        </is>
      </c>
      <c r="W35">
        <f>HYPERLINK("https://klasma.github.io/Logging_0480/artfynd/A 22417-2023 artfynd.xlsx", "A 22417-2023")</f>
        <v/>
      </c>
      <c r="X35">
        <f>HYPERLINK("https://klasma.github.io/Logging_0480/kartor/A 22417-2023 karta.png", "A 22417-2023")</f>
        <v/>
      </c>
      <c r="Y35">
        <f>HYPERLINK("https://klasma.github.io/Logging_0480/kartor_geotiff/A 22417-2023 georefererad karta.tif", "A 22417-2023")</f>
        <v/>
      </c>
      <c r="AA35">
        <f>HYPERLINK("https://klasma.github.io/Logging_0480/klagomål/A 22417-2023 FSC-klagomål.docx", "A 22417-2023")</f>
        <v/>
      </c>
      <c r="AB35">
        <f>HYPERLINK("https://klasma.github.io/Logging_0480/klagomålsmail/A 22417-2023 FSC-klagomål mail.docx", "A 22417-2023")</f>
        <v/>
      </c>
      <c r="AC35">
        <f>HYPERLINK("https://klasma.github.io/Logging_0480/tillsyn/A 22417-2023 tillsynsbegäran.docx", "A 22417-2023")</f>
        <v/>
      </c>
      <c r="AD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46322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11640-2022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44631</v>
      </c>
      <c r="E37" s="1" t="n">
        <v>46322</v>
      </c>
      <c r="F37" t="inlineStr">
        <is>
          <t>SÖDERMANLANDS LÄN</t>
        </is>
      </c>
      <c r="G37" t="inlineStr">
        <is>
          <t>NYKÖPING</t>
        </is>
      </c>
      <c r="H37" t="inlineStr">
        <is>
          <t>Kyrkan</t>
        </is>
      </c>
      <c r="I37" t="n">
        <v>7.6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Fjällig taggsvamp s.str.
Granbarkgnagare
Grovticka</t>
        </is>
      </c>
      <c r="W37">
        <f>HYPERLINK("https://klasma.github.io/Logging_0480/artfynd/A 11640-2022 artfynd.xlsx", "A 11640-2022")</f>
        <v/>
      </c>
      <c r="X37">
        <f>HYPERLINK("https://klasma.github.io/Logging_0480/kartor/A 11640-2022 karta.png", "A 11640-2022")</f>
        <v/>
      </c>
      <c r="Y37">
        <f>HYPERLINK("https://klasma.github.io/Logging_0480/kartor_geotiff/A 11640-2022 georefererad karta.tif", "A 11640-2022")</f>
        <v/>
      </c>
      <c r="AA37">
        <f>HYPERLINK("https://klasma.github.io/Logging_0480/klagomål/A 11640-2022 FSC-klagomål.docx", "A 11640-2022")</f>
        <v/>
      </c>
      <c r="AB37">
        <f>HYPERLINK("https://klasma.github.io/Logging_0480/klagomålsmail/A 11640-2022 FSC-klagomål mail.docx", "A 11640-2022")</f>
        <v/>
      </c>
      <c r="AC37">
        <f>HYPERLINK("https://klasma.github.io/Logging_0480/tillsyn/A 11640-2022 tillsynsbegäran.docx", "A 11640-2022")</f>
        <v/>
      </c>
      <c r="AD37">
        <f>HYPERLINK("https://klasma.github.io/Logging_0480/tillsynsmail/A 11640-2022 tillsynsbegäran mail.docx", "A 11640-2022")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46322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46322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46322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Gulsparv
Kösa
Linmåra/småsnärjmåra</t>
        </is>
      </c>
      <c r="W40">
        <f>HYPERLINK("https://klasma.github.io/Logging_0480/artfynd/A 38203-2022 artfynd.xlsx", "A 38203-2022")</f>
        <v/>
      </c>
      <c r="X40">
        <f>HYPERLINK("https://klasma.github.io/Logging_0480/kartor/A 38203-2022 karta.png", "A 38203-2022")</f>
        <v/>
      </c>
      <c r="Y40">
        <f>HYPERLINK("https://klasma.github.io/Logging_0480/kartor_geotiff/A 38203-2022 georefererad karta.tif", "A 38203-2022")</f>
        <v/>
      </c>
      <c r="AA40">
        <f>HYPERLINK("https://klasma.github.io/Logging_0480/klagomål/A 38203-2022 FSC-klagomål.docx", "A 38203-2022")</f>
        <v/>
      </c>
      <c r="AB40">
        <f>HYPERLINK("https://klasma.github.io/Logging_0480/klagomålsmail/A 38203-2022 FSC-klagomål mail.docx", "A 38203-2022")</f>
        <v/>
      </c>
      <c r="AC40">
        <f>HYPERLINK("https://klasma.github.io/Logging_0480/tillsyn/A 38203-2022 tillsynsbegäran.docx", "A 38203-2022")</f>
        <v/>
      </c>
      <c r="AD40">
        <f>HYPERLINK("https://klasma.github.io/Logging_0480/tillsynsmail/A 38203-2022 tillsynsbegäran mail.docx", "A 38203-2022")</f>
        <v/>
      </c>
      <c r="AE40">
        <f>HYPERLINK("https://klasma.github.io/Logging_0480/fåglar/A 38203-2022 prioriterade fågelarter.docx", "A 38203-2022")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46322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46322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48153-2023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46322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2.7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Nötkråka
Havsörn</t>
        </is>
      </c>
      <c r="W43">
        <f>HYPERLINK("https://klasma.github.io/Logging_0480/artfynd/A 48153-2023 artfynd.xlsx", "A 48153-2023")</f>
        <v/>
      </c>
      <c r="X43">
        <f>HYPERLINK("https://klasma.github.io/Logging_0480/kartor/A 48153-2023 karta.png", "A 48153-2023")</f>
        <v/>
      </c>
      <c r="Y43">
        <f>HYPERLINK("https://klasma.github.io/Logging_0480/kartor_geotiff/A 48153-2023 georefererad karta.tif", "A 48153-2023")</f>
        <v/>
      </c>
      <c r="AA43">
        <f>HYPERLINK("https://klasma.github.io/Logging_0480/klagomål/A 48153-2023 FSC-klagomål.docx", "A 48153-2023")</f>
        <v/>
      </c>
      <c r="AB43">
        <f>HYPERLINK("https://klasma.github.io/Logging_0480/klagomålsmail/A 48153-2023 FSC-klagomål mail.docx", "A 48153-2023")</f>
        <v/>
      </c>
      <c r="AC43">
        <f>HYPERLINK("https://klasma.github.io/Logging_0480/tillsyn/A 48153-2023 tillsynsbegäran.docx", "A 48153-2023")</f>
        <v/>
      </c>
      <c r="AD43">
        <f>HYPERLINK("https://klasma.github.io/Logging_0480/tillsynsmail/A 48153-2023 tillsynsbegäran mail.docx", "A 48153-2023")</f>
        <v/>
      </c>
      <c r="AE43">
        <f>HYPERLINK("https://klasma.github.io/Logging_0480/fåglar/A 48153-2023 prioriterade fågelarter.docx", "A 48153-2023")</f>
        <v/>
      </c>
    </row>
    <row r="44" ht="15" customHeight="1">
      <c r="A44" t="inlineStr">
        <is>
          <t>A 56560-2022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44893</v>
      </c>
      <c r="E44" s="1" t="n">
        <v>46322</v>
      </c>
      <c r="F44" t="inlineStr">
        <is>
          <t>SÖDERMANLANDS LÄN</t>
        </is>
      </c>
      <c r="G44" t="inlineStr">
        <is>
          <t>NYKÖPING</t>
        </is>
      </c>
      <c r="H44" t="inlineStr">
        <is>
          <t>Övriga Aktiebolag</t>
        </is>
      </c>
      <c r="I44" t="n">
        <v>1.1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Fjällvråk
Kråka</t>
        </is>
      </c>
      <c r="W44">
        <f>HYPERLINK("https://klasma.github.io/Logging_0480/artfynd/A 56560-2022 artfynd.xlsx", "A 56560-2022")</f>
        <v/>
      </c>
      <c r="X44">
        <f>HYPERLINK("https://klasma.github.io/Logging_0480/kartor/A 56560-2022 karta.png", "A 56560-2022")</f>
        <v/>
      </c>
      <c r="Y44">
        <f>HYPERLINK("https://klasma.github.io/Logging_0480/kartor_geotiff/A 56560-2022 georefererad karta.tif", "A 56560-2022")</f>
        <v/>
      </c>
      <c r="AA44">
        <f>HYPERLINK("https://klasma.github.io/Logging_0480/klagomål/A 56560-2022 FSC-klagomål.docx", "A 56560-2022")</f>
        <v/>
      </c>
      <c r="AB44">
        <f>HYPERLINK("https://klasma.github.io/Logging_0480/klagomålsmail/A 56560-2022 FSC-klagomål mail.docx", "A 56560-2022")</f>
        <v/>
      </c>
      <c r="AC44">
        <f>HYPERLINK("https://klasma.github.io/Logging_0480/tillsyn/A 56560-2022 tillsynsbegäran.docx", "A 56560-2022")</f>
        <v/>
      </c>
      <c r="AD44">
        <f>HYPERLINK("https://klasma.github.io/Logging_0480/tillsynsmail/A 56560-2022 tillsynsbegäran mail.docx", "A 56560-2022")</f>
        <v/>
      </c>
      <c r="AE44">
        <f>HYPERLINK("https://klasma.github.io/Logging_0480/fåglar/A 56560-2022 prioriterade fågelarter.docx", "A 56560-2022")</f>
        <v/>
      </c>
    </row>
    <row r="45" ht="15" customHeight="1">
      <c r="A45" t="inlineStr">
        <is>
          <t>A 5865-2024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46322</v>
      </c>
      <c r="F45" t="inlineStr">
        <is>
          <t>SÖDERMANLANDS LÄN</t>
        </is>
      </c>
      <c r="G45" t="inlineStr">
        <is>
          <t>NYKÖPING</t>
        </is>
      </c>
      <c r="H45" t="inlineStr">
        <is>
          <t>Sveaskog</t>
        </is>
      </c>
      <c r="I45" t="n">
        <v>4.9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Entita
Fläcknycklar</t>
        </is>
      </c>
      <c r="W45">
        <f>HYPERLINK("https://klasma.github.io/Logging_0480/artfynd/A 5865-2024 artfynd.xlsx", "A 5865-2024")</f>
        <v/>
      </c>
      <c r="X45">
        <f>HYPERLINK("https://klasma.github.io/Logging_0480/kartor/A 5865-2024 karta.png", "A 5865-2024")</f>
        <v/>
      </c>
      <c r="Y45">
        <f>HYPERLINK("https://klasma.github.io/Logging_0480/kartor_geotiff/A 5865-2024 georefererad karta.tif", "A 5865-2024")</f>
        <v/>
      </c>
      <c r="AA45">
        <f>HYPERLINK("https://klasma.github.io/Logging_0480/klagomål/A 5865-2024 FSC-klagomål.docx", "A 5865-2024")</f>
        <v/>
      </c>
      <c r="AB45">
        <f>HYPERLINK("https://klasma.github.io/Logging_0480/klagomålsmail/A 5865-2024 FSC-klagomål mail.docx", "A 5865-2024")</f>
        <v/>
      </c>
      <c r="AC45">
        <f>HYPERLINK("https://klasma.github.io/Logging_0480/tillsyn/A 5865-2024 tillsynsbegäran.docx", "A 5865-2024")</f>
        <v/>
      </c>
      <c r="AD45">
        <f>HYPERLINK("https://klasma.github.io/Logging_0480/tillsynsmail/A 5865-2024 tillsynsbegäran mail.docx", "A 5865-2024")</f>
        <v/>
      </c>
      <c r="AE45">
        <f>HYPERLINK("https://klasma.github.io/Logging_0480/fåglar/A 5865-2024 prioriterade fågelarter.docx", "A 5865-2024")</f>
        <v/>
      </c>
    </row>
    <row r="46" ht="15" customHeight="1">
      <c r="A46" t="inlineStr">
        <is>
          <t>A 16078-2023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45027</v>
      </c>
      <c r="E46" s="1" t="n">
        <v>46322</v>
      </c>
      <c r="F46" t="inlineStr">
        <is>
          <t>SÖDERMANLANDS LÄN</t>
        </is>
      </c>
      <c r="G46" t="inlineStr">
        <is>
          <t>NYKÖPING</t>
        </is>
      </c>
      <c r="I46" t="n">
        <v>0.9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Rödlånke
Fläcknycklar</t>
        </is>
      </c>
      <c r="W46">
        <f>HYPERLINK("https://klasma.github.io/Logging_0480/artfynd/A 16078-2023 artfynd.xlsx", "A 16078-2023")</f>
        <v/>
      </c>
      <c r="X46">
        <f>HYPERLINK("https://klasma.github.io/Logging_0480/kartor/A 16078-2023 karta.png", "A 16078-2023")</f>
        <v/>
      </c>
      <c r="Y46">
        <f>HYPERLINK("https://klasma.github.io/Logging_0480/kartor_geotiff/A 16078-2023 georefererad karta.tif", "A 16078-2023")</f>
        <v/>
      </c>
      <c r="AA46">
        <f>HYPERLINK("https://klasma.github.io/Logging_0480/klagomål/A 16078-2023 FSC-klagomål.docx", "A 16078-2023")</f>
        <v/>
      </c>
      <c r="AB46">
        <f>HYPERLINK("https://klasma.github.io/Logging_0480/klagomålsmail/A 16078-2023 FSC-klagomål mail.docx", "A 16078-2023")</f>
        <v/>
      </c>
      <c r="AC46">
        <f>HYPERLINK("https://klasma.github.io/Logging_0480/tillsyn/A 16078-2023 tillsynsbegäran.docx", "A 16078-2023")</f>
        <v/>
      </c>
      <c r="AD46">
        <f>HYPERLINK("https://klasma.github.io/Logging_0480/tillsynsmail/A 16078-2023 tillsynsbegäran mail.docx", "A 16078-2023")</f>
        <v/>
      </c>
    </row>
    <row r="47" ht="15" customHeight="1">
      <c r="A47" t="inlineStr">
        <is>
          <t>A 49231-2023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45210</v>
      </c>
      <c r="E47" s="1" t="n">
        <v>46322</v>
      </c>
      <c r="F47" t="inlineStr">
        <is>
          <t>SÖDERMANLANDS LÄN</t>
        </is>
      </c>
      <c r="G47" t="inlineStr">
        <is>
          <t>NYKÖPING</t>
        </is>
      </c>
      <c r="I47" t="n">
        <v>0.5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Bombmurkla
Blåmossa</t>
        </is>
      </c>
      <c r="W47">
        <f>HYPERLINK("https://klasma.github.io/Logging_0480/artfynd/A 49231-2023 artfynd.xlsx", "A 49231-2023")</f>
        <v/>
      </c>
      <c r="X47">
        <f>HYPERLINK("https://klasma.github.io/Logging_0480/kartor/A 49231-2023 karta.png", "A 49231-2023")</f>
        <v/>
      </c>
      <c r="Y47">
        <f>HYPERLINK("https://klasma.github.io/Logging_0480/kartor_geotiff/A 49231-2023 georefererad karta.tif", "A 49231-2023")</f>
        <v/>
      </c>
      <c r="AA47">
        <f>HYPERLINK("https://klasma.github.io/Logging_0480/klagomål/A 49231-2023 FSC-klagomål.docx", "A 49231-2023")</f>
        <v/>
      </c>
      <c r="AB47">
        <f>HYPERLINK("https://klasma.github.io/Logging_0480/klagomålsmail/A 49231-2023 FSC-klagomål mail.docx", "A 49231-2023")</f>
        <v/>
      </c>
      <c r="AC47">
        <f>HYPERLINK("https://klasma.github.io/Logging_0480/tillsyn/A 49231-2023 tillsynsbegäran.docx", "A 49231-2023")</f>
        <v/>
      </c>
      <c r="AD47">
        <f>HYPERLINK("https://klasma.github.io/Logging_0480/tillsynsmail/A 49231-2023 tillsynsbegäran mail.docx", "A 49231-2023")</f>
        <v/>
      </c>
    </row>
    <row r="48" ht="15" customHeight="1">
      <c r="A48" t="inlineStr">
        <is>
          <t>A 58167-2025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45982</v>
      </c>
      <c r="E48" s="1" t="n">
        <v>46322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Grönpyrola
Mattlummer</t>
        </is>
      </c>
      <c r="W48">
        <f>HYPERLINK("https://klasma.github.io/Logging_0480/artfynd/A 58167-2025 artfynd.xlsx", "A 58167-2025")</f>
        <v/>
      </c>
      <c r="X48">
        <f>HYPERLINK("https://klasma.github.io/Logging_0480/kartor/A 58167-2025 karta.png", "A 58167-2025")</f>
        <v/>
      </c>
      <c r="Y48">
        <f>HYPERLINK("https://klasma.github.io/Logging_0480/kartor_geotiff/A 58167-2025 georefererad karta.tif", "A 58167-2025")</f>
        <v/>
      </c>
      <c r="AA48">
        <f>HYPERLINK("https://klasma.github.io/Logging_0480/klagomål/A 58167-2025 FSC-klagomål.docx", "A 58167-2025")</f>
        <v/>
      </c>
      <c r="AB48">
        <f>HYPERLINK("https://klasma.github.io/Logging_0480/klagomålsmail/A 58167-2025 FSC-klagomål mail.docx", "A 58167-2025")</f>
        <v/>
      </c>
      <c r="AC48">
        <f>HYPERLINK("https://klasma.github.io/Logging_0480/tillsyn/A 58167-2025 tillsynsbegäran.docx", "A 58167-2025")</f>
        <v/>
      </c>
      <c r="AD48">
        <f>HYPERLINK("https://klasma.github.io/Logging_0480/tillsynsmail/A 58167-2025 tillsynsbegäran mail.docx", "A 58167-2025")</f>
        <v/>
      </c>
    </row>
    <row r="49" ht="15" customHeight="1">
      <c r="A49" t="inlineStr">
        <is>
          <t>A 10977-2024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46322</v>
      </c>
      <c r="F49" t="inlineStr">
        <is>
          <t>SÖDERMANLANDS LÄN</t>
        </is>
      </c>
      <c r="G49" t="inlineStr">
        <is>
          <t>NYKÖPING</t>
        </is>
      </c>
      <c r="H49" t="inlineStr">
        <is>
          <t>Kommuner</t>
        </is>
      </c>
      <c r="I49" t="n">
        <v>3.7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Stor aspticka
Vätteros</t>
        </is>
      </c>
      <c r="W49">
        <f>HYPERLINK("https://klasma.github.io/Logging_0480/artfynd/A 10977-2024 artfynd.xlsx", "A 10977-2024")</f>
        <v/>
      </c>
      <c r="X49">
        <f>HYPERLINK("https://klasma.github.io/Logging_0480/kartor/A 10977-2024 karta.png", "A 10977-2024")</f>
        <v/>
      </c>
      <c r="Y49">
        <f>HYPERLINK("https://klasma.github.io/Logging_0480/kartor_geotiff/A 10977-2024 georefererad karta.tif", "A 10977-2024")</f>
        <v/>
      </c>
      <c r="AA49">
        <f>HYPERLINK("https://klasma.github.io/Logging_0480/klagomål/A 10977-2024 FSC-klagomål.docx", "A 10977-2024")</f>
        <v/>
      </c>
      <c r="AB49">
        <f>HYPERLINK("https://klasma.github.io/Logging_0480/klagomålsmail/A 10977-2024 FSC-klagomål mail.docx", "A 10977-2024")</f>
        <v/>
      </c>
      <c r="AC49">
        <f>HYPERLINK("https://klasma.github.io/Logging_0480/tillsyn/A 10977-2024 tillsynsbegäran.docx", "A 10977-2024")</f>
        <v/>
      </c>
      <c r="AD49">
        <f>HYPERLINK("https://klasma.github.io/Logging_0480/tillsynsmail/A 10977-2024 tillsynsbegäran mail.docx", "A 10977-2024")</f>
        <v/>
      </c>
    </row>
    <row r="50" ht="15" customHeight="1">
      <c r="A50" t="inlineStr">
        <is>
          <t>A 60518-2022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44904</v>
      </c>
      <c r="E50" s="1" t="n">
        <v>46322</v>
      </c>
      <c r="F50" t="inlineStr">
        <is>
          <t>SÖDERMANLANDS LÄN</t>
        </is>
      </c>
      <c r="G50" t="inlineStr">
        <is>
          <t>NYKÖPING</t>
        </is>
      </c>
      <c r="I50" t="n">
        <v>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Gullklöver
Gullviva</t>
        </is>
      </c>
      <c r="W50">
        <f>HYPERLINK("https://klasma.github.io/Logging_0480/artfynd/A 60518-2022 artfynd.xlsx", "A 60518-2022")</f>
        <v/>
      </c>
      <c r="X50">
        <f>HYPERLINK("https://klasma.github.io/Logging_0480/kartor/A 60518-2022 karta.png", "A 60518-2022")</f>
        <v/>
      </c>
      <c r="Y50">
        <f>HYPERLINK("https://klasma.github.io/Logging_0480/kartor_geotiff/A 60518-2022 georefererad karta.tif", "A 60518-2022")</f>
        <v/>
      </c>
      <c r="AA50">
        <f>HYPERLINK("https://klasma.github.io/Logging_0480/klagomål/A 60518-2022 FSC-klagomål.docx", "A 60518-2022")</f>
        <v/>
      </c>
      <c r="AB50">
        <f>HYPERLINK("https://klasma.github.io/Logging_0480/klagomålsmail/A 60518-2022 FSC-klagomål mail.docx", "A 60518-2022")</f>
        <v/>
      </c>
      <c r="AC50">
        <f>HYPERLINK("https://klasma.github.io/Logging_0480/tillsyn/A 60518-2022 tillsynsbegäran.docx", "A 60518-2022")</f>
        <v/>
      </c>
      <c r="AD50">
        <f>HYPERLINK("https://klasma.github.io/Logging_0480/tillsynsmail/A 60518-2022 tillsynsbegäran mail.docx", "A 60518-2022")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46322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5857-2024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46322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Törnskata
Revlummer</t>
        </is>
      </c>
      <c r="W52">
        <f>HYPERLINK("https://klasma.github.io/Logging_0480/artfynd/A 5857-2024 artfynd.xlsx", "A 5857-2024")</f>
        <v/>
      </c>
      <c r="X52">
        <f>HYPERLINK("https://klasma.github.io/Logging_0480/kartor/A 5857-2024 karta.png", "A 5857-2024")</f>
        <v/>
      </c>
      <c r="Y52">
        <f>HYPERLINK("https://klasma.github.io/Logging_0480/kartor_geotiff/A 5857-2024 georefererad karta.tif", "A 5857-2024")</f>
        <v/>
      </c>
      <c r="AA52">
        <f>HYPERLINK("https://klasma.github.io/Logging_0480/klagomål/A 5857-2024 FSC-klagomål.docx", "A 5857-2024")</f>
        <v/>
      </c>
      <c r="AB52">
        <f>HYPERLINK("https://klasma.github.io/Logging_0480/klagomålsmail/A 5857-2024 FSC-klagomål mail.docx", "A 5857-2024")</f>
        <v/>
      </c>
      <c r="AC52">
        <f>HYPERLINK("https://klasma.github.io/Logging_0480/tillsyn/A 5857-2024 tillsynsbegäran.docx", "A 5857-2024")</f>
        <v/>
      </c>
      <c r="AD52">
        <f>HYPERLINK("https://klasma.github.io/Logging_0480/tillsynsmail/A 5857-2024 tillsynsbegäran mail.docx", "A 5857-2024")</f>
        <v/>
      </c>
      <c r="AE52">
        <f>HYPERLINK("https://klasma.github.io/Logging_0480/fåglar/A 5857-2024 prioriterade fågelarter.docx", "A 5857-2024")</f>
        <v/>
      </c>
    </row>
    <row r="53" ht="15" customHeight="1">
      <c r="A53" t="inlineStr">
        <is>
          <t>A 5385-2026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46322</v>
      </c>
      <c r="F53" t="inlineStr">
        <is>
          <t>SÖDERMANLANDS LÄN</t>
        </is>
      </c>
      <c r="G53" t="inlineStr">
        <is>
          <t>NYKÖPING</t>
        </is>
      </c>
      <c r="I53" t="n">
        <v>3.5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Spillkråka
Tallört (aggregat)</t>
        </is>
      </c>
      <c r="W53">
        <f>HYPERLINK("https://klasma.github.io/Logging_0480/artfynd/A 5385-2026 artfynd.xlsx", "A 5385-2026")</f>
        <v/>
      </c>
      <c r="X53">
        <f>HYPERLINK("https://klasma.github.io/Logging_0480/kartor/A 5385-2026 karta.png", "A 5385-2026")</f>
        <v/>
      </c>
      <c r="Y53">
        <f>HYPERLINK("https://klasma.github.io/Logging_0480/kartor_geotiff/A 5385-2026 georefererad karta.tif", "A 5385-2026")</f>
        <v/>
      </c>
      <c r="AA53">
        <f>HYPERLINK("https://klasma.github.io/Logging_0480/klagomål/A 5385-2026 FSC-klagomål.docx", "A 5385-2026")</f>
        <v/>
      </c>
      <c r="AB53">
        <f>HYPERLINK("https://klasma.github.io/Logging_0480/klagomålsmail/A 5385-2026 FSC-klagomål mail.docx", "A 5385-2026")</f>
        <v/>
      </c>
      <c r="AC53">
        <f>HYPERLINK("https://klasma.github.io/Logging_0480/tillsyn/A 5385-2026 tillsynsbegäran.docx", "A 5385-2026")</f>
        <v/>
      </c>
      <c r="AD53">
        <f>HYPERLINK("https://klasma.github.io/Logging_0480/tillsynsmail/A 5385-2026 tillsynsbegäran mail.docx", "A 5385-2026")</f>
        <v/>
      </c>
      <c r="AE53">
        <f>HYPERLINK("https://klasma.github.io/Logging_0480/fåglar/A 5385-2026 prioriterade fågelarter.docx", "A 5385-2026")</f>
        <v/>
      </c>
    </row>
    <row r="54" ht="15" customHeight="1">
      <c r="A54" t="inlineStr">
        <is>
          <t>A 14862-2026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46104</v>
      </c>
      <c r="E54" s="1" t="n">
        <v>46322</v>
      </c>
      <c r="F54" t="inlineStr">
        <is>
          <t>SÖDERMANLANDS LÄN</t>
        </is>
      </c>
      <c r="G54" t="inlineStr">
        <is>
          <t>NYKÖPING</t>
        </is>
      </c>
      <c r="I54" t="n">
        <v>10.8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Dropptaggsvamp
Blåbär</t>
        </is>
      </c>
      <c r="W54">
        <f>HYPERLINK("https://klasma.github.io/Logging_0480/artfynd/A 14862-2026 artfynd.xlsx", "A 14862-2026")</f>
        <v/>
      </c>
      <c r="X54">
        <f>HYPERLINK("https://klasma.github.io/Logging_0480/kartor/A 14862-2026 karta.png", "A 14862-2026")</f>
        <v/>
      </c>
      <c r="Y54">
        <f>HYPERLINK("https://klasma.github.io/Logging_0480/kartor_geotiff/A 14862-2026 georefererad karta.tif", "A 14862-2026")</f>
        <v/>
      </c>
      <c r="AA54">
        <f>HYPERLINK("https://klasma.github.io/Logging_0480/klagomål/A 14862-2026 FSC-klagomål.docx", "A 14862-2026")</f>
        <v/>
      </c>
      <c r="AB54">
        <f>HYPERLINK("https://klasma.github.io/Logging_0480/klagomålsmail/A 14862-2026 FSC-klagomål mail.docx", "A 14862-2026")</f>
        <v/>
      </c>
      <c r="AC54">
        <f>HYPERLINK("https://klasma.github.io/Logging_0480/tillsyn/A 14862-2026 tillsynsbegäran.docx", "A 14862-2026")</f>
        <v/>
      </c>
      <c r="AD54">
        <f>HYPERLINK("https://klasma.github.io/Logging_0480/tillsynsmail/A 14862-2026 tillsynsbegäran mail.docx", "A 14862-2026")</f>
        <v/>
      </c>
    </row>
    <row r="55" ht="15" customHeight="1">
      <c r="A55" t="inlineStr">
        <is>
          <t>A 60460-2022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44911</v>
      </c>
      <c r="E55" s="1" t="n">
        <v>46322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1.7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Barkticka
Blåsippa</t>
        </is>
      </c>
      <c r="W55">
        <f>HYPERLINK("https://klasma.github.io/Logging_0480/artfynd/A 60460-2022 artfynd.xlsx", "A 60460-2022")</f>
        <v/>
      </c>
      <c r="X55">
        <f>HYPERLINK("https://klasma.github.io/Logging_0480/kartor/A 60460-2022 karta.png", "A 60460-2022")</f>
        <v/>
      </c>
      <c r="Y55">
        <f>HYPERLINK("https://klasma.github.io/Logging_0480/kartor_geotiff/A 60460-2022 georefererad karta.tif", "A 60460-2022")</f>
        <v/>
      </c>
      <c r="AA55">
        <f>HYPERLINK("https://klasma.github.io/Logging_0480/klagomål/A 60460-2022 FSC-klagomål.docx", "A 60460-2022")</f>
        <v/>
      </c>
      <c r="AB55">
        <f>HYPERLINK("https://klasma.github.io/Logging_0480/klagomålsmail/A 60460-2022 FSC-klagomål mail.docx", "A 60460-2022")</f>
        <v/>
      </c>
      <c r="AC55">
        <f>HYPERLINK("https://klasma.github.io/Logging_0480/tillsyn/A 60460-2022 tillsynsbegäran.docx", "A 60460-2022")</f>
        <v/>
      </c>
      <c r="AD55">
        <f>HYPERLINK("https://klasma.github.io/Logging_0480/tillsynsmail/A 60460-2022 tillsynsbegäran mail.docx", "A 60460-2022")</f>
        <v/>
      </c>
    </row>
    <row r="56" ht="15" customHeight="1">
      <c r="A56" t="inlineStr">
        <is>
          <t>A 38757-2026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46322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Motaggsvamp</t>
        </is>
      </c>
      <c r="W56">
        <f>HYPERLINK("https://klasma.github.io/Logging_0480/artfynd/A 38757-2026 artfynd.xlsx", "A 38757-2026")</f>
        <v/>
      </c>
      <c r="X56">
        <f>HYPERLINK("https://klasma.github.io/Logging_0480/kartor/A 38757-2026 karta.png", "A 38757-2026")</f>
        <v/>
      </c>
      <c r="Y56">
        <f>HYPERLINK("https://klasma.github.io/Logging_0480/kartor_geotiff/A 38757-2026 georefererad karta.tif", "A 38757-2026")</f>
        <v/>
      </c>
      <c r="AA56">
        <f>HYPERLINK("https://klasma.github.io/Logging_0480/klagomål/A 38757-2026 FSC-klagomål.docx", "A 38757-2026")</f>
        <v/>
      </c>
      <c r="AB56">
        <f>HYPERLINK("https://klasma.github.io/Logging_0480/klagomålsmail/A 38757-2026 FSC-klagomål mail.docx", "A 38757-2026")</f>
        <v/>
      </c>
      <c r="AC56">
        <f>HYPERLINK("https://klasma.github.io/Logging_0480/tillsyn/A 38757-2026 tillsynsbegäran.docx", "A 38757-2026")</f>
        <v/>
      </c>
      <c r="AD56">
        <f>HYPERLINK("https://klasma.github.io/Logging_0480/tillsynsmail/A 38757-2026 tillsynsbegäran mail.docx", "A 38757-2026")</f>
        <v/>
      </c>
    </row>
    <row r="57" ht="15" customHeight="1">
      <c r="A57" t="inlineStr">
        <is>
          <t>A 1037-2026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46322</v>
      </c>
      <c r="F57" t="inlineStr">
        <is>
          <t>SÖDERMANLANDS LÄN</t>
        </is>
      </c>
      <c r="G57" t="inlineStr">
        <is>
          <t>NYKÖPING</t>
        </is>
      </c>
      <c r="I57" t="n">
        <v>11.6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Talltita
Spillkråka</t>
        </is>
      </c>
      <c r="W57">
        <f>HYPERLINK("https://klasma.github.io/Logging_0480/artfynd/A 1037-2026 artfynd.xlsx", "A 1037-2026")</f>
        <v/>
      </c>
      <c r="X57">
        <f>HYPERLINK("https://klasma.github.io/Logging_0480/kartor/A 1037-2026 karta.png", "A 1037-2026")</f>
        <v/>
      </c>
      <c r="Y57">
        <f>HYPERLINK("https://klasma.github.io/Logging_0480/kartor_geotiff/A 1037-2026 georefererad karta.tif", "A 1037-2026")</f>
        <v/>
      </c>
      <c r="AA57">
        <f>HYPERLINK("https://klasma.github.io/Logging_0480/klagomål/A 1037-2026 FSC-klagomål.docx", "A 1037-2026")</f>
        <v/>
      </c>
      <c r="AB57">
        <f>HYPERLINK("https://klasma.github.io/Logging_0480/klagomålsmail/A 1037-2026 FSC-klagomål mail.docx", "A 1037-2026")</f>
        <v/>
      </c>
      <c r="AC57">
        <f>HYPERLINK("https://klasma.github.io/Logging_0480/tillsyn/A 1037-2026 tillsynsbegäran.docx", "A 1037-2026")</f>
        <v/>
      </c>
      <c r="AD57">
        <f>HYPERLINK("https://klasma.github.io/Logging_0480/tillsynsmail/A 1037-2026 tillsynsbegäran mail.docx", "A 1037-2026")</f>
        <v/>
      </c>
      <c r="AE57">
        <f>HYPERLINK("https://klasma.github.io/Logging_0480/fåglar/A 1037-2026 prioriterade fågelarter.docx", "A 1037-2026")</f>
        <v/>
      </c>
    </row>
    <row r="58" ht="15" customHeight="1">
      <c r="A58" t="inlineStr">
        <is>
          <t>A 29766-2022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44755</v>
      </c>
      <c r="E58" s="1" t="n">
        <v>46322</v>
      </c>
      <c r="F58" t="inlineStr">
        <is>
          <t>SÖDERMANLANDS LÄN</t>
        </is>
      </c>
      <c r="G58" t="inlineStr">
        <is>
          <t>NYKÖPING</t>
        </is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Broskvaxing
Kungsfågel</t>
        </is>
      </c>
      <c r="W58">
        <f>HYPERLINK("https://klasma.github.io/Logging_0480/artfynd/A 29766-2022 artfynd.xlsx", "A 29766-2022")</f>
        <v/>
      </c>
      <c r="X58">
        <f>HYPERLINK("https://klasma.github.io/Logging_0480/kartor/A 29766-2022 karta.png", "A 29766-2022")</f>
        <v/>
      </c>
      <c r="Y58">
        <f>HYPERLINK("https://klasma.github.io/Logging_0480/kartor_geotiff/A 29766-2022 georefererad karta.tif", "A 29766-2022")</f>
        <v/>
      </c>
      <c r="AA58">
        <f>HYPERLINK("https://klasma.github.io/Logging_0480/klagomål/A 29766-2022 FSC-klagomål.docx", "A 29766-2022")</f>
        <v/>
      </c>
      <c r="AB58">
        <f>HYPERLINK("https://klasma.github.io/Logging_0480/klagomålsmail/A 29766-2022 FSC-klagomål mail.docx", "A 29766-2022")</f>
        <v/>
      </c>
      <c r="AC58">
        <f>HYPERLINK("https://klasma.github.io/Logging_0480/tillsyn/A 29766-2022 tillsynsbegäran.docx", "A 29766-2022")</f>
        <v/>
      </c>
      <c r="AD58">
        <f>HYPERLINK("https://klasma.github.io/Logging_0480/tillsynsmail/A 29766-2022 tillsynsbegäran mail.docx", "A 29766-2022")</f>
        <v/>
      </c>
    </row>
    <row r="59" ht="15" customHeight="1">
      <c r="A59" t="inlineStr">
        <is>
          <t>A 56728-2025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46322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2.5</v>
      </c>
      <c r="J59" t="n">
        <v>2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10</v>
      </c>
      <c r="U59" t="n">
        <v>0</v>
      </c>
      <c r="V59" s="2" t="inlineStr">
        <is>
          <t>Sandödla
Vanlig snok</t>
        </is>
      </c>
      <c r="W59">
        <f>HYPERLINK("https://klasma.github.io/Logging_0480/artfynd/A 56728-2025 artfynd.xlsx", "A 56728-2025")</f>
        <v/>
      </c>
      <c r="X59">
        <f>HYPERLINK("https://klasma.github.io/Logging_0480/kartor/A 56728-2025 karta.png", "A 56728-2025")</f>
        <v/>
      </c>
      <c r="Y59">
        <f>HYPERLINK("https://klasma.github.io/Logging_0480/kartor_geotiff/A 56728-2025 georefererad karta.tif", "A 56728-2025")</f>
        <v/>
      </c>
      <c r="AA59">
        <f>HYPERLINK("https://klasma.github.io/Logging_0480/klagomål/A 56728-2025 FSC-klagomål.docx", "A 56728-2025")</f>
        <v/>
      </c>
      <c r="AB59">
        <f>HYPERLINK("https://klasma.github.io/Logging_0480/klagomålsmail/A 56728-2025 FSC-klagomål mail.docx", "A 56728-2025")</f>
        <v/>
      </c>
      <c r="AC59">
        <f>HYPERLINK("https://klasma.github.io/Logging_0480/tillsyn/A 56728-2025 tillsynsbegäran.docx", "A 56728-2025")</f>
        <v/>
      </c>
      <c r="AD59">
        <f>HYPERLINK("https://klasma.github.io/Logging_0480/tillsynsmail/A 56728-2025 tillsynsbegäran mail.docx", "A 56728-2025")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46322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Vanlig snok
Revlummer</t>
        </is>
      </c>
      <c r="W60">
        <f>HYPERLINK("https://klasma.github.io/Logging_0480/artfynd/A 56725-2025 artfynd.xlsx", "A 56725-2025")</f>
        <v/>
      </c>
      <c r="X60">
        <f>HYPERLINK("https://klasma.github.io/Logging_0480/kartor/A 56725-2025 karta.png", "A 56725-2025")</f>
        <v/>
      </c>
      <c r="Y60">
        <f>HYPERLINK("https://klasma.github.io/Logging_0480/kartor_geotiff/A 56725-2025 georefererad karta.tif", "A 56725-2025")</f>
        <v/>
      </c>
      <c r="AA60">
        <f>HYPERLINK("https://klasma.github.io/Logging_0480/klagomål/A 56725-2025 FSC-klagomål.docx", "A 56725-2025")</f>
        <v/>
      </c>
      <c r="AB60">
        <f>HYPERLINK("https://klasma.github.io/Logging_0480/klagomålsmail/A 56725-2025 FSC-klagomål mail.docx", "A 56725-2025")</f>
        <v/>
      </c>
      <c r="AC60">
        <f>HYPERLINK("https://klasma.github.io/Logging_0480/tillsyn/A 56725-2025 tillsynsbegäran.docx", "A 56725-2025")</f>
        <v/>
      </c>
      <c r="AD60">
        <f>HYPERLINK("https://klasma.github.io/Logging_0480/tillsynsmail/A 56725-2025 tillsynsbegäran mail.docx", "A 56725-2025")</f>
        <v/>
      </c>
    </row>
    <row r="61" ht="15" customHeight="1">
      <c r="A61" t="inlineStr">
        <is>
          <t>A 34310-2022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46322</v>
      </c>
      <c r="F61" t="inlineStr">
        <is>
          <t>SÖDERMANLANDS LÄN</t>
        </is>
      </c>
      <c r="G61" t="inlineStr">
        <is>
          <t>NYKÖPING</t>
        </is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7</v>
      </c>
      <c r="U61" t="n">
        <v>0</v>
      </c>
      <c r="V61" s="2" t="inlineStr">
        <is>
          <t>Bombmurkla
Grönpyrola</t>
        </is>
      </c>
      <c r="W61">
        <f>HYPERLINK("https://klasma.github.io/Logging_0480/artfynd/A 34310-2022 artfynd.xlsx", "A 34310-2022")</f>
        <v/>
      </c>
      <c r="X61">
        <f>HYPERLINK("https://klasma.github.io/Logging_0480/kartor/A 34310-2022 karta.png", "A 34310-2022")</f>
        <v/>
      </c>
      <c r="Y61">
        <f>HYPERLINK("https://klasma.github.io/Logging_0480/kartor_geotiff/A 34310-2022 georefererad karta.tif", "A 34310-2022")</f>
        <v/>
      </c>
      <c r="AA61">
        <f>HYPERLINK("https://klasma.github.io/Logging_0480/klagomål/A 34310-2022 FSC-klagomål.docx", "A 34310-2022")</f>
        <v/>
      </c>
      <c r="AB61">
        <f>HYPERLINK("https://klasma.github.io/Logging_0480/klagomålsmail/A 34310-2022 FSC-klagomål mail.docx", "A 34310-2022")</f>
        <v/>
      </c>
      <c r="AC61">
        <f>HYPERLINK("https://klasma.github.io/Logging_0480/tillsyn/A 34310-2022 tillsynsbegäran.docx", "A 34310-2022")</f>
        <v/>
      </c>
      <c r="AD61">
        <f>HYPERLINK("https://klasma.github.io/Logging_0480/tillsynsmail/A 34310-2022 tillsynsbegäran mail.docx", "A 34310-2022")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46322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46322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46322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22990-2022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44718</v>
      </c>
      <c r="E65" s="1" t="n">
        <v>46322</v>
      </c>
      <c r="F65" t="inlineStr">
        <is>
          <t>SÖDERMANLANDS LÄN</t>
        </is>
      </c>
      <c r="G65" t="inlineStr">
        <is>
          <t>NYKÖPING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Jungfrulin</t>
        </is>
      </c>
      <c r="W65">
        <f>HYPERLINK("https://klasma.github.io/Logging_0480/artfynd/A 22990-2022 artfynd.xlsx", "A 22990-2022")</f>
        <v/>
      </c>
      <c r="X65">
        <f>HYPERLINK("https://klasma.github.io/Logging_0480/kartor/A 22990-2022 karta.png", "A 22990-2022")</f>
        <v/>
      </c>
      <c r="Y65">
        <f>HYPERLINK("https://klasma.github.io/Logging_0480/kartor_geotiff/A 22990-2022 georefererad karta.tif", "A 22990-2022")</f>
        <v/>
      </c>
      <c r="AA65">
        <f>HYPERLINK("https://klasma.github.io/Logging_0480/klagomål/A 22990-2022 FSC-klagomål.docx", "A 22990-2022")</f>
        <v/>
      </c>
      <c r="AB65">
        <f>HYPERLINK("https://klasma.github.io/Logging_0480/klagomålsmail/A 22990-2022 FSC-klagomål mail.docx", "A 22990-2022")</f>
        <v/>
      </c>
      <c r="AC65">
        <f>HYPERLINK("https://klasma.github.io/Logging_0480/tillsyn/A 22990-2022 tillsynsbegäran.docx", "A 22990-2022")</f>
        <v/>
      </c>
      <c r="AD65">
        <f>HYPERLINK("https://klasma.github.io/Logging_0480/tillsynsmail/A 22990-2022 tillsynsbegäran mail.docx", "A 22990-2022")</f>
        <v/>
      </c>
    </row>
    <row r="66" ht="15" customHeight="1">
      <c r="A66" t="inlineStr">
        <is>
          <t>A 45122-2025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46322</v>
      </c>
      <c r="F66" t="inlineStr">
        <is>
          <t>SÖDERMANLANDS LÄN</t>
        </is>
      </c>
      <c r="G66" t="inlineStr">
        <is>
          <t>NYKÖPING</t>
        </is>
      </c>
      <c r="I66" t="n">
        <v>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HYPERLINK("https://klasma.github.io/Logging_0480/artfynd/A 45122-2025 artfynd.xlsx", "A 45122-2025")</f>
        <v/>
      </c>
      <c r="X66">
        <f>HYPERLINK("https://klasma.github.io/Logging_0480/kartor/A 45122-2025 karta.png", "A 45122-2025")</f>
        <v/>
      </c>
      <c r="Y66">
        <f>HYPERLINK("https://klasma.github.io/Logging_0480/kartor_geotiff/A 45122-2025 georefererad karta.tif", "A 45122-2025")</f>
        <v/>
      </c>
      <c r="AA66">
        <f>HYPERLINK("https://klasma.github.io/Logging_0480/klagomål/A 45122-2025 FSC-klagomål.docx", "A 45122-2025")</f>
        <v/>
      </c>
      <c r="AB66">
        <f>HYPERLINK("https://klasma.github.io/Logging_0480/klagomålsmail/A 45122-2025 FSC-klagomål mail.docx", "A 45122-2025")</f>
        <v/>
      </c>
      <c r="AC66">
        <f>HYPERLINK("https://klasma.github.io/Logging_0480/tillsyn/A 45122-2025 tillsynsbegäran.docx", "A 45122-2025")</f>
        <v/>
      </c>
      <c r="AD66">
        <f>HYPERLINK("https://klasma.github.io/Logging_0480/tillsynsmail/A 45122-2025 tillsynsbegäran mail.docx", "A 45122-2025")</f>
        <v/>
      </c>
      <c r="AE66">
        <f>HYPERLINK("https://klasma.github.io/Logging_0480/fåglar/A 45122-2025 prioriterade fågelarter.docx", "A 45122-2025")</f>
        <v/>
      </c>
    </row>
    <row r="67" ht="15" customHeight="1">
      <c r="A67" t="inlineStr">
        <is>
          <t>A 35122-2023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45145</v>
      </c>
      <c r="E67" s="1" t="n">
        <v>46322</v>
      </c>
      <c r="F67" t="inlineStr">
        <is>
          <t>SÖDERMANLANDS LÄN</t>
        </is>
      </c>
      <c r="G67" t="inlineStr">
        <is>
          <t>NYKÖPING</t>
        </is>
      </c>
      <c r="I67" t="n">
        <v>3.2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HYPERLINK("https://klasma.github.io/Logging_0480/artfynd/A 35122-2023 artfynd.xlsx", "A 35122-2023")</f>
        <v/>
      </c>
      <c r="X67">
        <f>HYPERLINK("https://klasma.github.io/Logging_0480/kartor/A 35122-2023 karta.png", "A 35122-2023")</f>
        <v/>
      </c>
      <c r="Y67">
        <f>HYPERLINK("https://klasma.github.io/Logging_0480/kartor_geotiff/A 35122-2023 georefererad karta.tif", "A 35122-2023")</f>
        <v/>
      </c>
      <c r="AA67">
        <f>HYPERLINK("https://klasma.github.io/Logging_0480/klagomål/A 35122-2023 FSC-klagomål.docx", "A 35122-2023")</f>
        <v/>
      </c>
      <c r="AB67">
        <f>HYPERLINK("https://klasma.github.io/Logging_0480/klagomålsmail/A 35122-2023 FSC-klagomål mail.docx", "A 35122-2023")</f>
        <v/>
      </c>
      <c r="AC67">
        <f>HYPERLINK("https://klasma.github.io/Logging_0480/tillsyn/A 35122-2023 tillsynsbegäran.docx", "A 35122-2023")</f>
        <v/>
      </c>
      <c r="AD67">
        <f>HYPERLINK("https://klasma.github.io/Logging_0480/tillsynsmail/A 35122-2023 tillsynsbegäran mail.docx", "A 35122-2023")</f>
        <v/>
      </c>
    </row>
    <row r="68" ht="15" customHeight="1">
      <c r="A68" t="inlineStr">
        <is>
          <t>A 50014-2025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46322</v>
      </c>
      <c r="F68" t="inlineStr">
        <is>
          <t>SÖDERMANLANDS LÄN</t>
        </is>
      </c>
      <c r="G68" t="inlineStr">
        <is>
          <t>NYKÖPING</t>
        </is>
      </c>
      <c r="H68" t="inlineStr">
        <is>
          <t>Holmen skog AB</t>
        </is>
      </c>
      <c r="I68" t="n">
        <v>4.9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Sexfläckig bastardsvärmare</t>
        </is>
      </c>
      <c r="W68">
        <f>HYPERLINK("https://klasma.github.io/Logging_0480/artfynd/A 50014-2025 artfynd.xlsx", "A 50014-2025")</f>
        <v/>
      </c>
      <c r="X68">
        <f>HYPERLINK("https://klasma.github.io/Logging_0480/kartor/A 50014-2025 karta.png", "A 50014-2025")</f>
        <v/>
      </c>
      <c r="Y68">
        <f>HYPERLINK("https://klasma.github.io/Logging_0480/kartor_geotiff/A 50014-2025 georefererad karta.tif", "A 50014-2025")</f>
        <v/>
      </c>
      <c r="AA68">
        <f>HYPERLINK("https://klasma.github.io/Logging_0480/klagomål/A 50014-2025 FSC-klagomål.docx", "A 50014-2025")</f>
        <v/>
      </c>
      <c r="AB68">
        <f>HYPERLINK("https://klasma.github.io/Logging_0480/klagomålsmail/A 50014-2025 FSC-klagomål mail.docx", "A 50014-2025")</f>
        <v/>
      </c>
      <c r="AC68">
        <f>HYPERLINK("https://klasma.github.io/Logging_0480/tillsyn/A 50014-2025 tillsynsbegäran.docx", "A 50014-2025")</f>
        <v/>
      </c>
      <c r="AD68">
        <f>HYPERLINK("https://klasma.github.io/Logging_0480/tillsynsmail/A 50014-2025 tillsynsbegäran mail.docx", "A 50014-2025")</f>
        <v/>
      </c>
    </row>
    <row r="69" ht="15" customHeight="1">
      <c r="A69" t="inlineStr">
        <is>
          <t>A 50871-2025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46322</v>
      </c>
      <c r="F69" t="inlineStr">
        <is>
          <t>SÖDERMANLANDS LÄN</t>
        </is>
      </c>
      <c r="G69" t="inlineStr">
        <is>
          <t>NYKÖPING</t>
        </is>
      </c>
      <c r="H69" t="inlineStr">
        <is>
          <t>Holmen skog AB</t>
        </is>
      </c>
      <c r="I69" t="n">
        <v>2.1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Nattskärra</t>
        </is>
      </c>
      <c r="W69">
        <f>HYPERLINK("https://klasma.github.io/Logging_0480/artfynd/A 50871-2025 artfynd.xlsx", "A 50871-2025")</f>
        <v/>
      </c>
      <c r="X69">
        <f>HYPERLINK("https://klasma.github.io/Logging_0480/kartor/A 50871-2025 karta.png", "A 50871-2025")</f>
        <v/>
      </c>
      <c r="Y69">
        <f>HYPERLINK("https://klasma.github.io/Logging_0480/kartor_geotiff/A 50871-2025 georefererad karta.tif", "A 50871-2025")</f>
        <v/>
      </c>
      <c r="AA69">
        <f>HYPERLINK("https://klasma.github.io/Logging_0480/klagomål/A 50871-2025 FSC-klagomål.docx", "A 50871-2025")</f>
        <v/>
      </c>
      <c r="AB69">
        <f>HYPERLINK("https://klasma.github.io/Logging_0480/klagomålsmail/A 50871-2025 FSC-klagomål mail.docx", "A 50871-2025")</f>
        <v/>
      </c>
      <c r="AC69">
        <f>HYPERLINK("https://klasma.github.io/Logging_0480/tillsyn/A 50871-2025 tillsynsbegäran.docx", "A 50871-2025")</f>
        <v/>
      </c>
      <c r="AD69">
        <f>HYPERLINK("https://klasma.github.io/Logging_0480/tillsynsmail/A 50871-2025 tillsynsbegäran mail.docx", "A 50871-2025")</f>
        <v/>
      </c>
      <c r="AE69">
        <f>HYPERLINK("https://klasma.github.io/Logging_0480/fåglar/A 50871-2025 prioriterade fågelarter.docx", "A 50871-2025")</f>
        <v/>
      </c>
    </row>
    <row r="70" ht="15" customHeight="1">
      <c r="A70" t="inlineStr">
        <is>
          <t>A 52384-2025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45954</v>
      </c>
      <c r="E70" s="1" t="n">
        <v>46322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Törnskata</t>
        </is>
      </c>
      <c r="W70">
        <f>HYPERLINK("https://klasma.github.io/Logging_0480/artfynd/A 52384-2025 artfynd.xlsx", "A 52384-2025")</f>
        <v/>
      </c>
      <c r="X70">
        <f>HYPERLINK("https://klasma.github.io/Logging_0480/kartor/A 52384-2025 karta.png", "A 52384-2025")</f>
        <v/>
      </c>
      <c r="Y70">
        <f>HYPERLINK("https://klasma.github.io/Logging_0480/kartor_geotiff/A 52384-2025 georefererad karta.tif", "A 52384-2025")</f>
        <v/>
      </c>
      <c r="AA70">
        <f>HYPERLINK("https://klasma.github.io/Logging_0480/klagomål/A 52384-2025 FSC-klagomål.docx", "A 52384-2025")</f>
        <v/>
      </c>
      <c r="AB70">
        <f>HYPERLINK("https://klasma.github.io/Logging_0480/klagomålsmail/A 52384-2025 FSC-klagomål mail.docx", "A 52384-2025")</f>
        <v/>
      </c>
      <c r="AC70">
        <f>HYPERLINK("https://klasma.github.io/Logging_0480/tillsyn/A 52384-2025 tillsynsbegäran.docx", "A 52384-2025")</f>
        <v/>
      </c>
      <c r="AD70">
        <f>HYPERLINK("https://klasma.github.io/Logging_0480/tillsynsmail/A 52384-2025 tillsynsbegäran mail.docx", "A 52384-2025")</f>
        <v/>
      </c>
      <c r="AE70">
        <f>HYPERLINK("https://klasma.github.io/Logging_0480/fåglar/A 52384-2025 prioriterade fågelarter.docx", "A 52384-2025")</f>
        <v/>
      </c>
    </row>
    <row r="71" ht="15" customHeight="1">
      <c r="A71" t="inlineStr">
        <is>
          <t>A 1105-2023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44935</v>
      </c>
      <c r="E71" s="1" t="n">
        <v>46322</v>
      </c>
      <c r="F71" t="inlineStr">
        <is>
          <t>SÖDERMANLANDS LÄN</t>
        </is>
      </c>
      <c r="G71" t="inlineStr">
        <is>
          <t>NYKÖPING</t>
        </is>
      </c>
      <c r="H71" t="inlineStr">
        <is>
          <t>Holmen skog AB</t>
        </is>
      </c>
      <c r="I71" t="n">
        <v>1.1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Skuggblåslav</t>
        </is>
      </c>
      <c r="W71">
        <f>HYPERLINK("https://klasma.github.io/Logging_0480/artfynd/A 1105-2023 artfynd.xlsx", "A 1105-2023")</f>
        <v/>
      </c>
      <c r="X71">
        <f>HYPERLINK("https://klasma.github.io/Logging_0480/kartor/A 1105-2023 karta.png", "A 1105-2023")</f>
        <v/>
      </c>
      <c r="Y71">
        <f>HYPERLINK("https://klasma.github.io/Logging_0480/kartor_geotiff/A 1105-2023 georefererad karta.tif", "A 1105-2023")</f>
        <v/>
      </c>
      <c r="AA71">
        <f>HYPERLINK("https://klasma.github.io/Logging_0480/klagomål/A 1105-2023 FSC-klagomål.docx", "A 1105-2023")</f>
        <v/>
      </c>
      <c r="AB71">
        <f>HYPERLINK("https://klasma.github.io/Logging_0480/klagomålsmail/A 1105-2023 FSC-klagomål mail.docx", "A 1105-2023")</f>
        <v/>
      </c>
      <c r="AC71">
        <f>HYPERLINK("https://klasma.github.io/Logging_0480/tillsyn/A 1105-2023 tillsynsbegäran.docx", "A 1105-2023")</f>
        <v/>
      </c>
      <c r="AD71">
        <f>HYPERLINK("https://klasma.github.io/Logging_0480/tillsynsmail/A 1105-2023 tillsynsbegäran mail.docx", "A 1105-2023")</f>
        <v/>
      </c>
    </row>
    <row r="72" ht="15" customHeight="1">
      <c r="A72" t="inlineStr">
        <is>
          <t>A 2829-2025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45677</v>
      </c>
      <c r="E72" s="1" t="n">
        <v>46322</v>
      </c>
      <c r="F72" t="inlineStr">
        <is>
          <t>SÖDERMANLANDS LÄN</t>
        </is>
      </c>
      <c r="G72" t="inlineStr">
        <is>
          <t>NYKÖPING</t>
        </is>
      </c>
      <c r="H72" t="inlineStr">
        <is>
          <t>Allmännings- och besparingsskogar</t>
        </is>
      </c>
      <c r="I72" t="n">
        <v>12.1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Nattskärra</t>
        </is>
      </c>
      <c r="W72">
        <f>HYPERLINK("https://klasma.github.io/Logging_0480/artfynd/A 2829-2025 artfynd.xlsx", "A 2829-2025")</f>
        <v/>
      </c>
      <c r="X72">
        <f>HYPERLINK("https://klasma.github.io/Logging_0480/kartor/A 2829-2025 karta.png", "A 2829-2025")</f>
        <v/>
      </c>
      <c r="Y72">
        <f>HYPERLINK("https://klasma.github.io/Logging_0480/kartor_geotiff/A 2829-2025 georefererad karta.tif", "A 2829-2025")</f>
        <v/>
      </c>
      <c r="AA72">
        <f>HYPERLINK("https://klasma.github.io/Logging_0480/klagomål/A 2829-2025 FSC-klagomål.docx", "A 2829-2025")</f>
        <v/>
      </c>
      <c r="AB72">
        <f>HYPERLINK("https://klasma.github.io/Logging_0480/klagomålsmail/A 2829-2025 FSC-klagomål mail.docx", "A 2829-2025")</f>
        <v/>
      </c>
      <c r="AC72">
        <f>HYPERLINK("https://klasma.github.io/Logging_0480/tillsyn/A 2829-2025 tillsynsbegäran.docx", "A 2829-2025")</f>
        <v/>
      </c>
      <c r="AD72">
        <f>HYPERLINK("https://klasma.github.io/Logging_0480/tillsynsmail/A 2829-2025 tillsynsbegäran mail.docx", "A 2829-2025")</f>
        <v/>
      </c>
      <c r="AE72">
        <f>HYPERLINK("https://klasma.github.io/Logging_0480/fåglar/A 2829-2025 prioriterade fågelarter.docx", "A 2829-2025")</f>
        <v/>
      </c>
    </row>
    <row r="73" ht="15" customHeight="1">
      <c r="A73" t="inlineStr">
        <is>
          <t>A 56080-2024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45624</v>
      </c>
      <c r="E73" s="1" t="n">
        <v>46322</v>
      </c>
      <c r="F73" t="inlineStr">
        <is>
          <t>SÖDERMANLANDS LÄN</t>
        </is>
      </c>
      <c r="G73" t="inlineStr">
        <is>
          <t>NYKÖPING</t>
        </is>
      </c>
      <c r="I73" t="n">
        <v>5.5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Ärtsångare</t>
        </is>
      </c>
      <c r="W73">
        <f>HYPERLINK("https://klasma.github.io/Logging_0480/artfynd/A 56080-2024 artfynd.xlsx", "A 56080-2024")</f>
        <v/>
      </c>
      <c r="X73">
        <f>HYPERLINK("https://klasma.github.io/Logging_0480/kartor/A 56080-2024 karta.png", "A 56080-2024")</f>
        <v/>
      </c>
      <c r="Y73">
        <f>HYPERLINK("https://klasma.github.io/Logging_0480/kartor_geotiff/A 56080-2024 georefererad karta.tif", "A 56080-2024")</f>
        <v/>
      </c>
      <c r="AA73">
        <f>HYPERLINK("https://klasma.github.io/Logging_0480/klagomål/A 56080-2024 FSC-klagomål.docx", "A 56080-2024")</f>
        <v/>
      </c>
      <c r="AB73">
        <f>HYPERLINK("https://klasma.github.io/Logging_0480/klagomålsmail/A 56080-2024 FSC-klagomål mail.docx", "A 56080-2024")</f>
        <v/>
      </c>
      <c r="AC73">
        <f>HYPERLINK("https://klasma.github.io/Logging_0480/tillsyn/A 56080-2024 tillsynsbegäran.docx", "A 56080-2024")</f>
        <v/>
      </c>
      <c r="AD73">
        <f>HYPERLINK("https://klasma.github.io/Logging_0480/tillsynsmail/A 56080-2024 tillsynsbegäran mail.docx", "A 56080-2024")</f>
        <v/>
      </c>
    </row>
    <row r="74" ht="15" customHeight="1">
      <c r="A74" t="inlineStr">
        <is>
          <t>A 65889-2021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46322</v>
      </c>
      <c r="F74" t="inlineStr">
        <is>
          <t>SÖDERMANLANDS LÄN</t>
        </is>
      </c>
      <c r="G74" t="inlineStr">
        <is>
          <t>NYKÖPING</t>
        </is>
      </c>
      <c r="I74" t="n">
        <v>4.8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Backstarr</t>
        </is>
      </c>
      <c r="W74">
        <f>HYPERLINK("https://klasma.github.io/Logging_0480/artfynd/A 65889-2021 artfynd.xlsx", "A 65889-2021")</f>
        <v/>
      </c>
      <c r="X74">
        <f>HYPERLINK("https://klasma.github.io/Logging_0480/kartor/A 65889-2021 karta.png", "A 65889-2021")</f>
        <v/>
      </c>
      <c r="Y74">
        <f>HYPERLINK("https://klasma.github.io/Logging_0480/kartor_geotiff/A 65889-2021 georefererad karta.tif", "A 65889-2021")</f>
        <v/>
      </c>
      <c r="AA74">
        <f>HYPERLINK("https://klasma.github.io/Logging_0480/klagomål/A 65889-2021 FSC-klagomål.docx", "A 65889-2021")</f>
        <v/>
      </c>
      <c r="AB74">
        <f>HYPERLINK("https://klasma.github.io/Logging_0480/klagomålsmail/A 65889-2021 FSC-klagomål mail.docx", "A 65889-2021")</f>
        <v/>
      </c>
      <c r="AC74">
        <f>HYPERLINK("https://klasma.github.io/Logging_0480/tillsyn/A 65889-2021 tillsynsbegäran.docx", "A 65889-2021")</f>
        <v/>
      </c>
      <c r="AD74">
        <f>HYPERLINK("https://klasma.github.io/Logging_0480/tillsynsmail/A 65889-2021 tillsynsbegäran mail.docx", "A 65889-2021")</f>
        <v/>
      </c>
    </row>
    <row r="75" ht="15" customHeight="1">
      <c r="A75" t="inlineStr">
        <is>
          <t>A 18500-2024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45424</v>
      </c>
      <c r="E75" s="1" t="n">
        <v>46322</v>
      </c>
      <c r="F75" t="inlineStr">
        <is>
          <t>SÖDERMANLANDS LÄN</t>
        </is>
      </c>
      <c r="G75" t="inlineStr">
        <is>
          <t>NYKÖPING</t>
        </is>
      </c>
      <c r="I75" t="n">
        <v>2.4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Tornseglare</t>
        </is>
      </c>
      <c r="W75">
        <f>HYPERLINK("https://klasma.github.io/Logging_0480/artfynd/A 18500-2024 artfynd.xlsx", "A 18500-2024")</f>
        <v/>
      </c>
      <c r="X75">
        <f>HYPERLINK("https://klasma.github.io/Logging_0480/kartor/A 18500-2024 karta.png", "A 18500-2024")</f>
        <v/>
      </c>
      <c r="Y75">
        <f>HYPERLINK("https://klasma.github.io/Logging_0480/kartor_geotiff/A 18500-2024 georefererad karta.tif", "A 18500-2024")</f>
        <v/>
      </c>
      <c r="AA75">
        <f>HYPERLINK("https://klasma.github.io/Logging_0480/klagomål/A 18500-2024 FSC-klagomål.docx", "A 18500-2024")</f>
        <v/>
      </c>
      <c r="AB75">
        <f>HYPERLINK("https://klasma.github.io/Logging_0480/klagomålsmail/A 18500-2024 FSC-klagomål mail.docx", "A 18500-2024")</f>
        <v/>
      </c>
      <c r="AC75">
        <f>HYPERLINK("https://klasma.github.io/Logging_0480/tillsyn/A 18500-2024 tillsynsbegäran.docx", "A 18500-2024")</f>
        <v/>
      </c>
      <c r="AD75">
        <f>HYPERLINK("https://klasma.github.io/Logging_0480/tillsynsmail/A 18500-2024 tillsynsbegäran mail.docx", "A 18500-2024")</f>
        <v/>
      </c>
      <c r="AE75">
        <f>HYPERLINK("https://klasma.github.io/Logging_0480/fåglar/A 18500-2024 prioriterade fågelarter.docx", "A 18500-2024")</f>
        <v/>
      </c>
    </row>
    <row r="76" ht="15" customHeight="1">
      <c r="A76" t="inlineStr">
        <is>
          <t>A 59905-2025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45993</v>
      </c>
      <c r="E76" s="1" t="n">
        <v>46322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11.7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Kattfotslav</t>
        </is>
      </c>
      <c r="W76">
        <f>HYPERLINK("https://klasma.github.io/Logging_0480/artfynd/A 59905-2025 artfynd.xlsx", "A 59905-2025")</f>
        <v/>
      </c>
      <c r="X76">
        <f>HYPERLINK("https://klasma.github.io/Logging_0480/kartor/A 59905-2025 karta.png", "A 59905-2025")</f>
        <v/>
      </c>
      <c r="Y76">
        <f>HYPERLINK("https://klasma.github.io/Logging_0480/kartor_geotiff/A 59905-2025 georefererad karta.tif", "A 59905-2025")</f>
        <v/>
      </c>
      <c r="AA76">
        <f>HYPERLINK("https://klasma.github.io/Logging_0480/klagomål/A 59905-2025 FSC-klagomål.docx", "A 59905-2025")</f>
        <v/>
      </c>
      <c r="AB76">
        <f>HYPERLINK("https://klasma.github.io/Logging_0480/klagomålsmail/A 59905-2025 FSC-klagomål mail.docx", "A 59905-2025")</f>
        <v/>
      </c>
      <c r="AC76">
        <f>HYPERLINK("https://klasma.github.io/Logging_0480/tillsyn/A 59905-2025 tillsynsbegäran.docx", "A 59905-2025")</f>
        <v/>
      </c>
      <c r="AD76">
        <f>HYPERLINK("https://klasma.github.io/Logging_0480/tillsynsmail/A 59905-2025 tillsynsbegäran mail.docx", "A 59905-2025")</f>
        <v/>
      </c>
    </row>
    <row r="77" ht="15" customHeight="1">
      <c r="A77" t="inlineStr">
        <is>
          <t>A 28704-2025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46322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Tallticka</t>
        </is>
      </c>
      <c r="W77">
        <f>HYPERLINK("https://klasma.github.io/Logging_0480/artfynd/A 28704-2025 artfynd.xlsx", "A 28704-2025")</f>
        <v/>
      </c>
      <c r="X77">
        <f>HYPERLINK("https://klasma.github.io/Logging_0480/kartor/A 28704-2025 karta.png", "A 28704-2025")</f>
        <v/>
      </c>
      <c r="Y77">
        <f>HYPERLINK("https://klasma.github.io/Logging_0480/kartor_geotiff/A 28704-2025 georefererad karta.tif", "A 28704-2025")</f>
        <v/>
      </c>
      <c r="AA77">
        <f>HYPERLINK("https://klasma.github.io/Logging_0480/klagomål/A 28704-2025 FSC-klagomål.docx", "A 28704-2025")</f>
        <v/>
      </c>
      <c r="AB77">
        <f>HYPERLINK("https://klasma.github.io/Logging_0480/klagomålsmail/A 28704-2025 FSC-klagomål mail.docx", "A 28704-2025")</f>
        <v/>
      </c>
      <c r="AC77">
        <f>HYPERLINK("https://klasma.github.io/Logging_0480/tillsyn/A 28704-2025 tillsynsbegäran.docx", "A 28704-2025")</f>
        <v/>
      </c>
      <c r="AD77">
        <f>HYPERLINK("https://klasma.github.io/Logging_0480/tillsynsmail/A 28704-2025 tillsynsbegäran mail.docx", "A 28704-2025")</f>
        <v/>
      </c>
    </row>
    <row r="78" ht="15" customHeight="1">
      <c r="A78" t="inlineStr">
        <is>
          <t>A 63423-2025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46013</v>
      </c>
      <c r="E78" s="1" t="n">
        <v>46322</v>
      </c>
      <c r="F78" t="inlineStr">
        <is>
          <t>SÖDERMANLANDS LÄN</t>
        </is>
      </c>
      <c r="G78" t="inlineStr">
        <is>
          <t>NYKÖPING</t>
        </is>
      </c>
      <c r="I78" t="n">
        <v>7.4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HYPERLINK("https://klasma.github.io/Logging_0480/artfynd/A 63423-2025 artfynd.xlsx", "A 63423-2025")</f>
        <v/>
      </c>
      <c r="X78">
        <f>HYPERLINK("https://klasma.github.io/Logging_0480/kartor/A 63423-2025 karta.png", "A 63423-2025")</f>
        <v/>
      </c>
      <c r="Y78">
        <f>HYPERLINK("https://klasma.github.io/Logging_0480/kartor_geotiff/A 63423-2025 georefererad karta.tif", "A 63423-2025")</f>
        <v/>
      </c>
      <c r="AA78">
        <f>HYPERLINK("https://klasma.github.io/Logging_0480/klagomål/A 63423-2025 FSC-klagomål.docx", "A 63423-2025")</f>
        <v/>
      </c>
      <c r="AB78">
        <f>HYPERLINK("https://klasma.github.io/Logging_0480/klagomålsmail/A 63423-2025 FSC-klagomål mail.docx", "A 63423-2025")</f>
        <v/>
      </c>
      <c r="AC78">
        <f>HYPERLINK("https://klasma.github.io/Logging_0480/tillsyn/A 63423-2025 tillsynsbegäran.docx", "A 63423-2025")</f>
        <v/>
      </c>
      <c r="AD78">
        <f>HYPERLINK("https://klasma.github.io/Logging_0480/tillsynsmail/A 63423-2025 tillsynsbegäran mail.docx", "A 63423-2025")</f>
        <v/>
      </c>
    </row>
    <row r="79" ht="15" customHeight="1">
      <c r="A79" t="inlineStr">
        <is>
          <t>A 7270-2025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45702</v>
      </c>
      <c r="E79" s="1" t="n">
        <v>46322</v>
      </c>
      <c r="F79" t="inlineStr">
        <is>
          <t>SÖDERMANLANDS LÄN</t>
        </is>
      </c>
      <c r="G79" t="inlineStr">
        <is>
          <t>NYKÖPING</t>
        </is>
      </c>
      <c r="H79" t="inlineStr">
        <is>
          <t>Övriga Aktiebolag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Järpe</t>
        </is>
      </c>
      <c r="W79">
        <f>HYPERLINK("https://klasma.github.io/Logging_0480/artfynd/A 7270-2025 artfynd.xlsx", "A 7270-2025")</f>
        <v/>
      </c>
      <c r="X79">
        <f>HYPERLINK("https://klasma.github.io/Logging_0480/kartor/A 7270-2025 karta.png", "A 7270-2025")</f>
        <v/>
      </c>
      <c r="Y79">
        <f>HYPERLINK("https://klasma.github.io/Logging_0480/kartor_geotiff/A 7270-2025 georefererad karta.tif", "A 7270-2025")</f>
        <v/>
      </c>
      <c r="AA79">
        <f>HYPERLINK("https://klasma.github.io/Logging_0480/klagomål/A 7270-2025 FSC-klagomål.docx", "A 7270-2025")</f>
        <v/>
      </c>
      <c r="AB79">
        <f>HYPERLINK("https://klasma.github.io/Logging_0480/klagomålsmail/A 7270-2025 FSC-klagomål mail.docx", "A 7270-2025")</f>
        <v/>
      </c>
      <c r="AC79">
        <f>HYPERLINK("https://klasma.github.io/Logging_0480/tillsyn/A 7270-2025 tillsynsbegäran.docx", "A 7270-2025")</f>
        <v/>
      </c>
      <c r="AD79">
        <f>HYPERLINK("https://klasma.github.io/Logging_0480/tillsynsmail/A 7270-2025 tillsynsbegäran mail.docx", "A 7270-2025")</f>
        <v/>
      </c>
      <c r="AE79">
        <f>HYPERLINK("https://klasma.github.io/Logging_0480/fåglar/A 7270-2025 prioriterade fågelarter.docx", "A 7270-2025")</f>
        <v/>
      </c>
    </row>
    <row r="80" ht="15" customHeight="1">
      <c r="A80" t="inlineStr">
        <is>
          <t>A 31182-2026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46217</v>
      </c>
      <c r="E80" s="1" t="n">
        <v>46322</v>
      </c>
      <c r="F80" t="inlineStr">
        <is>
          <t>SÖDERMANLANDS LÄN</t>
        </is>
      </c>
      <c r="G80" t="inlineStr">
        <is>
          <t>NYKÖPING</t>
        </is>
      </c>
      <c r="I80" t="n">
        <v>5.1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Grönpyrola</t>
        </is>
      </c>
      <c r="W80">
        <f>HYPERLINK("https://klasma.github.io/Logging_0480/artfynd/A 31182-2026 artfynd.xlsx", "A 31182-2026")</f>
        <v/>
      </c>
      <c r="X80">
        <f>HYPERLINK("https://klasma.github.io/Logging_0480/kartor/A 31182-2026 karta.png", "A 31182-2026")</f>
        <v/>
      </c>
      <c r="Y80">
        <f>HYPERLINK("https://klasma.github.io/Logging_0480/kartor_geotiff/A 31182-2026 georefererad karta.tif", "A 31182-2026")</f>
        <v/>
      </c>
      <c r="AA80">
        <f>HYPERLINK("https://klasma.github.io/Logging_0480/klagomål/A 31182-2026 FSC-klagomål.docx", "A 31182-2026")</f>
        <v/>
      </c>
      <c r="AB80">
        <f>HYPERLINK("https://klasma.github.io/Logging_0480/klagomålsmail/A 31182-2026 FSC-klagomål mail.docx", "A 31182-2026")</f>
        <v/>
      </c>
      <c r="AC80">
        <f>HYPERLINK("https://klasma.github.io/Logging_0480/tillsyn/A 31182-2026 tillsynsbegäran.docx", "A 31182-2026")</f>
        <v/>
      </c>
      <c r="AD80">
        <f>HYPERLINK("https://klasma.github.io/Logging_0480/tillsynsmail/A 31182-2026 tillsynsbegäran mail.docx", "A 31182-2026")</f>
        <v/>
      </c>
    </row>
    <row r="81" ht="15" customHeight="1">
      <c r="A81" t="inlineStr">
        <is>
          <t>A 10886-2026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46322</v>
      </c>
      <c r="F81" t="inlineStr">
        <is>
          <t>SÖDERMANLANDS LÄN</t>
        </is>
      </c>
      <c r="G81" t="inlineStr">
        <is>
          <t>NYKÖPING</t>
        </is>
      </c>
      <c r="I81" t="n">
        <v>2.5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HYPERLINK("https://klasma.github.io/Logging_0480/artfynd/A 10886-2026 artfynd.xlsx", "A 10886-2026")</f>
        <v/>
      </c>
      <c r="X81">
        <f>HYPERLINK("https://klasma.github.io/Logging_0480/kartor/A 10886-2026 karta.png", "A 10886-2026")</f>
        <v/>
      </c>
      <c r="Y81">
        <f>HYPERLINK("https://klasma.github.io/Logging_0480/kartor_geotiff/A 10886-2026 georefererad karta.tif", "A 10886-2026")</f>
        <v/>
      </c>
      <c r="AA81">
        <f>HYPERLINK("https://klasma.github.io/Logging_0480/klagomål/A 10886-2026 FSC-klagomål.docx", "A 10886-2026")</f>
        <v/>
      </c>
      <c r="AB81">
        <f>HYPERLINK("https://klasma.github.io/Logging_0480/klagomålsmail/A 10886-2026 FSC-klagomål mail.docx", "A 10886-2026")</f>
        <v/>
      </c>
      <c r="AC81">
        <f>HYPERLINK("https://klasma.github.io/Logging_0480/tillsyn/A 10886-2026 tillsynsbegäran.docx", "A 10886-2026")</f>
        <v/>
      </c>
      <c r="AD81">
        <f>HYPERLINK("https://klasma.github.io/Logging_0480/tillsynsmail/A 10886-2026 tillsynsbegäran mail.docx", "A 10886-2026")</f>
        <v/>
      </c>
    </row>
    <row r="82" ht="15" customHeight="1">
      <c r="A82" t="inlineStr">
        <is>
          <t>A 31998-2026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46232</v>
      </c>
      <c r="E82" s="1" t="n">
        <v>46322</v>
      </c>
      <c r="F82" t="inlineStr">
        <is>
          <t>SÖDERMANLANDS LÄN</t>
        </is>
      </c>
      <c r="G82" t="inlineStr">
        <is>
          <t>NYKÖPING</t>
        </is>
      </c>
      <c r="H82" t="inlineStr">
        <is>
          <t>Sveaskog</t>
        </is>
      </c>
      <c r="I82" t="n">
        <v>12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HYPERLINK("https://klasma.github.io/Logging_0480/artfynd/A 31998-2026 artfynd.xlsx", "A 31998-2026")</f>
        <v/>
      </c>
      <c r="X82">
        <f>HYPERLINK("https://klasma.github.io/Logging_0480/kartor/A 31998-2026 karta.png", "A 31998-2026")</f>
        <v/>
      </c>
      <c r="Y82">
        <f>HYPERLINK("https://klasma.github.io/Logging_0480/kartor_geotiff/A 31998-2026 georefererad karta.tif", "A 31998-2026")</f>
        <v/>
      </c>
      <c r="AA82">
        <f>HYPERLINK("https://klasma.github.io/Logging_0480/klagomål/A 31998-2026 FSC-klagomål.docx", "A 31998-2026")</f>
        <v/>
      </c>
      <c r="AB82">
        <f>HYPERLINK("https://klasma.github.io/Logging_0480/klagomålsmail/A 31998-2026 FSC-klagomål mail.docx", "A 31998-2026")</f>
        <v/>
      </c>
      <c r="AC82">
        <f>HYPERLINK("https://klasma.github.io/Logging_0480/tillsyn/A 31998-2026 tillsynsbegäran.docx", "A 31998-2026")</f>
        <v/>
      </c>
      <c r="AD82">
        <f>HYPERLINK("https://klasma.github.io/Logging_0480/tillsynsmail/A 31998-2026 tillsynsbegäran mail.docx", "A 31998-2026")</f>
        <v/>
      </c>
    </row>
    <row r="83" ht="15" customHeight="1">
      <c r="A83" t="inlineStr">
        <is>
          <t>A 59329-2023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45252</v>
      </c>
      <c r="E83" s="1" t="n">
        <v>46322</v>
      </c>
      <c r="F83" t="inlineStr">
        <is>
          <t>SÖDERMANLANDS LÄN</t>
        </is>
      </c>
      <c r="G83" t="inlineStr">
        <is>
          <t>NYKÖPING</t>
        </is>
      </c>
      <c r="I83" t="n">
        <v>22.1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HYPERLINK("https://klasma.github.io/Logging_0480/artfynd/A 59329-2023 artfynd.xlsx", "A 59329-2023")</f>
        <v/>
      </c>
      <c r="X83">
        <f>HYPERLINK("https://klasma.github.io/Logging_0480/kartor/A 59329-2023 karta.png", "A 59329-2023")</f>
        <v/>
      </c>
      <c r="Y83">
        <f>HYPERLINK("https://klasma.github.io/Logging_0480/kartor_geotiff/A 59329-2023 georefererad karta.tif", "A 59329-2023")</f>
        <v/>
      </c>
      <c r="AA83">
        <f>HYPERLINK("https://klasma.github.io/Logging_0480/klagomål/A 59329-2023 FSC-klagomål.docx", "A 59329-2023")</f>
        <v/>
      </c>
      <c r="AB83">
        <f>HYPERLINK("https://klasma.github.io/Logging_0480/klagomålsmail/A 59329-2023 FSC-klagomål mail.docx", "A 59329-2023")</f>
        <v/>
      </c>
      <c r="AC83">
        <f>HYPERLINK("https://klasma.github.io/Logging_0480/tillsyn/A 59329-2023 tillsynsbegäran.docx", "A 59329-2023")</f>
        <v/>
      </c>
      <c r="AD83">
        <f>HYPERLINK("https://klasma.github.io/Logging_0480/tillsynsmail/A 59329-2023 tillsynsbegäran mail.docx", "A 59329-2023")</f>
        <v/>
      </c>
    </row>
    <row r="84" ht="15" customHeight="1">
      <c r="A84" t="inlineStr">
        <is>
          <t>A 37954-2026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46280</v>
      </c>
      <c r="E84" s="1" t="n">
        <v>46322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4.3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2</v>
      </c>
      <c r="V84" s="2" t="inlineStr">
        <is>
          <t>Violmussling</t>
        </is>
      </c>
      <c r="W84">
        <f>HYPERLINK("https://klasma.github.io/Logging_0480/artfynd/A 37954-2026 artfynd.xlsx", "A 37954-2026")</f>
        <v/>
      </c>
      <c r="X84">
        <f>HYPERLINK("https://klasma.github.io/Logging_0480/kartor/A 37954-2026 karta.png", "A 37954-2026")</f>
        <v/>
      </c>
      <c r="Y84">
        <f>HYPERLINK("https://klasma.github.io/Logging_0480/kartor_geotiff/A 37954-2026 georefererad karta.tif", "A 37954-2026")</f>
        <v/>
      </c>
      <c r="AA84">
        <f>HYPERLINK("https://klasma.github.io/Logging_0480/klagomål/A 37954-2026 FSC-klagomål.docx", "A 37954-2026")</f>
        <v/>
      </c>
      <c r="AB84">
        <f>HYPERLINK("https://klasma.github.io/Logging_0480/klagomålsmail/A 37954-2026 FSC-klagomål mail.docx", "A 37954-2026")</f>
        <v/>
      </c>
      <c r="AC84">
        <f>HYPERLINK("https://klasma.github.io/Logging_0480/tillsyn/A 37954-2026 tillsynsbegäran.docx", "A 37954-2026")</f>
        <v/>
      </c>
      <c r="AD84">
        <f>HYPERLINK("https://klasma.github.io/Logging_0480/tillsynsmail/A 37954-2026 tillsynsbegäran mail.docx", "A 37954-2026")</f>
        <v/>
      </c>
    </row>
    <row r="85" ht="15" customHeight="1">
      <c r="A85" t="inlineStr">
        <is>
          <t>A 8387-2024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45352</v>
      </c>
      <c r="E85" s="1" t="n">
        <v>46322</v>
      </c>
      <c r="F85" t="inlineStr">
        <is>
          <t>SÖDERMANLANDS LÄN</t>
        </is>
      </c>
      <c r="G85" t="inlineStr">
        <is>
          <t>NYKÖPING</t>
        </is>
      </c>
      <c r="H85" t="inlineStr">
        <is>
          <t>Sveaskog</t>
        </is>
      </c>
      <c r="I85" t="n">
        <v>0.6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HYPERLINK("https://klasma.github.io/Logging_0480/artfynd/A 8387-2024 artfynd.xlsx", "A 8387-2024")</f>
        <v/>
      </c>
      <c r="X85">
        <f>HYPERLINK("https://klasma.github.io/Logging_0480/kartor/A 8387-2024 karta.png", "A 8387-2024")</f>
        <v/>
      </c>
      <c r="Y85">
        <f>HYPERLINK("https://klasma.github.io/Logging_0480/kartor_geotiff/A 8387-2024 georefererad karta.tif", "A 8387-2024")</f>
        <v/>
      </c>
      <c r="AA85">
        <f>HYPERLINK("https://klasma.github.io/Logging_0480/klagomål/A 8387-2024 FSC-klagomål.docx", "A 8387-2024")</f>
        <v/>
      </c>
      <c r="AB85">
        <f>HYPERLINK("https://klasma.github.io/Logging_0480/klagomålsmail/A 8387-2024 FSC-klagomål mail.docx", "A 8387-2024")</f>
        <v/>
      </c>
      <c r="AC85">
        <f>HYPERLINK("https://klasma.github.io/Logging_0480/tillsyn/A 8387-2024 tillsynsbegäran.docx", "A 8387-2024")</f>
        <v/>
      </c>
      <c r="AD85">
        <f>HYPERLINK("https://klasma.github.io/Logging_0480/tillsynsmail/A 8387-2024 tillsynsbegäran mail.docx", "A 8387-2024")</f>
        <v/>
      </c>
      <c r="AE85">
        <f>HYPERLINK("https://klasma.github.io/Logging_0480/fåglar/A 8387-2024 prioriterade fågelarter.docx", "A 8387-2024")</f>
        <v/>
      </c>
    </row>
    <row r="86" ht="15" customHeight="1">
      <c r="A86" t="inlineStr">
        <is>
          <t>A 32627-2026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46240</v>
      </c>
      <c r="E86" s="1" t="n">
        <v>46322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Motaggsvamp</t>
        </is>
      </c>
      <c r="W86">
        <f>HYPERLINK("https://klasma.github.io/Logging_0480/artfynd/A 32627-2026 artfynd.xlsx", "A 32627-2026")</f>
        <v/>
      </c>
      <c r="X86">
        <f>HYPERLINK("https://klasma.github.io/Logging_0480/kartor/A 32627-2026 karta.png", "A 32627-2026")</f>
        <v/>
      </c>
      <c r="Y86">
        <f>HYPERLINK("https://klasma.github.io/Logging_0480/kartor_geotiff/A 32627-2026 georefererad karta.tif", "A 32627-2026")</f>
        <v/>
      </c>
      <c r="AA86">
        <f>HYPERLINK("https://klasma.github.io/Logging_0480/klagomål/A 32627-2026 FSC-klagomål.docx", "A 32627-2026")</f>
        <v/>
      </c>
      <c r="AB86">
        <f>HYPERLINK("https://klasma.github.io/Logging_0480/klagomålsmail/A 32627-2026 FSC-klagomål mail.docx", "A 32627-2026")</f>
        <v/>
      </c>
      <c r="AC86">
        <f>HYPERLINK("https://klasma.github.io/Logging_0480/tillsyn/A 32627-2026 tillsynsbegäran.docx", "A 32627-2026")</f>
        <v/>
      </c>
      <c r="AD86">
        <f>HYPERLINK("https://klasma.github.io/Logging_0480/tillsynsmail/A 32627-2026 tillsynsbegäran mail.docx", "A 32627-2026")</f>
        <v/>
      </c>
    </row>
    <row r="87" ht="15" customHeight="1">
      <c r="A87" t="inlineStr">
        <is>
          <t>A 4903-2022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46322</v>
      </c>
      <c r="F87" t="inlineStr">
        <is>
          <t>SÖDERMANLANDS LÄN</t>
        </is>
      </c>
      <c r="G87" t="inlineStr">
        <is>
          <t>NYKÖPING</t>
        </is>
      </c>
      <c r="I87" t="n">
        <v>2.7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HYPERLINK("https://klasma.github.io/Logging_0480/artfynd/A 4903-2022 artfynd.xlsx", "A 4903-2022")</f>
        <v/>
      </c>
      <c r="X87">
        <f>HYPERLINK("https://klasma.github.io/Logging_0480/kartor/A 4903-2022 karta.png", "A 4903-2022")</f>
        <v/>
      </c>
      <c r="Y87">
        <f>HYPERLINK("https://klasma.github.io/Logging_0480/kartor_geotiff/A 4903-2022 georefererad karta.tif", "A 4903-2022")</f>
        <v/>
      </c>
      <c r="Z87">
        <f>HYPERLINK("https://klasma.github.io/Logging_0480/knärot/A 4903-2022 karta knärot.png", "A 4903-2022")</f>
        <v/>
      </c>
      <c r="AA87">
        <f>HYPERLINK("https://klasma.github.io/Logging_0480/klagomål/A 4903-2022 FSC-klagomål.docx", "A 4903-2022")</f>
        <v/>
      </c>
      <c r="AB87">
        <f>HYPERLINK("https://klasma.github.io/Logging_0480/klagomålsmail/A 4903-2022 FSC-klagomål mail.docx", "A 4903-2022")</f>
        <v/>
      </c>
      <c r="AC87">
        <f>HYPERLINK("https://klasma.github.io/Logging_0480/tillsyn/A 4903-2022 tillsynsbegäran.docx", "A 4903-2022")</f>
        <v/>
      </c>
      <c r="AD87">
        <f>HYPERLINK("https://klasma.github.io/Logging_0480/tillsynsmail/A 4903-2022 tillsynsbegäran mail.docx", "A 4903-2022")</f>
        <v/>
      </c>
    </row>
    <row r="88" ht="15" customHeight="1">
      <c r="A88" t="inlineStr">
        <is>
          <t>A 50554-2023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46322</v>
      </c>
      <c r="F88" t="inlineStr">
        <is>
          <t>SÖDERMANLANDS LÄN</t>
        </is>
      </c>
      <c r="G88" t="inlineStr">
        <is>
          <t>NYKÖPING</t>
        </is>
      </c>
      <c r="I88" t="n">
        <v>10.9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Grönpyrola</t>
        </is>
      </c>
      <c r="W88">
        <f>HYPERLINK("https://klasma.github.io/Logging_0480/artfynd/A 50554-2023 artfynd.xlsx", "A 50554-2023")</f>
        <v/>
      </c>
      <c r="X88">
        <f>HYPERLINK("https://klasma.github.io/Logging_0480/kartor/A 50554-2023 karta.png", "A 50554-2023")</f>
        <v/>
      </c>
      <c r="Y88">
        <f>HYPERLINK("https://klasma.github.io/Logging_0480/kartor_geotiff/A 50554-2023 georefererad karta.tif", "A 50554-2023")</f>
        <v/>
      </c>
      <c r="AA88">
        <f>HYPERLINK("https://klasma.github.io/Logging_0480/klagomål/A 50554-2023 FSC-klagomål.docx", "A 50554-2023")</f>
        <v/>
      </c>
      <c r="AB88">
        <f>HYPERLINK("https://klasma.github.io/Logging_0480/klagomålsmail/A 50554-2023 FSC-klagomål mail.docx", "A 50554-2023")</f>
        <v/>
      </c>
      <c r="AC88">
        <f>HYPERLINK("https://klasma.github.io/Logging_0480/tillsyn/A 50554-2023 tillsynsbegäran.docx", "A 50554-2023")</f>
        <v/>
      </c>
      <c r="AD88">
        <f>HYPERLINK("https://klasma.github.io/Logging_0480/tillsynsmail/A 50554-2023 tillsynsbegäran mail.docx", "A 50554-2023")</f>
        <v/>
      </c>
    </row>
    <row r="89" ht="15" customHeight="1">
      <c r="A89" t="inlineStr">
        <is>
          <t>A 21129-2024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46322</v>
      </c>
      <c r="F89" t="inlineStr">
        <is>
          <t>SÖDERMANLANDS LÄN</t>
        </is>
      </c>
      <c r="G89" t="inlineStr">
        <is>
          <t>NYKÖPING</t>
        </is>
      </c>
      <c r="H89" t="inlineStr">
        <is>
          <t>Kommuner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Liljekonvalj</t>
        </is>
      </c>
      <c r="W89">
        <f>HYPERLINK("https://klasma.github.io/Logging_0480/artfynd/A 21129-2024 artfynd.xlsx", "A 21129-2024")</f>
        <v/>
      </c>
      <c r="X89">
        <f>HYPERLINK("https://klasma.github.io/Logging_0480/kartor/A 21129-2024 karta.png", "A 21129-2024")</f>
        <v/>
      </c>
      <c r="Y89">
        <f>HYPERLINK("https://klasma.github.io/Logging_0480/kartor_geotiff/A 21129-2024 georefererad karta.tif", "A 21129-2024")</f>
        <v/>
      </c>
      <c r="AA89">
        <f>HYPERLINK("https://klasma.github.io/Logging_0480/klagomål/A 21129-2024 FSC-klagomål.docx", "A 21129-2024")</f>
        <v/>
      </c>
      <c r="AB89">
        <f>HYPERLINK("https://klasma.github.io/Logging_0480/klagomålsmail/A 21129-2024 FSC-klagomål mail.docx", "A 21129-2024")</f>
        <v/>
      </c>
      <c r="AC89">
        <f>HYPERLINK("https://klasma.github.io/Logging_0480/tillsyn/A 21129-2024 tillsynsbegäran.docx", "A 21129-2024")</f>
        <v/>
      </c>
      <c r="AD89">
        <f>HYPERLINK("https://klasma.github.io/Logging_0480/tillsynsmail/A 21129-2024 tillsynsbegäran mail.docx", "A 21129-2024")</f>
        <v/>
      </c>
    </row>
    <row r="90" ht="15" customHeight="1">
      <c r="A90" t="inlineStr">
        <is>
          <t>A 5509-2023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46322</v>
      </c>
      <c r="F90" t="inlineStr">
        <is>
          <t>SÖDERMANLANDS LÄN</t>
        </is>
      </c>
      <c r="G90" t="inlineStr">
        <is>
          <t>NYKÖPING</t>
        </is>
      </c>
      <c r="I90" t="n">
        <v>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HYPERLINK("https://klasma.github.io/Logging_0480/artfynd/A 5509-2023 artfynd.xlsx", "A 5509-2023")</f>
        <v/>
      </c>
      <c r="X90">
        <f>HYPERLINK("https://klasma.github.io/Logging_0480/kartor/A 5509-2023 karta.png", "A 5509-2023")</f>
        <v/>
      </c>
      <c r="Y90">
        <f>HYPERLINK("https://klasma.github.io/Logging_0480/kartor_geotiff/A 5509-2023 georefererad karta.tif", "A 5509-2023")</f>
        <v/>
      </c>
      <c r="AA90">
        <f>HYPERLINK("https://klasma.github.io/Logging_0480/klagomål/A 5509-2023 FSC-klagomål.docx", "A 5509-2023")</f>
        <v/>
      </c>
      <c r="AB90">
        <f>HYPERLINK("https://klasma.github.io/Logging_0480/klagomålsmail/A 5509-2023 FSC-klagomål mail.docx", "A 5509-2023")</f>
        <v/>
      </c>
      <c r="AC90">
        <f>HYPERLINK("https://klasma.github.io/Logging_0480/tillsyn/A 5509-2023 tillsynsbegäran.docx", "A 5509-2023")</f>
        <v/>
      </c>
      <c r="AD90">
        <f>HYPERLINK("https://klasma.github.io/Logging_0480/tillsynsmail/A 5509-2023 tillsynsbegäran mail.docx", "A 5509-2023")</f>
        <v/>
      </c>
    </row>
    <row r="91" ht="15" customHeight="1">
      <c r="A91" t="inlineStr">
        <is>
          <t>A 20415-2024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46322</v>
      </c>
      <c r="F91" t="inlineStr">
        <is>
          <t>SÖDERMANLANDS LÄN</t>
        </is>
      </c>
      <c r="G91" t="inlineStr">
        <is>
          <t>NYKÖPING</t>
        </is>
      </c>
      <c r="H91" t="inlineStr">
        <is>
          <t>Kommuner</t>
        </is>
      </c>
      <c r="I91" t="n">
        <v>6.4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HYPERLINK("https://klasma.github.io/Logging_0480/artfynd/A 20415-2024 artfynd.xlsx", "A 20415-2024")</f>
        <v/>
      </c>
      <c r="X91">
        <f>HYPERLINK("https://klasma.github.io/Logging_0480/kartor/A 20415-2024 karta.png", "A 20415-2024")</f>
        <v/>
      </c>
      <c r="Y91">
        <f>HYPERLINK("https://klasma.github.io/Logging_0480/kartor_geotiff/A 20415-2024 georefererad karta.tif", "A 20415-2024")</f>
        <v/>
      </c>
      <c r="AA91">
        <f>HYPERLINK("https://klasma.github.io/Logging_0480/klagomål/A 20415-2024 FSC-klagomål.docx", "A 20415-2024")</f>
        <v/>
      </c>
      <c r="AB91">
        <f>HYPERLINK("https://klasma.github.io/Logging_0480/klagomålsmail/A 20415-2024 FSC-klagomål mail.docx", "A 20415-2024")</f>
        <v/>
      </c>
      <c r="AC91">
        <f>HYPERLINK("https://klasma.github.io/Logging_0480/tillsyn/A 20415-2024 tillsynsbegäran.docx", "A 20415-2024")</f>
        <v/>
      </c>
      <c r="AD91">
        <f>HYPERLINK("https://klasma.github.io/Logging_0480/tillsynsmail/A 20415-2024 tillsynsbegäran mail.docx", "A 20415-2024")</f>
        <v/>
      </c>
      <c r="AE91">
        <f>HYPERLINK("https://klasma.github.io/Logging_0480/fåglar/A 20415-2024 prioriterade fågelarter.docx", "A 20415-2024")</f>
        <v/>
      </c>
    </row>
    <row r="92" ht="15" customHeight="1">
      <c r="A92" t="inlineStr">
        <is>
          <t>A 20425-2024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46322</v>
      </c>
      <c r="F92" t="inlineStr">
        <is>
          <t>SÖDERMANLANDS LÄN</t>
        </is>
      </c>
      <c r="G92" t="inlineStr">
        <is>
          <t>NYKÖPING</t>
        </is>
      </c>
      <c r="H92" t="inlineStr">
        <is>
          <t>Kommuner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Skogsalm</t>
        </is>
      </c>
      <c r="W92">
        <f>HYPERLINK("https://klasma.github.io/Logging_0480/artfynd/A 20425-2024 artfynd.xlsx", "A 20425-2024")</f>
        <v/>
      </c>
      <c r="X92">
        <f>HYPERLINK("https://klasma.github.io/Logging_0480/kartor/A 20425-2024 karta.png", "A 20425-2024")</f>
        <v/>
      </c>
      <c r="Y92">
        <f>HYPERLINK("https://klasma.github.io/Logging_0480/kartor_geotiff/A 20425-2024 georefererad karta.tif", "A 20425-2024")</f>
        <v/>
      </c>
      <c r="AA92">
        <f>HYPERLINK("https://klasma.github.io/Logging_0480/klagomål/A 20425-2024 FSC-klagomål.docx", "A 20425-2024")</f>
        <v/>
      </c>
      <c r="AB92">
        <f>HYPERLINK("https://klasma.github.io/Logging_0480/klagomålsmail/A 20425-2024 FSC-klagomål mail.docx", "A 20425-2024")</f>
        <v/>
      </c>
      <c r="AC92">
        <f>HYPERLINK("https://klasma.github.io/Logging_0480/tillsyn/A 20425-2024 tillsynsbegäran.docx", "A 20425-2024")</f>
        <v/>
      </c>
      <c r="AD92">
        <f>HYPERLINK("https://klasma.github.io/Logging_0480/tillsynsmail/A 20425-2024 tillsynsbegäran mail.docx", "A 20425-2024")</f>
        <v/>
      </c>
    </row>
    <row r="93" ht="15" customHeight="1">
      <c r="A93" t="inlineStr">
        <is>
          <t>A 21021-2026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46145</v>
      </c>
      <c r="E93" s="1" t="n">
        <v>46322</v>
      </c>
      <c r="F93" t="inlineStr">
        <is>
          <t>SÖDERMANLANDS LÄN</t>
        </is>
      </c>
      <c r="G93" t="inlineStr">
        <is>
          <t>NYKÖPING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HYPERLINK("https://klasma.github.io/Logging_0480/artfynd/A 21021-2026 artfynd.xlsx", "A 21021-2026")</f>
        <v/>
      </c>
      <c r="X93">
        <f>HYPERLINK("https://klasma.github.io/Logging_0480/kartor/A 21021-2026 karta.png", "A 21021-2026")</f>
        <v/>
      </c>
      <c r="Y93">
        <f>HYPERLINK("https://klasma.github.io/Logging_0480/kartor_geotiff/A 21021-2026 georefererad karta.tif", "A 21021-2026")</f>
        <v/>
      </c>
      <c r="AA93">
        <f>HYPERLINK("https://klasma.github.io/Logging_0480/klagomål/A 21021-2026 FSC-klagomål.docx", "A 21021-2026")</f>
        <v/>
      </c>
      <c r="AB93">
        <f>HYPERLINK("https://klasma.github.io/Logging_0480/klagomålsmail/A 21021-2026 FSC-klagomål mail.docx", "A 21021-2026")</f>
        <v/>
      </c>
      <c r="AC93">
        <f>HYPERLINK("https://klasma.github.io/Logging_0480/tillsyn/A 21021-2026 tillsynsbegäran.docx", "A 21021-2026")</f>
        <v/>
      </c>
      <c r="AD93">
        <f>HYPERLINK("https://klasma.github.io/Logging_0480/tillsynsmail/A 21021-2026 tillsynsbegäran mail.docx", "A 21021-2026")</f>
        <v/>
      </c>
    </row>
    <row r="94" ht="15" customHeight="1">
      <c r="A94" t="inlineStr">
        <is>
          <t>A 13724-2024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46322</v>
      </c>
      <c r="F94" t="inlineStr">
        <is>
          <t>SÖDERMANLANDS LÄN</t>
        </is>
      </c>
      <c r="G94" t="inlineStr">
        <is>
          <t>NYKÖPING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Dropptaggsvamp</t>
        </is>
      </c>
      <c r="W94">
        <f>HYPERLINK("https://klasma.github.io/Logging_0480/artfynd/A 13724-2024 artfynd.xlsx", "A 13724-2024")</f>
        <v/>
      </c>
      <c r="X94">
        <f>HYPERLINK("https://klasma.github.io/Logging_0480/kartor/A 13724-2024 karta.png", "A 13724-2024")</f>
        <v/>
      </c>
      <c r="Y94">
        <f>HYPERLINK("https://klasma.github.io/Logging_0480/kartor_geotiff/A 13724-2024 georefererad karta.tif", "A 13724-2024")</f>
        <v/>
      </c>
      <c r="AA94">
        <f>HYPERLINK("https://klasma.github.io/Logging_0480/klagomål/A 13724-2024 FSC-klagomål.docx", "A 13724-2024")</f>
        <v/>
      </c>
      <c r="AB94">
        <f>HYPERLINK("https://klasma.github.io/Logging_0480/klagomålsmail/A 13724-2024 FSC-klagomål mail.docx", "A 13724-2024")</f>
        <v/>
      </c>
      <c r="AC94">
        <f>HYPERLINK("https://klasma.github.io/Logging_0480/tillsyn/A 13724-2024 tillsynsbegäran.docx", "A 13724-2024")</f>
        <v/>
      </c>
      <c r="AD94">
        <f>HYPERLINK("https://klasma.github.io/Logging_0480/tillsynsmail/A 13724-2024 tillsynsbegäran mail.docx", "A 13724-2024")</f>
        <v/>
      </c>
    </row>
    <row r="95" ht="15" customHeight="1">
      <c r="A95" t="inlineStr">
        <is>
          <t>A 22495-2026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46155</v>
      </c>
      <c r="E95" s="1" t="n">
        <v>46322</v>
      </c>
      <c r="F95" t="inlineStr">
        <is>
          <t>SÖDERMANLANDS LÄN</t>
        </is>
      </c>
      <c r="G95" t="inlineStr">
        <is>
          <t>NYKÖPING</t>
        </is>
      </c>
      <c r="H95" t="inlineStr">
        <is>
          <t>Holmen skog AB</t>
        </is>
      </c>
      <c r="I95" t="n">
        <v>2.6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Vedticka</t>
        </is>
      </c>
      <c r="W95">
        <f>HYPERLINK("https://klasma.github.io/Logging_0480/artfynd/A 22495-2026 artfynd.xlsx", "A 22495-2026")</f>
        <v/>
      </c>
      <c r="X95">
        <f>HYPERLINK("https://klasma.github.io/Logging_0480/kartor/A 22495-2026 karta.png", "A 22495-2026")</f>
        <v/>
      </c>
      <c r="Y95">
        <f>HYPERLINK("https://klasma.github.io/Logging_0480/kartor_geotiff/A 22495-2026 georefererad karta.tif", "A 22495-2026")</f>
        <v/>
      </c>
      <c r="AA95">
        <f>HYPERLINK("https://klasma.github.io/Logging_0480/klagomål/A 22495-2026 FSC-klagomål.docx", "A 22495-2026")</f>
        <v/>
      </c>
      <c r="AB95">
        <f>HYPERLINK("https://klasma.github.io/Logging_0480/klagomålsmail/A 22495-2026 FSC-klagomål mail.docx", "A 22495-2026")</f>
        <v/>
      </c>
      <c r="AC95">
        <f>HYPERLINK("https://klasma.github.io/Logging_0480/tillsyn/A 22495-2026 tillsynsbegäran.docx", "A 22495-2026")</f>
        <v/>
      </c>
      <c r="AD95">
        <f>HYPERLINK("https://klasma.github.io/Logging_0480/tillsynsmail/A 22495-2026 tillsynsbegäran mail.docx", "A 22495-2026")</f>
        <v/>
      </c>
    </row>
    <row r="96" ht="15" customHeight="1">
      <c r="A96" t="inlineStr">
        <is>
          <t>A 2837-2025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46322</v>
      </c>
      <c r="F96" t="inlineStr">
        <is>
          <t>SÖDERMANLANDS LÄN</t>
        </is>
      </c>
      <c r="G96" t="inlineStr">
        <is>
          <t>NYKÖPING</t>
        </is>
      </c>
      <c r="I96" t="n">
        <v>5.2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4</v>
      </c>
      <c r="U96" t="n">
        <v>0</v>
      </c>
      <c r="V96" s="2" t="inlineStr">
        <is>
          <t>Hasselticka</t>
        </is>
      </c>
      <c r="W96">
        <f>HYPERLINK("https://klasma.github.io/Logging_0480/artfynd/A 2837-2025 artfynd.xlsx", "A 2837-2025")</f>
        <v/>
      </c>
      <c r="X96">
        <f>HYPERLINK("https://klasma.github.io/Logging_0480/kartor/A 2837-2025 karta.png", "A 2837-2025")</f>
        <v/>
      </c>
      <c r="Y96">
        <f>HYPERLINK("https://klasma.github.io/Logging_0480/kartor_geotiff/A 2837-2025 georefererad karta.tif", "A 2837-2025")</f>
        <v/>
      </c>
      <c r="AA96">
        <f>HYPERLINK("https://klasma.github.io/Logging_0480/klagomål/A 2837-2025 FSC-klagomål.docx", "A 2837-2025")</f>
        <v/>
      </c>
      <c r="AB96">
        <f>HYPERLINK("https://klasma.github.io/Logging_0480/klagomålsmail/A 2837-2025 FSC-klagomål mail.docx", "A 2837-2025")</f>
        <v/>
      </c>
      <c r="AC96">
        <f>HYPERLINK("https://klasma.github.io/Logging_0480/tillsyn/A 2837-2025 tillsynsbegäran.docx", "A 2837-2025")</f>
        <v/>
      </c>
      <c r="AD96">
        <f>HYPERLINK("https://klasma.github.io/Logging_0480/tillsynsmail/A 2837-2025 tillsynsbegäran mail.docx", "A 2837-2025")</f>
        <v/>
      </c>
    </row>
    <row r="97" ht="15" customHeight="1">
      <c r="A97" t="inlineStr">
        <is>
          <t>A 40494-2026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46295</v>
      </c>
      <c r="E97" s="1" t="n">
        <v>46322</v>
      </c>
      <c r="F97" t="inlineStr">
        <is>
          <t>SÖDERMANLANDS LÄN</t>
        </is>
      </c>
      <c r="G97" t="inlineStr">
        <is>
          <t>NYKÖPING</t>
        </is>
      </c>
      <c r="I97" t="n">
        <v>5.1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Svart skogssnigel</t>
        </is>
      </c>
      <c r="W97">
        <f>HYPERLINK("https://klasma.github.io/Logging_0480/artfynd/A 40494-2026 artfynd.xlsx", "A 40494-2026")</f>
        <v/>
      </c>
      <c r="X97">
        <f>HYPERLINK("https://klasma.github.io/Logging_0480/kartor/A 40494-2026 karta.png", "A 40494-2026")</f>
        <v/>
      </c>
      <c r="Y97">
        <f>HYPERLINK("https://klasma.github.io/Logging_0480/kartor_geotiff/A 40494-2026 georefererad karta.tif", "A 40494-2026")</f>
        <v/>
      </c>
      <c r="AA97">
        <f>HYPERLINK("https://klasma.github.io/Logging_0480/klagomål/A 40494-2026 FSC-klagomål.docx", "A 40494-2026")</f>
        <v/>
      </c>
      <c r="AB97">
        <f>HYPERLINK("https://klasma.github.io/Logging_0480/klagomålsmail/A 40494-2026 FSC-klagomål mail.docx", "A 40494-2026")</f>
        <v/>
      </c>
      <c r="AC97">
        <f>HYPERLINK("https://klasma.github.io/Logging_0480/tillsyn/A 40494-2026 tillsynsbegäran.docx", "A 40494-2026")</f>
        <v/>
      </c>
      <c r="AD97">
        <f>HYPERLINK("https://klasma.github.io/Logging_0480/tillsynsmail/A 40494-2026 tillsynsbegäran mail.docx", "A 40494-2026")</f>
        <v/>
      </c>
    </row>
    <row r="98" ht="15" customHeight="1">
      <c r="A98" t="inlineStr">
        <is>
          <t>A 35318-2024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45530</v>
      </c>
      <c r="E98" s="1" t="n">
        <v>46322</v>
      </c>
      <c r="F98" t="inlineStr">
        <is>
          <t>SÖDERMANLANDS LÄN</t>
        </is>
      </c>
      <c r="G98" t="inlineStr">
        <is>
          <t>NYKÖPING</t>
        </is>
      </c>
      <c r="I98" t="n">
        <v>7.6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Gullviva</t>
        </is>
      </c>
      <c r="W98">
        <f>HYPERLINK("https://klasma.github.io/Logging_0480/artfynd/A 35318-2024 artfynd.xlsx", "A 35318-2024")</f>
        <v/>
      </c>
      <c r="X98">
        <f>HYPERLINK("https://klasma.github.io/Logging_0480/kartor/A 35318-2024 karta.png", "A 35318-2024")</f>
        <v/>
      </c>
      <c r="Y98">
        <f>HYPERLINK("https://klasma.github.io/Logging_0480/kartor_geotiff/A 35318-2024 georefererad karta.tif", "A 35318-2024")</f>
        <v/>
      </c>
      <c r="AA98">
        <f>HYPERLINK("https://klasma.github.io/Logging_0480/klagomål/A 35318-2024 FSC-klagomål.docx", "A 35318-2024")</f>
        <v/>
      </c>
      <c r="AB98">
        <f>HYPERLINK("https://klasma.github.io/Logging_0480/klagomålsmail/A 35318-2024 FSC-klagomål mail.docx", "A 35318-2024")</f>
        <v/>
      </c>
      <c r="AC98">
        <f>HYPERLINK("https://klasma.github.io/Logging_0480/tillsyn/A 35318-2024 tillsynsbegäran.docx", "A 35318-2024")</f>
        <v/>
      </c>
      <c r="AD98">
        <f>HYPERLINK("https://klasma.github.io/Logging_0480/tillsynsmail/A 35318-2024 tillsynsbegäran mail.docx", "A 35318-2024")</f>
        <v/>
      </c>
    </row>
    <row r="99" ht="15" customHeight="1">
      <c r="A99" t="inlineStr">
        <is>
          <t>A 28542-2023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46322</v>
      </c>
      <c r="F99" t="inlineStr">
        <is>
          <t>SÖDERMANLANDS LÄN</t>
        </is>
      </c>
      <c r="G99" t="inlineStr">
        <is>
          <t>NYKÖPING</t>
        </is>
      </c>
      <c r="I99" t="n">
        <v>2.8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HYPERLINK("https://klasma.github.io/Logging_0480/artfynd/A 28542-2023 artfynd.xlsx", "A 28542-2023")</f>
        <v/>
      </c>
      <c r="X99">
        <f>HYPERLINK("https://klasma.github.io/Logging_0480/kartor/A 28542-2023 karta.png", "A 28542-2023")</f>
        <v/>
      </c>
      <c r="Y99">
        <f>HYPERLINK("https://klasma.github.io/Logging_0480/kartor_geotiff/A 28542-2023 georefererad karta.tif", "A 28542-2023")</f>
        <v/>
      </c>
      <c r="Z99">
        <f>HYPERLINK("https://klasma.github.io/Logging_0480/knärot/A 28542-2023 karta knärot.png", "A 28542-2023")</f>
        <v/>
      </c>
      <c r="AA99">
        <f>HYPERLINK("https://klasma.github.io/Logging_0480/klagomål/A 28542-2023 FSC-klagomål.docx", "A 28542-2023")</f>
        <v/>
      </c>
      <c r="AB99">
        <f>HYPERLINK("https://klasma.github.io/Logging_0480/klagomålsmail/A 28542-2023 FSC-klagomål mail.docx", "A 28542-2023")</f>
        <v/>
      </c>
      <c r="AC99">
        <f>HYPERLINK("https://klasma.github.io/Logging_0480/tillsyn/A 28542-2023 tillsynsbegäran.docx", "A 28542-2023")</f>
        <v/>
      </c>
      <c r="AD99">
        <f>HYPERLINK("https://klasma.github.io/Logging_0480/tillsynsmail/A 28542-2023 tillsynsbegäran mail.docx", "A 28542-2023")</f>
        <v/>
      </c>
    </row>
    <row r="100" ht="15" customHeight="1">
      <c r="A100" t="inlineStr">
        <is>
          <t>A 20325-2023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46322</v>
      </c>
      <c r="F100" t="inlineStr">
        <is>
          <t>SÖDERMANLANDS LÄN</t>
        </is>
      </c>
      <c r="G100" t="inlineStr">
        <is>
          <t>NYKÖPING</t>
        </is>
      </c>
      <c r="I100" t="n">
        <v>0.2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Kamjordstjärna</t>
        </is>
      </c>
      <c r="W100">
        <f>HYPERLINK("https://klasma.github.io/Logging_0480/artfynd/A 20325-2023 artfynd.xlsx", "A 20325-2023")</f>
        <v/>
      </c>
      <c r="X100">
        <f>HYPERLINK("https://klasma.github.io/Logging_0480/kartor/A 20325-2023 karta.png", "A 20325-2023")</f>
        <v/>
      </c>
      <c r="Y100">
        <f>HYPERLINK("https://klasma.github.io/Logging_0480/kartor_geotiff/A 20325-2023 georefererad karta.tif", "A 20325-2023")</f>
        <v/>
      </c>
      <c r="AA100">
        <f>HYPERLINK("https://klasma.github.io/Logging_0480/klagomål/A 20325-2023 FSC-klagomål.docx", "A 20325-2023")</f>
        <v/>
      </c>
      <c r="AB100">
        <f>HYPERLINK("https://klasma.github.io/Logging_0480/klagomålsmail/A 20325-2023 FSC-klagomål mail.docx", "A 20325-2023")</f>
        <v/>
      </c>
      <c r="AC100">
        <f>HYPERLINK("https://klasma.github.io/Logging_0480/tillsyn/A 20325-2023 tillsynsbegäran.docx", "A 20325-2023")</f>
        <v/>
      </c>
      <c r="AD100">
        <f>HYPERLINK("https://klasma.github.io/Logging_0480/tillsynsmail/A 20325-2023 tillsynsbegäran mail.docx", "A 20325-2023")</f>
        <v/>
      </c>
    </row>
    <row r="101" ht="15" customHeight="1">
      <c r="A101" t="inlineStr">
        <is>
          <t>A 9973-2022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46322</v>
      </c>
      <c r="F101" t="inlineStr">
        <is>
          <t>SÖDERMANLANDS LÄN</t>
        </is>
      </c>
      <c r="G101" t="inlineStr">
        <is>
          <t>NYKÖPING</t>
        </is>
      </c>
      <c r="I101" t="n">
        <v>18.3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 sköldmossa</t>
        </is>
      </c>
      <c r="W101">
        <f>HYPERLINK("https://klasma.github.io/Logging_0480/artfynd/A 9973-2022 artfynd.xlsx", "A 9973-2022")</f>
        <v/>
      </c>
      <c r="X101">
        <f>HYPERLINK("https://klasma.github.io/Logging_0480/kartor/A 9973-2022 karta.png", "A 9973-2022")</f>
        <v/>
      </c>
      <c r="Y101">
        <f>HYPERLINK("https://klasma.github.io/Logging_0480/kartor_geotiff/A 9973-2022 georefererad karta.tif", "A 9973-2022")</f>
        <v/>
      </c>
      <c r="AA101">
        <f>HYPERLINK("https://klasma.github.io/Logging_0480/klagomål/A 9973-2022 FSC-klagomål.docx", "A 9973-2022")</f>
        <v/>
      </c>
      <c r="AB101">
        <f>HYPERLINK("https://klasma.github.io/Logging_0480/klagomålsmail/A 9973-2022 FSC-klagomål mail.docx", "A 9973-2022")</f>
        <v/>
      </c>
      <c r="AC101">
        <f>HYPERLINK("https://klasma.github.io/Logging_0480/tillsyn/A 9973-2022 tillsynsbegäran.docx", "A 9973-2022")</f>
        <v/>
      </c>
      <c r="AD101">
        <f>HYPERLINK("https://klasma.github.io/Logging_0480/tillsynsmail/A 9973-2022 tillsynsbegäran mail.docx", "A 9973-2022")</f>
        <v/>
      </c>
    </row>
    <row r="102" ht="15" customHeight="1">
      <c r="A102" t="inlineStr">
        <is>
          <t>A 13038-2024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45385</v>
      </c>
      <c r="E102" s="1" t="n">
        <v>46322</v>
      </c>
      <c r="F102" t="inlineStr">
        <is>
          <t>SÖDERMANLANDS LÄN</t>
        </is>
      </c>
      <c r="G102" t="inlineStr">
        <is>
          <t>NYKÖPING</t>
        </is>
      </c>
      <c r="I102" t="n">
        <v>3.8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0</v>
      </c>
      <c r="V102" s="2" t="inlineStr">
        <is>
          <t>Knärot</t>
        </is>
      </c>
      <c r="W102">
        <f>HYPERLINK("https://klasma.github.io/Logging_0480/artfynd/A 13038-2024 artfynd.xlsx", "A 13038-2024")</f>
        <v/>
      </c>
      <c r="X102">
        <f>HYPERLINK("https://klasma.github.io/Logging_0480/kartor/A 13038-2024 karta.png", "A 13038-2024")</f>
        <v/>
      </c>
      <c r="Y102">
        <f>HYPERLINK("https://klasma.github.io/Logging_0480/kartor_geotiff/A 13038-2024 georefererad karta.tif", "A 13038-2024")</f>
        <v/>
      </c>
      <c r="Z102">
        <f>HYPERLINK("https://klasma.github.io/Logging_0480/knärot/A 13038-2024 karta knärot.png", "A 13038-2024")</f>
        <v/>
      </c>
      <c r="AA102">
        <f>HYPERLINK("https://klasma.github.io/Logging_0480/klagomål/A 13038-2024 FSC-klagomål.docx", "A 13038-2024")</f>
        <v/>
      </c>
      <c r="AB102">
        <f>HYPERLINK("https://klasma.github.io/Logging_0480/klagomålsmail/A 13038-2024 FSC-klagomål mail.docx", "A 13038-2024")</f>
        <v/>
      </c>
      <c r="AC102">
        <f>HYPERLINK("https://klasma.github.io/Logging_0480/tillsyn/A 13038-2024 tillsynsbegäran.docx", "A 13038-2024")</f>
        <v/>
      </c>
      <c r="AD102">
        <f>HYPERLINK("https://klasma.github.io/Logging_0480/tillsynsmail/A 13038-2024 tillsynsbegäran mail.docx", "A 13038-2024")</f>
        <v/>
      </c>
    </row>
    <row r="103" ht="15" customHeight="1">
      <c r="A103" t="inlineStr">
        <is>
          <t>A 51258-2024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46322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Sveaskog</t>
        </is>
      </c>
      <c r="I103" t="n">
        <v>2.6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51258-2024 artfynd.xlsx", "A 51258-2024")</f>
        <v/>
      </c>
      <c r="X103">
        <f>HYPERLINK("https://klasma.github.io/Logging_0480/kartor/A 51258-2024 karta.png", "A 51258-2024")</f>
        <v/>
      </c>
      <c r="Y103">
        <f>HYPERLINK("https://klasma.github.io/Logging_0480/kartor_geotiff/A 51258-2024 georefererad karta.tif", "A 51258-2024")</f>
        <v/>
      </c>
      <c r="AA103">
        <f>HYPERLINK("https://klasma.github.io/Logging_0480/klagomål/A 51258-2024 FSC-klagomål.docx", "A 51258-2024")</f>
        <v/>
      </c>
      <c r="AB103">
        <f>HYPERLINK("https://klasma.github.io/Logging_0480/klagomålsmail/A 51258-2024 FSC-klagomål mail.docx", "A 51258-2024")</f>
        <v/>
      </c>
      <c r="AC103">
        <f>HYPERLINK("https://klasma.github.io/Logging_0480/tillsyn/A 51258-2024 tillsynsbegäran.docx", "A 51258-2024")</f>
        <v/>
      </c>
      <c r="AD103">
        <f>HYPERLINK("https://klasma.github.io/Logging_0480/tillsynsmail/A 51258-2024 tillsynsbegäran mail.docx", "A 51258-2024")</f>
        <v/>
      </c>
    </row>
    <row r="104" ht="15" customHeight="1">
      <c r="A104" t="inlineStr">
        <is>
          <t>S 447-2021</t>
        </is>
      </c>
      <c r="B104" t="inlineStr">
        <is>
          <t>samrådsanmälan</t>
        </is>
      </c>
      <c r="C104" t="inlineStr">
        <is>
          <t>Åtgärd i nyckelbiotop</t>
        </is>
      </c>
      <c r="D104" s="1" t="n">
        <v>44260</v>
      </c>
      <c r="E104" s="1" t="n">
        <v>46322</v>
      </c>
      <c r="F104" t="inlineStr">
        <is>
          <t>SÖDERMANLANDS LÄN</t>
        </is>
      </c>
      <c r="G104" t="inlineStr">
        <is>
          <t>NYKÖPING</t>
        </is>
      </c>
      <c r="I104" t="n">
        <v>3.4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HYPERLINK("https://klasma.github.io/Logging_0480/artfynd/S 447-2021 artfynd.xlsx", "S 447-2021")</f>
        <v/>
      </c>
      <c r="X104">
        <f>HYPERLINK("https://klasma.github.io/Logging_0480/kartor/S 447-2021 karta.png", "S 447-2021")</f>
        <v/>
      </c>
      <c r="Y104">
        <f>HYPERLINK("https://klasma.github.io/Logging_0480/kartor_geotiff/S 447-2021 georefererad karta.tif", "S 447-2021")</f>
        <v/>
      </c>
      <c r="AA104">
        <f>HYPERLINK("https://klasma.github.io/Logging_0480/klagomål/S 447-2021 FSC-klagomål.docx", "S 447-2021")</f>
        <v/>
      </c>
      <c r="AB104">
        <f>HYPERLINK("https://klasma.github.io/Logging_0480/klagomålsmail/S 447-2021 FSC-klagomål mail.docx", "S 447-2021")</f>
        <v/>
      </c>
      <c r="AC104">
        <f>HYPERLINK("https://klasma.github.io/Logging_0480/tillsyn/S 447-2021 tillsynsbegäran.docx", "S 447-2021")</f>
        <v/>
      </c>
      <c r="AD104">
        <f>HYPERLINK("https://klasma.github.io/Logging_0480/tillsynsmail/S 447-2021 tillsynsbegäran mail.docx", "S 447-2021")</f>
        <v/>
      </c>
    </row>
    <row r="105" ht="15" customHeight="1">
      <c r="A105" t="inlineStr">
        <is>
          <t>S 2305-2026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46268</v>
      </c>
      <c r="E105" s="1" t="n">
        <v>46322</v>
      </c>
      <c r="F105" t="inlineStr">
        <is>
          <t>SÖDERMANLANDS LÄN</t>
        </is>
      </c>
      <c r="G105" t="inlineStr">
        <is>
          <t>NYKÖPING</t>
        </is>
      </c>
      <c r="I105" t="n">
        <v>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HYPERLINK("https://klasma.github.io/Logging_0480/artfynd/S 2305-2026 artfynd.xlsx", "S 2305-2026")</f>
        <v/>
      </c>
      <c r="X105">
        <f>HYPERLINK("https://klasma.github.io/Logging_0480/kartor/S 2305-2026 karta.png", "S 2305-2026")</f>
        <v/>
      </c>
      <c r="Y105">
        <f>HYPERLINK("https://klasma.github.io/Logging_0480/kartor_geotiff/S 2305-2026 georefererad karta.tif", "S 2305-2026")</f>
        <v/>
      </c>
      <c r="AA105">
        <f>HYPERLINK("https://klasma.github.io/Logging_0480/klagomål/S 2305-2026 FSC-klagomål.docx", "S 2305-2026")</f>
        <v/>
      </c>
      <c r="AB105">
        <f>HYPERLINK("https://klasma.github.io/Logging_0480/klagomålsmail/S 2305-2026 FSC-klagomål mail.docx", "S 2305-2026")</f>
        <v/>
      </c>
      <c r="AC105">
        <f>HYPERLINK("https://klasma.github.io/Logging_0480/tillsyn/S 2305-2026 tillsynsbegäran.docx", "S 2305-2026")</f>
        <v/>
      </c>
      <c r="AD105">
        <f>HYPERLINK("https://klasma.github.io/Logging_0480/tillsynsmail/S 2305-2026 tillsynsbegäran mail.docx", "S 2305-2026")</f>
        <v/>
      </c>
    </row>
    <row r="106" ht="15" customHeight="1">
      <c r="A106" t="inlineStr">
        <is>
          <t>A 74404-2021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44560</v>
      </c>
      <c r="E106" s="1" t="n">
        <v>46322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Kyrkan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51569-2022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44870</v>
      </c>
      <c r="E107" s="1" t="n">
        <v>46322</v>
      </c>
      <c r="F107" t="inlineStr">
        <is>
          <t>SÖDERMANLANDS LÄN</t>
        </is>
      </c>
      <c r="G107" t="inlineStr">
        <is>
          <t>NYKÖPING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46322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46322</v>
      </c>
      <c r="F109" t="inlineStr">
        <is>
          <t>SÖDERMANLANDS LÄN</t>
        </is>
      </c>
      <c r="G109" t="inlineStr">
        <is>
          <t>NYKÖPING</t>
        </is>
      </c>
      <c r="I109" t="n">
        <v>21.9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44656</v>
      </c>
      <c r="E110" s="1" t="n">
        <v>46322</v>
      </c>
      <c r="F110" t="inlineStr">
        <is>
          <t>SÖDERMANLANDS LÄN</t>
        </is>
      </c>
      <c r="G110" t="inlineStr">
        <is>
          <t>NYKÖPING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66852-2021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46322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64162-2021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44510</v>
      </c>
      <c r="E112" s="1" t="n">
        <v>46322</v>
      </c>
      <c r="F112" t="inlineStr">
        <is>
          <t>SÖDERMANLANDS LÄN</t>
        </is>
      </c>
      <c r="G112" t="inlineStr">
        <is>
          <t>NYKÖPING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31538-2022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44775</v>
      </c>
      <c r="E113" s="1" t="n">
        <v>46322</v>
      </c>
      <c r="F113" t="inlineStr">
        <is>
          <t>SÖDERMANLANDS LÄN</t>
        </is>
      </c>
      <c r="G113" t="inlineStr">
        <is>
          <t>NYKÖPING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46322</v>
      </c>
      <c r="F114" t="inlineStr">
        <is>
          <t>SÖDERMANLANDS LÄN</t>
        </is>
      </c>
      <c r="G114" t="inlineStr">
        <is>
          <t>NYKÖPING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44767</v>
      </c>
      <c r="E115" s="1" t="n">
        <v>46322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Holmen skog AB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44774</v>
      </c>
      <c r="E116" s="1" t="n">
        <v>46322</v>
      </c>
      <c r="F116" t="inlineStr">
        <is>
          <t>SÖDERMANLANDS LÄN</t>
        </is>
      </c>
      <c r="G116" t="inlineStr">
        <is>
          <t>NYKÖPING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44733</v>
      </c>
      <c r="E117" s="1" t="n">
        <v>46322</v>
      </c>
      <c r="F117" t="inlineStr">
        <is>
          <t>SÖDERMANLANDS LÄN</t>
        </is>
      </c>
      <c r="G117" t="inlineStr">
        <is>
          <t>NYKÖPING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44753</v>
      </c>
      <c r="E118" s="1" t="n">
        <v>46322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52084-2022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44873</v>
      </c>
      <c r="E119" s="1" t="n">
        <v>46322</v>
      </c>
      <c r="F119" t="inlineStr">
        <is>
          <t>SÖDERMANLANDS LÄN</t>
        </is>
      </c>
      <c r="G119" t="inlineStr">
        <is>
          <t>NYKÖPING</t>
        </is>
      </c>
      <c r="I119" t="n">
        <v>14.6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14350-2022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46322</v>
      </c>
      <c r="F120" t="inlineStr">
        <is>
          <t>SÖDERMANLANDS LÄN</t>
        </is>
      </c>
      <c r="G120" t="inlineStr">
        <is>
          <t>NYKÖPING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44659</v>
      </c>
      <c r="E121" s="1" t="n">
        <v>46322</v>
      </c>
      <c r="F121" t="inlineStr">
        <is>
          <t>SÖDERMANLANDS LÄN</t>
        </is>
      </c>
      <c r="G121" t="inlineStr">
        <is>
          <t>NYKÖPING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46322</v>
      </c>
      <c r="F122" t="inlineStr">
        <is>
          <t>SÖDERMANLANDS LÄN</t>
        </is>
      </c>
      <c r="G122" t="inlineStr">
        <is>
          <t>NYKÖPING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46322</v>
      </c>
      <c r="F123" t="inlineStr">
        <is>
          <t>SÖDERMANLANDS LÄN</t>
        </is>
      </c>
      <c r="G123" t="inlineStr">
        <is>
          <t>NYKÖPING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46322</v>
      </c>
      <c r="F124" t="inlineStr">
        <is>
          <t>SÖDERMANLANDS LÄN</t>
        </is>
      </c>
      <c r="G124" t="inlineStr">
        <is>
          <t>NYKÖPING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46322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Övriga Aktiebolag</t>
        </is>
      </c>
      <c r="I125" t="n">
        <v>8.300000000000001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44790</v>
      </c>
      <c r="E126" s="1" t="n">
        <v>46322</v>
      </c>
      <c r="F126" t="inlineStr">
        <is>
          <t>SÖDERMANLANDS LÄN</t>
        </is>
      </c>
      <c r="G126" t="inlineStr">
        <is>
          <t>NYKÖPING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46322</v>
      </c>
      <c r="F127" t="inlineStr">
        <is>
          <t>SÖDERMANLANDS LÄN</t>
        </is>
      </c>
      <c r="G127" t="inlineStr">
        <is>
          <t>NYKÖPING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46322</v>
      </c>
      <c r="F128" t="inlineStr">
        <is>
          <t>SÖDERMANLANDS LÄN</t>
        </is>
      </c>
      <c r="G128" t="inlineStr">
        <is>
          <t>NYKÖPING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44705</v>
      </c>
      <c r="E129" s="1" t="n">
        <v>46322</v>
      </c>
      <c r="F129" t="inlineStr">
        <is>
          <t>SÖDERMANLANDS LÄN</t>
        </is>
      </c>
      <c r="G129" t="inlineStr">
        <is>
          <t>NYKÖPING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44690</v>
      </c>
      <c r="E130" s="1" t="n">
        <v>46322</v>
      </c>
      <c r="F130" t="inlineStr">
        <is>
          <t>SÖDERMANLANDS LÄN</t>
        </is>
      </c>
      <c r="G130" t="inlineStr">
        <is>
          <t>NYKÖPING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64157-2021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44510</v>
      </c>
      <c r="E131" s="1" t="n">
        <v>46322</v>
      </c>
      <c r="F131" t="inlineStr">
        <is>
          <t>SÖDERMANLANDS LÄN</t>
        </is>
      </c>
      <c r="G131" t="inlineStr">
        <is>
          <t>NYKÖPING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8783-2022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46322</v>
      </c>
      <c r="F132" t="inlineStr">
        <is>
          <t>SÖDERMANLANDS LÄN</t>
        </is>
      </c>
      <c r="G132" t="inlineStr">
        <is>
          <t>NYKÖPING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44659</v>
      </c>
      <c r="E133" s="1" t="n">
        <v>46322</v>
      </c>
      <c r="F133" t="inlineStr">
        <is>
          <t>SÖDERMANLANDS LÄN</t>
        </is>
      </c>
      <c r="G133" t="inlineStr">
        <is>
          <t>NYKÖPING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46322</v>
      </c>
      <c r="F134" t="inlineStr">
        <is>
          <t>SÖDERMANLANDS LÄN</t>
        </is>
      </c>
      <c r="G134" t="inlineStr">
        <is>
          <t>NYKÖPING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69255-2021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44530</v>
      </c>
      <c r="E135" s="1" t="n">
        <v>46322</v>
      </c>
      <c r="F135" t="inlineStr">
        <is>
          <t>SÖDERMANLANDS LÄN</t>
        </is>
      </c>
      <c r="G135" t="inlineStr">
        <is>
          <t>NYKÖPING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16957-2022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44676</v>
      </c>
      <c r="E136" s="1" t="n">
        <v>46322</v>
      </c>
      <c r="F136" t="inlineStr">
        <is>
          <t>SÖDERMANLANDS LÄN</t>
        </is>
      </c>
      <c r="G136" t="inlineStr">
        <is>
          <t>NYKÖPING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46322</v>
      </c>
      <c r="F137" t="inlineStr">
        <is>
          <t>SÖDERMANLANDS LÄN</t>
        </is>
      </c>
      <c r="G137" t="inlineStr">
        <is>
          <t>NYKÖPING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46322</v>
      </c>
      <c r="F138" t="inlineStr">
        <is>
          <t>SÖDERMANLANDS LÄN</t>
        </is>
      </c>
      <c r="G138" t="inlineStr">
        <is>
          <t>NYKÖPING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69247-2021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44530</v>
      </c>
      <c r="E139" s="1" t="n">
        <v>46322</v>
      </c>
      <c r="F139" t="inlineStr">
        <is>
          <t>SÖDERMANLANDS LÄN</t>
        </is>
      </c>
      <c r="G139" t="inlineStr">
        <is>
          <t>NYKÖPING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61248-2021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44498</v>
      </c>
      <c r="E140" s="1" t="n">
        <v>46322</v>
      </c>
      <c r="F140" t="inlineStr">
        <is>
          <t>SÖDERMANLANDS LÄN</t>
        </is>
      </c>
      <c r="G140" t="inlineStr">
        <is>
          <t>NYKÖPING</t>
        </is>
      </c>
      <c r="H140" t="inlineStr">
        <is>
          <t>Holmen skog AB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63055-2021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44505</v>
      </c>
      <c r="E141" s="1" t="n">
        <v>46322</v>
      </c>
      <c r="F141" t="inlineStr">
        <is>
          <t>SÖDERMANLANDS LÄN</t>
        </is>
      </c>
      <c r="G141" t="inlineStr">
        <is>
          <t>NYKÖPING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44505</v>
      </c>
      <c r="E142" s="1" t="n">
        <v>46322</v>
      </c>
      <c r="F142" t="inlineStr">
        <is>
          <t>SÖDERMANLANDS LÄN</t>
        </is>
      </c>
      <c r="G142" t="inlineStr">
        <is>
          <t>NYKÖPING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46322</v>
      </c>
      <c r="F143" t="inlineStr">
        <is>
          <t>SÖDERMANLANDS LÄN</t>
        </is>
      </c>
      <c r="G143" t="inlineStr">
        <is>
          <t>NYKÖPING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30859-2022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44767</v>
      </c>
      <c r="E144" s="1" t="n">
        <v>46322</v>
      </c>
      <c r="F144" t="inlineStr">
        <is>
          <t>SÖDERMANLANDS LÄN</t>
        </is>
      </c>
      <c r="G144" t="inlineStr">
        <is>
          <t>NYKÖPING</t>
        </is>
      </c>
      <c r="H144" t="inlineStr">
        <is>
          <t>Holmen skog AB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15466-2022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44662</v>
      </c>
      <c r="E145" s="1" t="n">
        <v>46322</v>
      </c>
      <c r="F145" t="inlineStr">
        <is>
          <t>SÖDERMANLANDS LÄN</t>
        </is>
      </c>
      <c r="G145" t="inlineStr">
        <is>
          <t>NYKÖPING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41139-2022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44825</v>
      </c>
      <c r="E146" s="1" t="n">
        <v>46322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46322</v>
      </c>
      <c r="F147" t="inlineStr">
        <is>
          <t>SÖDERMANLANDS LÄN</t>
        </is>
      </c>
      <c r="G147" t="inlineStr">
        <is>
          <t>NYKÖPING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44747</v>
      </c>
      <c r="E148" s="1" t="n">
        <v>46322</v>
      </c>
      <c r="F148" t="inlineStr">
        <is>
          <t>SÖDERMANLANDS LÄN</t>
        </is>
      </c>
      <c r="G148" t="inlineStr">
        <is>
          <t>NYKÖPING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32841-2022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44784</v>
      </c>
      <c r="E149" s="1" t="n">
        <v>46322</v>
      </c>
      <c r="F149" t="inlineStr">
        <is>
          <t>SÖDERMANLANDS LÄN</t>
        </is>
      </c>
      <c r="G149" t="inlineStr">
        <is>
          <t>NYKÖPING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32671-2022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46322</v>
      </c>
      <c r="F150" t="inlineStr">
        <is>
          <t>SÖDERMANLANDS LÄN</t>
        </is>
      </c>
      <c r="G150" t="inlineStr">
        <is>
          <t>NYKÖPING</t>
        </is>
      </c>
      <c r="H150" t="inlineStr">
        <is>
          <t>Holmen skog AB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44733</v>
      </c>
      <c r="E151" s="1" t="n">
        <v>46322</v>
      </c>
      <c r="F151" t="inlineStr">
        <is>
          <t>SÖDERMANLANDS LÄN</t>
        </is>
      </c>
      <c r="G151" t="inlineStr">
        <is>
          <t>NYKÖPING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25709-2022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44733</v>
      </c>
      <c r="E152" s="1" t="n">
        <v>46322</v>
      </c>
      <c r="F152" t="inlineStr">
        <is>
          <t>SÖDERMANLANDS LÄN</t>
        </is>
      </c>
      <c r="G152" t="inlineStr">
        <is>
          <t>NYKÖPING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44733</v>
      </c>
      <c r="E153" s="1" t="n">
        <v>46322</v>
      </c>
      <c r="F153" t="inlineStr">
        <is>
          <t>SÖDERMANLANDS LÄN</t>
        </is>
      </c>
      <c r="G153" t="inlineStr">
        <is>
          <t>NYKÖPING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44613</v>
      </c>
      <c r="E154" s="1" t="n">
        <v>46322</v>
      </c>
      <c r="F154" t="inlineStr">
        <is>
          <t>SÖDERMANLANDS LÄN</t>
        </is>
      </c>
      <c r="G154" t="inlineStr">
        <is>
          <t>NYKÖPING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46322</v>
      </c>
      <c r="F155" t="inlineStr">
        <is>
          <t>SÖDERMANLANDS LÄN</t>
        </is>
      </c>
      <c r="G155" t="inlineStr">
        <is>
          <t>NYKÖPING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46322</v>
      </c>
      <c r="F156" t="inlineStr">
        <is>
          <t>SÖDERMANLANDS LÄN</t>
        </is>
      </c>
      <c r="G156" t="inlineStr">
        <is>
          <t>NYKÖPING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46322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44812</v>
      </c>
      <c r="E158" s="1" t="n">
        <v>46322</v>
      </c>
      <c r="F158" t="inlineStr">
        <is>
          <t>SÖDERMANLANDS LÄN</t>
        </is>
      </c>
      <c r="G158" t="inlineStr">
        <is>
          <t>NYKÖPING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70791-2021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46322</v>
      </c>
      <c r="F159" t="inlineStr">
        <is>
          <t>SÖDERMANLANDS LÄN</t>
        </is>
      </c>
      <c r="G159" t="inlineStr">
        <is>
          <t>NYKÖPING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44813</v>
      </c>
      <c r="E160" s="1" t="n">
        <v>46322</v>
      </c>
      <c r="F160" t="inlineStr">
        <is>
          <t>SÖDERMANLANDS LÄN</t>
        </is>
      </c>
      <c r="G160" t="inlineStr">
        <is>
          <t>NYKÖPING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46322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17541-2022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44679</v>
      </c>
      <c r="E162" s="1" t="n">
        <v>46322</v>
      </c>
      <c r="F162" t="inlineStr">
        <is>
          <t>SÖDERMANLANDS LÄN</t>
        </is>
      </c>
      <c r="G162" t="inlineStr">
        <is>
          <t>NYKÖPING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44853</v>
      </c>
      <c r="E163" s="1" t="n">
        <v>46322</v>
      </c>
      <c r="F163" t="inlineStr">
        <is>
          <t>SÖDERMANLANDS LÄN</t>
        </is>
      </c>
      <c r="G163" t="inlineStr">
        <is>
          <t>NYKÖPING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44701</v>
      </c>
      <c r="E164" s="1" t="n">
        <v>46322</v>
      </c>
      <c r="F164" t="inlineStr">
        <is>
          <t>SÖDERMANLANDS LÄN</t>
        </is>
      </c>
      <c r="G164" t="inlineStr">
        <is>
          <t>NYKÖPING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46322</v>
      </c>
      <c r="F165" t="inlineStr">
        <is>
          <t>SÖDERMANLANDS LÄN</t>
        </is>
      </c>
      <c r="G165" t="inlineStr">
        <is>
          <t>NYKÖPING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46322</v>
      </c>
      <c r="F166" t="inlineStr">
        <is>
          <t>SÖDERMANLANDS LÄN</t>
        </is>
      </c>
      <c r="G166" t="inlineStr">
        <is>
          <t>NYKÖPING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44722</v>
      </c>
      <c r="E167" s="1" t="n">
        <v>46322</v>
      </c>
      <c r="F167" t="inlineStr">
        <is>
          <t>SÖDERMANLANDS LÄN</t>
        </is>
      </c>
      <c r="G167" t="inlineStr">
        <is>
          <t>NYKÖPING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71175-2021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44539</v>
      </c>
      <c r="E168" s="1" t="n">
        <v>46322</v>
      </c>
      <c r="F168" t="inlineStr">
        <is>
          <t>SÖDERMANLANDS LÄN</t>
        </is>
      </c>
      <c r="G168" t="inlineStr">
        <is>
          <t>NYKÖPING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44652</v>
      </c>
      <c r="E169" s="1" t="n">
        <v>46322</v>
      </c>
      <c r="F169" t="inlineStr">
        <is>
          <t>SÖDERMANLANDS LÄN</t>
        </is>
      </c>
      <c r="G169" t="inlineStr">
        <is>
          <t>NYKÖPING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44658</v>
      </c>
      <c r="E170" s="1" t="n">
        <v>46322</v>
      </c>
      <c r="F170" t="inlineStr">
        <is>
          <t>SÖDERMANLANDS LÄN</t>
        </is>
      </c>
      <c r="G170" t="inlineStr">
        <is>
          <t>NYKÖPING</t>
        </is>
      </c>
      <c r="H170" t="inlineStr">
        <is>
          <t>Allmännings- och besparingsskogar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66939-2021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44522</v>
      </c>
      <c r="E171" s="1" t="n">
        <v>46322</v>
      </c>
      <c r="F171" t="inlineStr">
        <is>
          <t>SÖDERMANLANDS LÄN</t>
        </is>
      </c>
      <c r="G171" t="inlineStr">
        <is>
          <t>NYKÖPING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66860-2021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46322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44882</v>
      </c>
      <c r="E173" s="1" t="n">
        <v>46322</v>
      </c>
      <c r="F173" t="inlineStr">
        <is>
          <t>SÖDERMANLANDS LÄN</t>
        </is>
      </c>
      <c r="G173" t="inlineStr">
        <is>
          <t>NYKÖPING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44862</v>
      </c>
      <c r="E174" s="1" t="n">
        <v>46322</v>
      </c>
      <c r="F174" t="inlineStr">
        <is>
          <t>SÖDERMANLANDS LÄN</t>
        </is>
      </c>
      <c r="G174" t="inlineStr">
        <is>
          <t>NYKÖPING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69598-2021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44531</v>
      </c>
      <c r="E175" s="1" t="n">
        <v>46322</v>
      </c>
      <c r="F175" t="inlineStr">
        <is>
          <t>SÖDERMANLANDS LÄN</t>
        </is>
      </c>
      <c r="G175" t="inlineStr">
        <is>
          <t>NYKÖPING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69252-2021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44530</v>
      </c>
      <c r="E176" s="1" t="n">
        <v>46322</v>
      </c>
      <c r="F176" t="inlineStr">
        <is>
          <t>SÖDERMANLANDS LÄN</t>
        </is>
      </c>
      <c r="G176" t="inlineStr">
        <is>
          <t>NYKÖPING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71103-2021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46322</v>
      </c>
      <c r="F177" t="inlineStr">
        <is>
          <t>SÖDERMANLANDS LÄN</t>
        </is>
      </c>
      <c r="G177" t="inlineStr">
        <is>
          <t>NYKÖPING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23107-2022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44719</v>
      </c>
      <c r="E178" s="1" t="n">
        <v>46322</v>
      </c>
      <c r="F178" t="inlineStr">
        <is>
          <t>SÖDERMANLANDS LÄN</t>
        </is>
      </c>
      <c r="G178" t="inlineStr">
        <is>
          <t>NYKÖPING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44748</v>
      </c>
      <c r="E179" s="1" t="n">
        <v>46322</v>
      </c>
      <c r="F179" t="inlineStr">
        <is>
          <t>SÖDERMANLANDS LÄN</t>
        </is>
      </c>
      <c r="G179" t="inlineStr">
        <is>
          <t>NYKÖPING</t>
        </is>
      </c>
      <c r="H179" t="inlineStr">
        <is>
          <t>Holmen skog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46322</v>
      </c>
      <c r="F180" t="inlineStr">
        <is>
          <t>SÖDERMANLANDS LÄN</t>
        </is>
      </c>
      <c r="G180" t="inlineStr">
        <is>
          <t>NYKÖPING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67825-2021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44525</v>
      </c>
      <c r="E181" s="1" t="n">
        <v>46322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44709</v>
      </c>
      <c r="E182" s="1" t="n">
        <v>46322</v>
      </c>
      <c r="F182" t="inlineStr">
        <is>
          <t>SÖDERMANLANDS LÄN</t>
        </is>
      </c>
      <c r="G182" t="inlineStr">
        <is>
          <t>NYKÖPING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71107-2021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46322</v>
      </c>
      <c r="F183" t="inlineStr">
        <is>
          <t>SÖDERMANLANDS LÄN</t>
        </is>
      </c>
      <c r="G183" t="inlineStr">
        <is>
          <t>NYKÖPING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44729</v>
      </c>
      <c r="E184" s="1" t="n">
        <v>46322</v>
      </c>
      <c r="F184" t="inlineStr">
        <is>
          <t>SÖDERMANLANDS LÄN</t>
        </is>
      </c>
      <c r="G184" t="inlineStr">
        <is>
          <t>NYKÖPING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44713</v>
      </c>
      <c r="E185" s="1" t="n">
        <v>46322</v>
      </c>
      <c r="F185" t="inlineStr">
        <is>
          <t>SÖDERMANLANDS LÄN</t>
        </is>
      </c>
      <c r="G185" t="inlineStr">
        <is>
          <t>NYKÖPING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44627</v>
      </c>
      <c r="E186" s="1" t="n">
        <v>46322</v>
      </c>
      <c r="F186" t="inlineStr">
        <is>
          <t>SÖDERMANLANDS LÄN</t>
        </is>
      </c>
      <c r="G186" t="inlineStr">
        <is>
          <t>NYKÖPING</t>
        </is>
      </c>
      <c r="H186" t="inlineStr">
        <is>
          <t>Övriga Aktiebolag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63006-2021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44505</v>
      </c>
      <c r="E187" s="1" t="n">
        <v>46322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Holmen skog AB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56322-2023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45243</v>
      </c>
      <c r="E188" s="1" t="n">
        <v>46322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Kommuner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68401-2021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46322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Övriga Aktiebolag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44784</v>
      </c>
      <c r="E190" s="1" t="n">
        <v>46322</v>
      </c>
      <c r="F190" t="inlineStr">
        <is>
          <t>SÖDERMANLANDS LÄN</t>
        </is>
      </c>
      <c r="G190" t="inlineStr">
        <is>
          <t>NYKÖPING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44690</v>
      </c>
      <c r="E191" s="1" t="n">
        <v>46322</v>
      </c>
      <c r="F191" t="inlineStr">
        <is>
          <t>SÖDERMANLANDS LÄN</t>
        </is>
      </c>
      <c r="G191" t="inlineStr">
        <is>
          <t>NYKÖPING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72666-2021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44546</v>
      </c>
      <c r="E192" s="1" t="n">
        <v>46322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45702</v>
      </c>
      <c r="E193" s="1" t="n">
        <v>46322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21984-2024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45443</v>
      </c>
      <c r="E194" s="1" t="n">
        <v>46322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Holmen skog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44812</v>
      </c>
      <c r="E195" s="1" t="n">
        <v>46322</v>
      </c>
      <c r="F195" t="inlineStr">
        <is>
          <t>SÖDERMANLANDS LÄN</t>
        </is>
      </c>
      <c r="G195" t="inlineStr">
        <is>
          <t>NYKÖPING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46322</v>
      </c>
      <c r="F196" t="inlineStr">
        <is>
          <t>SÖDERMANLANDS LÄN</t>
        </is>
      </c>
      <c r="G196" t="inlineStr">
        <is>
          <t>NYKÖPING</t>
        </is>
      </c>
      <c r="I196" t="n">
        <v>15.2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65109-2021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46322</v>
      </c>
      <c r="F197" t="inlineStr">
        <is>
          <t>SÖDERMANLANDS LÄN</t>
        </is>
      </c>
      <c r="G197" t="inlineStr">
        <is>
          <t>NYKÖPING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45854</v>
      </c>
      <c r="E198" s="1" t="n">
        <v>46322</v>
      </c>
      <c r="F198" t="inlineStr">
        <is>
          <t>SÖDERMANLANDS LÄN</t>
        </is>
      </c>
      <c r="G198" t="inlineStr">
        <is>
          <t>NYKÖPING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49942-2022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46322</v>
      </c>
      <c r="F199" t="inlineStr">
        <is>
          <t>SÖDERMANLANDS LÄN</t>
        </is>
      </c>
      <c r="G199" t="inlineStr">
        <is>
          <t>NYKÖPING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45365</v>
      </c>
      <c r="E200" s="1" t="n">
        <v>46322</v>
      </c>
      <c r="F200" t="inlineStr">
        <is>
          <t>SÖDERMANLANDS LÄN</t>
        </is>
      </c>
      <c r="G200" t="inlineStr">
        <is>
          <t>NYKÖPING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31401-2022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44774</v>
      </c>
      <c r="E201" s="1" t="n">
        <v>46322</v>
      </c>
      <c r="F201" t="inlineStr">
        <is>
          <t>SÖDERMANLANDS LÄN</t>
        </is>
      </c>
      <c r="G201" t="inlineStr">
        <is>
          <t>NYKÖPING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44575</v>
      </c>
      <c r="E202" s="1" t="n">
        <v>46322</v>
      </c>
      <c r="F202" t="inlineStr">
        <is>
          <t>SÖDERMANLANDS LÄN</t>
        </is>
      </c>
      <c r="G202" t="inlineStr">
        <is>
          <t>NYKÖPING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46322</v>
      </c>
      <c r="F203" t="inlineStr">
        <is>
          <t>SÖDERMANLANDS LÄN</t>
        </is>
      </c>
      <c r="G203" t="inlineStr">
        <is>
          <t>NYKÖPING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45370</v>
      </c>
      <c r="E204" s="1" t="n">
        <v>46322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Kommuner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45424</v>
      </c>
      <c r="E205" s="1" t="n">
        <v>46322</v>
      </c>
      <c r="F205" t="inlineStr">
        <is>
          <t>SÖDERMANLANDS LÄN</t>
        </is>
      </c>
      <c r="G205" t="inlineStr">
        <is>
          <t>NYKÖPING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45132</v>
      </c>
      <c r="E206" s="1" t="n">
        <v>46322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44579</v>
      </c>
      <c r="E207" s="1" t="n">
        <v>46322</v>
      </c>
      <c r="F207" t="inlineStr">
        <is>
          <t>SÖDERMANLANDS LÄN</t>
        </is>
      </c>
      <c r="G207" t="inlineStr">
        <is>
          <t>NYKÖPING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45224</v>
      </c>
      <c r="E208" s="1" t="n">
        <v>46322</v>
      </c>
      <c r="F208" t="inlineStr">
        <is>
          <t>SÖDERMANLANDS LÄN</t>
        </is>
      </c>
      <c r="G208" t="inlineStr">
        <is>
          <t>NYKÖPING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46322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Övriga Aktiebolag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64099-2021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44509</v>
      </c>
      <c r="E210" s="1" t="n">
        <v>46322</v>
      </c>
      <c r="F210" t="inlineStr">
        <is>
          <t>SÖDERMANLANDS LÄN</t>
        </is>
      </c>
      <c r="G210" t="inlineStr">
        <is>
          <t>NYKÖPING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46322</v>
      </c>
      <c r="F211" t="inlineStr">
        <is>
          <t>SÖDERMANLANDS LÄN</t>
        </is>
      </c>
      <c r="G211" t="inlineStr">
        <is>
          <t>NYKÖPING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46322</v>
      </c>
      <c r="F212" t="inlineStr">
        <is>
          <t>SÖDERMANLANDS LÄN</t>
        </is>
      </c>
      <c r="G212" t="inlineStr">
        <is>
          <t>NYKÖPING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46322</v>
      </c>
      <c r="F213" t="inlineStr">
        <is>
          <t>SÖDERMANLANDS LÄN</t>
        </is>
      </c>
      <c r="G213" t="inlineStr">
        <is>
          <t>NYKÖPING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45685</v>
      </c>
      <c r="E214" s="1" t="n">
        <v>46322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Holmen skog AB</t>
        </is>
      </c>
      <c r="I214" t="n">
        <v>9.800000000000001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44579</v>
      </c>
      <c r="E215" s="1" t="n">
        <v>46322</v>
      </c>
      <c r="F215" t="inlineStr">
        <is>
          <t>SÖDERMANLANDS LÄN</t>
        </is>
      </c>
      <c r="G215" t="inlineStr">
        <is>
          <t>NYKÖPING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21257-2023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45062</v>
      </c>
      <c r="E216" s="1" t="n">
        <v>46322</v>
      </c>
      <c r="F216" t="inlineStr">
        <is>
          <t>SÖDERMANLANDS LÄN</t>
        </is>
      </c>
      <c r="G216" t="inlineStr">
        <is>
          <t>NYKÖPING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46322</v>
      </c>
      <c r="F217" t="inlineStr">
        <is>
          <t>SÖDERMANLANDS LÄN</t>
        </is>
      </c>
      <c r="G217" t="inlineStr">
        <is>
          <t>NYKÖPING</t>
        </is>
      </c>
      <c r="I217" t="n">
        <v>7.9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46184</v>
      </c>
      <c r="E218" s="1" t="n">
        <v>46322</v>
      </c>
      <c r="F218" t="inlineStr">
        <is>
          <t>SÖDERMANLANDS LÄN</t>
        </is>
      </c>
      <c r="G218" t="inlineStr">
        <is>
          <t>NYKÖPING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46322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Aktiebolag</t>
        </is>
      </c>
      <c r="I219" t="n">
        <v>13.1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45143</v>
      </c>
      <c r="E220" s="1" t="n">
        <v>46322</v>
      </c>
      <c r="F220" t="inlineStr">
        <is>
          <t>SÖDERMANLANDS LÄN</t>
        </is>
      </c>
      <c r="G220" t="inlineStr">
        <is>
          <t>NYKÖPING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45062</v>
      </c>
      <c r="E221" s="1" t="n">
        <v>46322</v>
      </c>
      <c r="F221" t="inlineStr">
        <is>
          <t>SÖDERMANLANDS LÄN</t>
        </is>
      </c>
      <c r="G221" t="inlineStr">
        <is>
          <t>NYKÖPING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43581-2022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44837</v>
      </c>
      <c r="E222" s="1" t="n">
        <v>46322</v>
      </c>
      <c r="F222" t="inlineStr">
        <is>
          <t>SÖDERMANLANDS LÄN</t>
        </is>
      </c>
      <c r="G222" t="inlineStr">
        <is>
          <t>NYKÖPING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45306</v>
      </c>
      <c r="E223" s="1" t="n">
        <v>46322</v>
      </c>
      <c r="F223" t="inlineStr">
        <is>
          <t>SÖDERMANLANDS LÄN</t>
        </is>
      </c>
      <c r="G223" t="inlineStr">
        <is>
          <t>NYKÖPING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46322</v>
      </c>
      <c r="F224" t="inlineStr">
        <is>
          <t>SÖDERMANLANDS LÄN</t>
        </is>
      </c>
      <c r="G224" t="inlineStr">
        <is>
          <t>NYKÖPING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9913-2022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44620</v>
      </c>
      <c r="E225" s="1" t="n">
        <v>46322</v>
      </c>
      <c r="F225" t="inlineStr">
        <is>
          <t>SÖDERMANLANDS LÄN</t>
        </is>
      </c>
      <c r="G225" t="inlineStr">
        <is>
          <t>NYKÖPING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46185</v>
      </c>
      <c r="E226" s="1" t="n">
        <v>46322</v>
      </c>
      <c r="F226" t="inlineStr">
        <is>
          <t>SÖDERMANLANDS LÄN</t>
        </is>
      </c>
      <c r="G226" t="inlineStr">
        <is>
          <t>NYKÖPING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60210-2022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44910</v>
      </c>
      <c r="E227" s="1" t="n">
        <v>46322</v>
      </c>
      <c r="F227" t="inlineStr">
        <is>
          <t>SÖDERMANLANDS LÄN</t>
        </is>
      </c>
      <c r="G227" t="inlineStr">
        <is>
          <t>NYKÖPING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45352</v>
      </c>
      <c r="E228" s="1" t="n">
        <v>46322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Kommuner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44869</v>
      </c>
      <c r="E229" s="1" t="n">
        <v>46322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45261</v>
      </c>
      <c r="E230" s="1" t="n">
        <v>46322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3187-2022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44582</v>
      </c>
      <c r="E231" s="1" t="n">
        <v>46322</v>
      </c>
      <c r="F231" t="inlineStr">
        <is>
          <t>SÖDERMANLANDS LÄN</t>
        </is>
      </c>
      <c r="G231" t="inlineStr">
        <is>
          <t>NYKÖPING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44938</v>
      </c>
      <c r="E232" s="1" t="n">
        <v>46322</v>
      </c>
      <c r="F232" t="inlineStr">
        <is>
          <t>SÖDERMANLANDS LÄN</t>
        </is>
      </c>
      <c r="G232" t="inlineStr">
        <is>
          <t>NYKÖPING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44846</v>
      </c>
      <c r="E233" s="1" t="n">
        <v>46322</v>
      </c>
      <c r="F233" t="inlineStr">
        <is>
          <t>SÖDERMANLANDS LÄN</t>
        </is>
      </c>
      <c r="G233" t="inlineStr">
        <is>
          <t>NYKÖPING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46322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47138-2023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45201</v>
      </c>
      <c r="E235" s="1" t="n">
        <v>46322</v>
      </c>
      <c r="F235" t="inlineStr">
        <is>
          <t>SÖDERMANLANDS LÄN</t>
        </is>
      </c>
      <c r="G235" t="inlineStr">
        <is>
          <t>NYKÖPING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44191-2022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44839</v>
      </c>
      <c r="E236" s="1" t="n">
        <v>46322</v>
      </c>
      <c r="F236" t="inlineStr">
        <is>
          <t>SÖDERMANLANDS LÄN</t>
        </is>
      </c>
      <c r="G236" t="inlineStr">
        <is>
          <t>NYKÖPING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46322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60117-2023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46322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Aktiebolag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14848-2024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45398</v>
      </c>
      <c r="E239" s="1" t="n">
        <v>46322</v>
      </c>
      <c r="F239" t="inlineStr">
        <is>
          <t>SÖDERMANLANDS LÄN</t>
        </is>
      </c>
      <c r="G239" t="inlineStr">
        <is>
          <t>NYKÖPING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44575</v>
      </c>
      <c r="E240" s="1" t="n">
        <v>46322</v>
      </c>
      <c r="F240" t="inlineStr">
        <is>
          <t>SÖDERMANLANDS LÄN</t>
        </is>
      </c>
      <c r="G240" t="inlineStr">
        <is>
          <t>NYKÖPING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45123-2025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45919</v>
      </c>
      <c r="E241" s="1" t="n">
        <v>46322</v>
      </c>
      <c r="F241" t="inlineStr">
        <is>
          <t>SÖDERMANLANDS LÄN</t>
        </is>
      </c>
      <c r="G241" t="inlineStr">
        <is>
          <t>NYKÖPING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44957</v>
      </c>
      <c r="E242" s="1" t="n">
        <v>46322</v>
      </c>
      <c r="F242" t="inlineStr">
        <is>
          <t>SÖDERMANLANDS LÄN</t>
        </is>
      </c>
      <c r="G242" t="inlineStr">
        <is>
          <t>NYKÖPING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46322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45672</v>
      </c>
      <c r="E244" s="1" t="n">
        <v>46322</v>
      </c>
      <c r="F244" t="inlineStr">
        <is>
          <t>SÖDERMANLANDS LÄN</t>
        </is>
      </c>
      <c r="G244" t="inlineStr">
        <is>
          <t>NYKÖPING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21249-2023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45062</v>
      </c>
      <c r="E245" s="1" t="n">
        <v>46322</v>
      </c>
      <c r="F245" t="inlineStr">
        <is>
          <t>SÖDERMANLANDS LÄN</t>
        </is>
      </c>
      <c r="G245" t="inlineStr">
        <is>
          <t>NYKÖPING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44992</v>
      </c>
      <c r="E246" s="1" t="n">
        <v>46322</v>
      </c>
      <c r="F246" t="inlineStr">
        <is>
          <t>SÖDERMANLANDS LÄN</t>
        </is>
      </c>
      <c r="G246" t="inlineStr">
        <is>
          <t>NYKÖPING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45310</v>
      </c>
      <c r="E247" s="1" t="n">
        <v>46322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14370-2022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44652</v>
      </c>
      <c r="E248" s="1" t="n">
        <v>46322</v>
      </c>
      <c r="F248" t="inlineStr">
        <is>
          <t>SÖDERMANLANDS LÄN</t>
        </is>
      </c>
      <c r="G248" t="inlineStr">
        <is>
          <t>NYKÖPING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44950</v>
      </c>
      <c r="E249" s="1" t="n">
        <v>46322</v>
      </c>
      <c r="F249" t="inlineStr">
        <is>
          <t>SÖDERMANLANDS LÄN</t>
        </is>
      </c>
      <c r="G249" t="inlineStr">
        <is>
          <t>NYKÖPING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8407-2023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44977</v>
      </c>
      <c r="E250" s="1" t="n">
        <v>46322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Övriga Aktiebolag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45419</v>
      </c>
      <c r="E251" s="1" t="n">
        <v>46322</v>
      </c>
      <c r="F251" t="inlineStr">
        <is>
          <t>SÖDERMANLANDS LÄN</t>
        </is>
      </c>
      <c r="G251" t="inlineStr">
        <is>
          <t>NYKÖPING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45419</v>
      </c>
      <c r="E252" s="1" t="n">
        <v>46322</v>
      </c>
      <c r="F252" t="inlineStr">
        <is>
          <t>SÖDERMANLANDS LÄN</t>
        </is>
      </c>
      <c r="G252" t="inlineStr">
        <is>
          <t>NYKÖPING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44932</v>
      </c>
      <c r="E253" s="1" t="n">
        <v>46322</v>
      </c>
      <c r="F253" t="inlineStr">
        <is>
          <t>SÖDERMANLANDS LÄN</t>
        </is>
      </c>
      <c r="G253" t="inlineStr">
        <is>
          <t>NYKÖPING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44932</v>
      </c>
      <c r="E254" s="1" t="n">
        <v>46322</v>
      </c>
      <c r="F254" t="inlineStr">
        <is>
          <t>SÖDERMANLANDS LÄN</t>
        </is>
      </c>
      <c r="G254" t="inlineStr">
        <is>
          <t>NYKÖPING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45044</v>
      </c>
      <c r="E255" s="1" t="n">
        <v>46322</v>
      </c>
      <c r="F255" t="inlineStr">
        <is>
          <t>SÖDERMANLANDS LÄN</t>
        </is>
      </c>
      <c r="G255" t="inlineStr">
        <is>
          <t>NYKÖPING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45424</v>
      </c>
      <c r="E256" s="1" t="n">
        <v>46322</v>
      </c>
      <c r="F256" t="inlineStr">
        <is>
          <t>SÖDERMANLANDS LÄN</t>
        </is>
      </c>
      <c r="G256" t="inlineStr">
        <is>
          <t>NYKÖPING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45855</v>
      </c>
      <c r="E257" s="1" t="n">
        <v>46322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Holmen skog AB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44733</v>
      </c>
      <c r="E258" s="1" t="n">
        <v>46322</v>
      </c>
      <c r="F258" t="inlineStr">
        <is>
          <t>SÖDERMANLANDS LÄN</t>
        </is>
      </c>
      <c r="G258" t="inlineStr">
        <is>
          <t>NYKÖPING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45173</v>
      </c>
      <c r="E259" s="1" t="n">
        <v>46322</v>
      </c>
      <c r="F259" t="inlineStr">
        <is>
          <t>SÖDERMANLANDS LÄN</t>
        </is>
      </c>
      <c r="G259" t="inlineStr">
        <is>
          <t>NYKÖPING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46322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53800-2022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44880</v>
      </c>
      <c r="E261" s="1" t="n">
        <v>46322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Övriga Aktiebolag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44977</v>
      </c>
      <c r="E262" s="1" t="n">
        <v>46322</v>
      </c>
      <c r="F262" t="inlineStr">
        <is>
          <t>SÖDERMANLANDS LÄN</t>
        </is>
      </c>
      <c r="G262" t="inlineStr">
        <is>
          <t>NYKÖPING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46322</v>
      </c>
      <c r="F263" t="inlineStr">
        <is>
          <t>SÖDERMANLANDS LÄN</t>
        </is>
      </c>
      <c r="G263" t="inlineStr">
        <is>
          <t>NYKÖPING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21987-2024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45443</v>
      </c>
      <c r="E264" s="1" t="n">
        <v>46322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46322</v>
      </c>
      <c r="F265" t="inlineStr">
        <is>
          <t>SÖDERMANLANDS LÄN</t>
        </is>
      </c>
      <c r="G265" t="inlineStr">
        <is>
          <t>NYKÖPING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45148</v>
      </c>
      <c r="E266" s="1" t="n">
        <v>46322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Kommuner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45855</v>
      </c>
      <c r="E267" s="1" t="n">
        <v>46322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44990</v>
      </c>
      <c r="E268" s="1" t="n">
        <v>46322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Allmännings- och besparingsskogar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7043-2023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44968</v>
      </c>
      <c r="E269" s="1" t="n">
        <v>46322</v>
      </c>
      <c r="F269" t="inlineStr">
        <is>
          <t>SÖDERMANLANDS LÄN</t>
        </is>
      </c>
      <c r="G269" t="inlineStr">
        <is>
          <t>NYKÖPING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35455-2025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45855</v>
      </c>
      <c r="E270" s="1" t="n">
        <v>46322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45855</v>
      </c>
      <c r="E271" s="1" t="n">
        <v>46322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24197-2022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44725</v>
      </c>
      <c r="E272" s="1" t="n">
        <v>46322</v>
      </c>
      <c r="F272" t="inlineStr">
        <is>
          <t>SÖDERMANLANDS LÄN</t>
        </is>
      </c>
      <c r="G272" t="inlineStr">
        <is>
          <t>NYKÖPING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32928-2022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44784</v>
      </c>
      <c r="E273" s="1" t="n">
        <v>46322</v>
      </c>
      <c r="F273" t="inlineStr">
        <is>
          <t>SÖDERMANLANDS LÄN</t>
        </is>
      </c>
      <c r="G273" t="inlineStr">
        <is>
          <t>NYKÖPING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46322</v>
      </c>
      <c r="F274" t="inlineStr">
        <is>
          <t>SÖDERMANLANDS LÄN</t>
        </is>
      </c>
      <c r="G274" t="inlineStr">
        <is>
          <t>NYKÖPING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65174-2023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45288</v>
      </c>
      <c r="E275" s="1" t="n">
        <v>46322</v>
      </c>
      <c r="F275" t="inlineStr">
        <is>
          <t>SÖDERMANLANDS LÄN</t>
        </is>
      </c>
      <c r="G275" t="inlineStr">
        <is>
          <t>NYKÖPING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49223-2022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44858</v>
      </c>
      <c r="E276" s="1" t="n">
        <v>46322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Övriga statliga verk och myndigheter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26839-2026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46185</v>
      </c>
      <c r="E277" s="1" t="n">
        <v>46322</v>
      </c>
      <c r="F277" t="inlineStr">
        <is>
          <t>SÖDERMANLANDS LÄN</t>
        </is>
      </c>
      <c r="G277" t="inlineStr">
        <is>
          <t>NYKÖPING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26841-2026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46185</v>
      </c>
      <c r="E278" s="1" t="n">
        <v>46322</v>
      </c>
      <c r="F278" t="inlineStr">
        <is>
          <t>SÖDERMANLANDS LÄN</t>
        </is>
      </c>
      <c r="G278" t="inlineStr">
        <is>
          <t>NYKÖPING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45282-2022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46322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7036-2023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44968</v>
      </c>
      <c r="E280" s="1" t="n">
        <v>46322</v>
      </c>
      <c r="F280" t="inlineStr">
        <is>
          <t>SÖDERMANLANDS LÄN</t>
        </is>
      </c>
      <c r="G280" t="inlineStr">
        <is>
          <t>NYKÖPING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46322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45160</v>
      </c>
      <c r="E282" s="1" t="n">
        <v>46322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Kommuner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45160</v>
      </c>
      <c r="E283" s="1" t="n">
        <v>46322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Kommuner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45686</v>
      </c>
      <c r="E284" s="1" t="n">
        <v>46322</v>
      </c>
      <c r="F284" t="inlineStr">
        <is>
          <t>SÖDERMANLANDS LÄN</t>
        </is>
      </c>
      <c r="G284" t="inlineStr">
        <is>
          <t>NYKÖPING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46322</v>
      </c>
      <c r="F285" t="inlineStr">
        <is>
          <t>SÖDERMANLANDS LÄN</t>
        </is>
      </c>
      <c r="G285" t="inlineStr">
        <is>
          <t>NYKÖPING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11554-2025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46322</v>
      </c>
      <c r="F286" t="inlineStr">
        <is>
          <t>SÖDERMANLANDS LÄN</t>
        </is>
      </c>
      <c r="G286" t="inlineStr">
        <is>
          <t>NYKÖPING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14257-2024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45393</v>
      </c>
      <c r="E287" s="1" t="n">
        <v>46322</v>
      </c>
      <c r="F287" t="inlineStr">
        <is>
          <t>SÖDERMANLANDS LÄN</t>
        </is>
      </c>
      <c r="G287" t="inlineStr">
        <is>
          <t>NYKÖPING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46322</v>
      </c>
      <c r="F288" t="inlineStr">
        <is>
          <t>SÖDERMANLANDS LÄN</t>
        </is>
      </c>
      <c r="G288" t="inlineStr">
        <is>
          <t>NYKÖPING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46322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Övriga Aktiebolag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46322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Övriga Aktiebolag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45306</v>
      </c>
      <c r="E291" s="1" t="n">
        <v>46322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Kommuner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49613-2025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46322</v>
      </c>
      <c r="F292" t="inlineStr">
        <is>
          <t>SÖDERMANLANDS LÄN</t>
        </is>
      </c>
      <c r="G292" t="inlineStr">
        <is>
          <t>NYKÖPING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65172-2023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45288</v>
      </c>
      <c r="E293" s="1" t="n">
        <v>46322</v>
      </c>
      <c r="F293" t="inlineStr">
        <is>
          <t>SÖDERMANLANDS LÄN</t>
        </is>
      </c>
      <c r="G293" t="inlineStr">
        <is>
          <t>NYKÖPING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38922-2024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46322</v>
      </c>
      <c r="F294" t="inlineStr">
        <is>
          <t>SÖDERMANLANDS LÄN</t>
        </is>
      </c>
      <c r="G294" t="inlineStr">
        <is>
          <t>NYKÖPING</t>
        </is>
      </c>
      <c r="I294" t="n">
        <v>10.3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50340-2025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45944</v>
      </c>
      <c r="E295" s="1" t="n">
        <v>46322</v>
      </c>
      <c r="F295" t="inlineStr">
        <is>
          <t>SÖDERMANLANDS LÄN</t>
        </is>
      </c>
      <c r="G295" t="inlineStr">
        <is>
          <t>NYKÖPING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44995</v>
      </c>
      <c r="E296" s="1" t="n">
        <v>46322</v>
      </c>
      <c r="F296" t="inlineStr">
        <is>
          <t>SÖDERMANLANDS LÄN</t>
        </is>
      </c>
      <c r="G296" t="inlineStr">
        <is>
          <t>NYKÖPING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68401-2021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46322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Övriga Aktiebolag</t>
        </is>
      </c>
      <c r="I297" t="n">
        <v>16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62948-2023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46322</v>
      </c>
      <c r="F298" t="inlineStr">
        <is>
          <t>SÖDERMANLANDS LÄN</t>
        </is>
      </c>
      <c r="G298" t="inlineStr">
        <is>
          <t>NYKÖPING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46322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2939-2022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44581</v>
      </c>
      <c r="E300" s="1" t="n">
        <v>46322</v>
      </c>
      <c r="F300" t="inlineStr">
        <is>
          <t>SÖDERMANLANDS LÄN</t>
        </is>
      </c>
      <c r="G300" t="inlineStr">
        <is>
          <t>NYKÖPING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36000-2023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46322</v>
      </c>
      <c r="F301" t="inlineStr">
        <is>
          <t>SÖDERMANLANDS LÄN</t>
        </is>
      </c>
      <c r="G301" t="inlineStr">
        <is>
          <t>NYKÖPING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45712</v>
      </c>
      <c r="E302" s="1" t="n">
        <v>46322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67736-2021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44525</v>
      </c>
      <c r="E303" s="1" t="n">
        <v>46322</v>
      </c>
      <c r="F303" t="inlineStr">
        <is>
          <t>SÖDERMANLANDS LÄN</t>
        </is>
      </c>
      <c r="G303" t="inlineStr">
        <is>
          <t>NYKÖPING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45900</v>
      </c>
      <c r="E304" s="1" t="n">
        <v>46322</v>
      </c>
      <c r="F304" t="inlineStr">
        <is>
          <t>SÖDERMANLANDS LÄN</t>
        </is>
      </c>
      <c r="G304" t="inlineStr">
        <is>
          <t>NYKÖPING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24285-2022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44725</v>
      </c>
      <c r="E305" s="1" t="n">
        <v>46322</v>
      </c>
      <c r="F305" t="inlineStr">
        <is>
          <t>SÖDERMANLANDS LÄN</t>
        </is>
      </c>
      <c r="G305" t="inlineStr">
        <is>
          <t>NYKÖPING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45159</v>
      </c>
      <c r="E306" s="1" t="n">
        <v>46322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Kommuner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44966</v>
      </c>
      <c r="E307" s="1" t="n">
        <v>46322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Övriga Aktiebolag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71555-2021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44540</v>
      </c>
      <c r="E308" s="1" t="n">
        <v>46322</v>
      </c>
      <c r="F308" t="inlineStr">
        <is>
          <t>SÖDERMANLANDS LÄN</t>
        </is>
      </c>
      <c r="G308" t="inlineStr">
        <is>
          <t>NYKÖPING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72117-2021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44543</v>
      </c>
      <c r="E309" s="1" t="n">
        <v>46322</v>
      </c>
      <c r="F309" t="inlineStr">
        <is>
          <t>SÖDERMANLANDS LÄN</t>
        </is>
      </c>
      <c r="G309" t="inlineStr">
        <is>
          <t>NYKÖPING</t>
        </is>
      </c>
      <c r="I309" t="n">
        <v>14.9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37361-2024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45540</v>
      </c>
      <c r="E310" s="1" t="n">
        <v>46322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41137-2022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44825</v>
      </c>
      <c r="E311" s="1" t="n">
        <v>46322</v>
      </c>
      <c r="F311" t="inlineStr">
        <is>
          <t>SÖDERMANLANDS LÄN</t>
        </is>
      </c>
      <c r="G311" t="inlineStr">
        <is>
          <t>NYKÖPING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6519-2023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44965</v>
      </c>
      <c r="E312" s="1" t="n">
        <v>46322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Kyrkan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45034</v>
      </c>
      <c r="E313" s="1" t="n">
        <v>46322</v>
      </c>
      <c r="F313" t="inlineStr">
        <is>
          <t>SÖDERMANLANDS LÄN</t>
        </is>
      </c>
      <c r="G313" t="inlineStr">
        <is>
          <t>NYKÖPING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42251-2022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44830</v>
      </c>
      <c r="E314" s="1" t="n">
        <v>46322</v>
      </c>
      <c r="F314" t="inlineStr">
        <is>
          <t>SÖDERMANLANDS LÄN</t>
        </is>
      </c>
      <c r="G314" t="inlineStr">
        <is>
          <t>NYKÖPING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28705-2025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45820</v>
      </c>
      <c r="E315" s="1" t="n">
        <v>46322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Holmen skog AB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36714-2023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45153</v>
      </c>
      <c r="E316" s="1" t="n">
        <v>46322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Kommuner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46322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52585-2025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46322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45775</v>
      </c>
      <c r="E319" s="1" t="n">
        <v>46322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Kommuner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46322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45190</v>
      </c>
      <c r="E321" s="1" t="n">
        <v>46322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46322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Kommuner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7045-2023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44968</v>
      </c>
      <c r="E323" s="1" t="n">
        <v>46322</v>
      </c>
      <c r="F323" t="inlineStr">
        <is>
          <t>SÖDERMANLANDS LÄN</t>
        </is>
      </c>
      <c r="G323" t="inlineStr">
        <is>
          <t>NYKÖPING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38149-2024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45545</v>
      </c>
      <c r="E324" s="1" t="n">
        <v>46322</v>
      </c>
      <c r="F324" t="inlineStr">
        <is>
          <t>SÖDERMANLANDS LÄN</t>
        </is>
      </c>
      <c r="G324" t="inlineStr">
        <is>
          <t>NYKÖPING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55311-2025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45970</v>
      </c>
      <c r="E325" s="1" t="n">
        <v>46322</v>
      </c>
      <c r="F325" t="inlineStr">
        <is>
          <t>SÖDERMANLANDS LÄN</t>
        </is>
      </c>
      <c r="G325" t="inlineStr">
        <is>
          <t>NYKÖPING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38745-2023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45161</v>
      </c>
      <c r="E326" s="1" t="n">
        <v>46322</v>
      </c>
      <c r="F326" t="inlineStr">
        <is>
          <t>SÖDERMANLANDS LÄN</t>
        </is>
      </c>
      <c r="G326" t="inlineStr">
        <is>
          <t>NYKÖPING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48709-2022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44859</v>
      </c>
      <c r="E327" s="1" t="n">
        <v>46322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53413-2022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44879</v>
      </c>
      <c r="E328" s="1" t="n">
        <v>46322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Övriga Aktiebolag</t>
        </is>
      </c>
      <c r="I328" t="n">
        <v>8.800000000000001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12153-2025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45729</v>
      </c>
      <c r="E329" s="1" t="n">
        <v>46322</v>
      </c>
      <c r="F329" t="inlineStr">
        <is>
          <t>SÖDERMANLANDS LÄN</t>
        </is>
      </c>
      <c r="G329" t="inlineStr">
        <is>
          <t>NYKÖPING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46322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10435-2022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44623</v>
      </c>
      <c r="E331" s="1" t="n">
        <v>46322</v>
      </c>
      <c r="F331" t="inlineStr">
        <is>
          <t>SÖDERMANLANDS LÄN</t>
        </is>
      </c>
      <c r="G331" t="inlineStr">
        <is>
          <t>NYKÖPING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58553-2024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45635</v>
      </c>
      <c r="E332" s="1" t="n">
        <v>46322</v>
      </c>
      <c r="F332" t="inlineStr">
        <is>
          <t>SÖDERMANLANDS LÄN</t>
        </is>
      </c>
      <c r="G332" t="inlineStr">
        <is>
          <t>NYKÖPING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45335</v>
      </c>
      <c r="E333" s="1" t="n">
        <v>46322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34203-2024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45524</v>
      </c>
      <c r="E334" s="1" t="n">
        <v>46322</v>
      </c>
      <c r="F334" t="inlineStr">
        <is>
          <t>SÖDERMANLANDS LÄN</t>
        </is>
      </c>
      <c r="G334" t="inlineStr">
        <is>
          <t>NYKÖPING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13863-2022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44649</v>
      </c>
      <c r="E335" s="1" t="n">
        <v>46322</v>
      </c>
      <c r="F335" t="inlineStr">
        <is>
          <t>SÖDERMANLANDS LÄN</t>
        </is>
      </c>
      <c r="G335" t="inlineStr">
        <is>
          <t>NYKÖPING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27975-2022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44744</v>
      </c>
      <c r="E336" s="1" t="n">
        <v>46322</v>
      </c>
      <c r="F336" t="inlineStr">
        <is>
          <t>SÖDERMANLANDS LÄN</t>
        </is>
      </c>
      <c r="G336" t="inlineStr">
        <is>
          <t>NYKÖPING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45315</v>
      </c>
      <c r="E337" s="1" t="n">
        <v>46322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Kyrkan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59148-2024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45637</v>
      </c>
      <c r="E338" s="1" t="n">
        <v>46322</v>
      </c>
      <c r="F338" t="inlineStr">
        <is>
          <t>SÖDERMANLANDS LÄN</t>
        </is>
      </c>
      <c r="G338" t="inlineStr">
        <is>
          <t>NYKÖPING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51244-2024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45603</v>
      </c>
      <c r="E339" s="1" t="n">
        <v>46322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56128-2025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46322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45163</v>
      </c>
      <c r="E341" s="1" t="n">
        <v>46322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45145</v>
      </c>
      <c r="E342" s="1" t="n">
        <v>46322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45218</v>
      </c>
      <c r="E343" s="1" t="n">
        <v>46322</v>
      </c>
      <c r="F343" t="inlineStr">
        <is>
          <t>SÖDERMANLANDS LÄN</t>
        </is>
      </c>
      <c r="G343" t="inlineStr">
        <is>
          <t>NYKÖPING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39310-2023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46322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38034-2023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45160</v>
      </c>
      <c r="E345" s="1" t="n">
        <v>46322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57074-2025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45979</v>
      </c>
      <c r="E346" s="1" t="n">
        <v>46322</v>
      </c>
      <c r="F346" t="inlineStr">
        <is>
          <t>SÖDERMANLANDS LÄN</t>
        </is>
      </c>
      <c r="G346" t="inlineStr">
        <is>
          <t>NYKÖPING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45033</v>
      </c>
      <c r="E347" s="1" t="n">
        <v>46322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16.5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53335-2023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45229</v>
      </c>
      <c r="E348" s="1" t="n">
        <v>46322</v>
      </c>
      <c r="F348" t="inlineStr">
        <is>
          <t>SÖDERMANLANDS LÄN</t>
        </is>
      </c>
      <c r="G348" t="inlineStr">
        <is>
          <t>NYKÖPING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57324-2025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46322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57937-2025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45982</v>
      </c>
      <c r="E350" s="1" t="n">
        <v>46322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46322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7223-2023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44970</v>
      </c>
      <c r="E352" s="1" t="n">
        <v>46322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53071-2024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45611</v>
      </c>
      <c r="E353" s="1" t="n">
        <v>46322</v>
      </c>
      <c r="F353" t="inlineStr">
        <is>
          <t>SÖDERMANLANDS LÄN</t>
        </is>
      </c>
      <c r="G353" t="inlineStr">
        <is>
          <t>NYKÖPING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63882-2023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45278</v>
      </c>
      <c r="E354" s="1" t="n">
        <v>46322</v>
      </c>
      <c r="F354" t="inlineStr">
        <is>
          <t>SÖDERMANLANDS LÄN</t>
        </is>
      </c>
      <c r="G354" t="inlineStr">
        <is>
          <t>NYKÖPING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59906-2025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45993</v>
      </c>
      <c r="E355" s="1" t="n">
        <v>46322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59998-2025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45993</v>
      </c>
      <c r="E356" s="1" t="n">
        <v>46322</v>
      </c>
      <c r="F356" t="inlineStr">
        <is>
          <t>SÖDERMANLANDS LÄN</t>
        </is>
      </c>
      <c r="G356" t="inlineStr">
        <is>
          <t>NYKÖPING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33271-2024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45518</v>
      </c>
      <c r="E357" s="1" t="n">
        <v>46322</v>
      </c>
      <c r="F357" t="inlineStr">
        <is>
          <t>SÖDERMANLANDS LÄN</t>
        </is>
      </c>
      <c r="G357" t="inlineStr">
        <is>
          <t>NYKÖPING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59159-2022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44896</v>
      </c>
      <c r="E358" s="1" t="n">
        <v>46322</v>
      </c>
      <c r="F358" t="inlineStr">
        <is>
          <t>SÖDERMANLANDS LÄN</t>
        </is>
      </c>
      <c r="G358" t="inlineStr">
        <is>
          <t>NYKÖPING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59992-2025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45993</v>
      </c>
      <c r="E359" s="1" t="n">
        <v>46322</v>
      </c>
      <c r="F359" t="inlineStr">
        <is>
          <t>SÖDERMANLANDS LÄN</t>
        </is>
      </c>
      <c r="G359" t="inlineStr">
        <is>
          <t>NYKÖPING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59917-2025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45993</v>
      </c>
      <c r="E360" s="1" t="n">
        <v>46322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33683-2023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45132</v>
      </c>
      <c r="E361" s="1" t="n">
        <v>46322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38735-2023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46322</v>
      </c>
      <c r="F362" t="inlineStr">
        <is>
          <t>SÖDERMANLANDS LÄN</t>
        </is>
      </c>
      <c r="G362" t="inlineStr">
        <is>
          <t>NYKÖPING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46322</v>
      </c>
      <c r="F363" t="inlineStr">
        <is>
          <t>SÖDERMANLANDS LÄN</t>
        </is>
      </c>
      <c r="G363" t="inlineStr">
        <is>
          <t>NYKÖPING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44830</v>
      </c>
      <c r="E364" s="1" t="n">
        <v>46322</v>
      </c>
      <c r="F364" t="inlineStr">
        <is>
          <t>SÖDERMANLANDS LÄN</t>
        </is>
      </c>
      <c r="G364" t="inlineStr">
        <is>
          <t>NYKÖPING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52068-2023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45216</v>
      </c>
      <c r="E365" s="1" t="n">
        <v>46322</v>
      </c>
      <c r="F365" t="inlineStr">
        <is>
          <t>SÖDERMANLANDS LÄN</t>
        </is>
      </c>
      <c r="G365" t="inlineStr">
        <is>
          <t>NYKÖPING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61253-2025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45999</v>
      </c>
      <c r="E366" s="1" t="n">
        <v>46322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Allmännings- och besparingsskogar</t>
        </is>
      </c>
      <c r="I366" t="n">
        <v>13.5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9167-2023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46322</v>
      </c>
      <c r="F367" t="inlineStr">
        <is>
          <t>SÖDERMANLANDS LÄN</t>
        </is>
      </c>
      <c r="G367" t="inlineStr">
        <is>
          <t>NYKÖPING</t>
        </is>
      </c>
      <c r="I367" t="n">
        <v>6.9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44976</v>
      </c>
      <c r="E368" s="1" t="n">
        <v>46322</v>
      </c>
      <c r="F368" t="inlineStr">
        <is>
          <t>SÖDERMANLANDS LÄN</t>
        </is>
      </c>
      <c r="G368" t="inlineStr">
        <is>
          <t>NYKÖPING</t>
        </is>
      </c>
      <c r="I368" t="n">
        <v>11.1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50776-2022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44867</v>
      </c>
      <c r="E369" s="1" t="n">
        <v>46322</v>
      </c>
      <c r="F369" t="inlineStr">
        <is>
          <t>SÖDERMANLANDS LÄN</t>
        </is>
      </c>
      <c r="G369" t="inlineStr">
        <is>
          <t>NYKÖPING</t>
        </is>
      </c>
      <c r="I369" t="n">
        <v>13.4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46322</v>
      </c>
      <c r="F370" t="inlineStr">
        <is>
          <t>SÖDERMANLANDS LÄN</t>
        </is>
      </c>
      <c r="G370" t="inlineStr">
        <is>
          <t>NYKÖPING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46322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Allmännings- och besparingsskogar</t>
        </is>
      </c>
      <c r="I371" t="n">
        <v>10.6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38472-2023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45162</v>
      </c>
      <c r="E372" s="1" t="n">
        <v>46322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Kommuner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46001</v>
      </c>
      <c r="E373" s="1" t="n">
        <v>46322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18604-2023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45043</v>
      </c>
      <c r="E374" s="1" t="n">
        <v>46322</v>
      </c>
      <c r="F374" t="inlineStr">
        <is>
          <t>SÖDERMANLANDS LÄN</t>
        </is>
      </c>
      <c r="G374" t="inlineStr">
        <is>
          <t>NYKÖPING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4885-2024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45329</v>
      </c>
      <c r="E375" s="1" t="n">
        <v>46322</v>
      </c>
      <c r="F375" t="inlineStr">
        <is>
          <t>SÖDERMANLANDS LÄN</t>
        </is>
      </c>
      <c r="G375" t="inlineStr">
        <is>
          <t>NYKÖPING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9386-2024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45359</v>
      </c>
      <c r="E376" s="1" t="n">
        <v>46322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45672</v>
      </c>
      <c r="E377" s="1" t="n">
        <v>46322</v>
      </c>
      <c r="F377" t="inlineStr">
        <is>
          <t>SÖDERMANLANDS LÄN</t>
        </is>
      </c>
      <c r="G377" t="inlineStr">
        <is>
          <t>NYKÖPING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60104-2023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46322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Övriga Aktiebolag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12844-2025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45733</v>
      </c>
      <c r="E379" s="1" t="n">
        <v>46322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46322</v>
      </c>
      <c r="F380" t="inlineStr">
        <is>
          <t>SÖDERMANLANDS LÄN</t>
        </is>
      </c>
      <c r="G380" t="inlineStr">
        <is>
          <t>NYKÖPING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45817</v>
      </c>
      <c r="E381" s="1" t="n">
        <v>46322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45817</v>
      </c>
      <c r="E382" s="1" t="n">
        <v>46322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27947-2025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45817</v>
      </c>
      <c r="E383" s="1" t="n">
        <v>46322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64159-2021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44510</v>
      </c>
      <c r="E384" s="1" t="n">
        <v>46322</v>
      </c>
      <c r="F384" t="inlineStr">
        <is>
          <t>SÖDERMANLANDS LÄN</t>
        </is>
      </c>
      <c r="G384" t="inlineStr">
        <is>
          <t>NYKÖPING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46322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46322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Sveaskog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17234-2022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44678</v>
      </c>
      <c r="E387" s="1" t="n">
        <v>46322</v>
      </c>
      <c r="F387" t="inlineStr">
        <is>
          <t>SÖDERMANLANDS LÄN</t>
        </is>
      </c>
      <c r="G387" t="inlineStr">
        <is>
          <t>NYKÖPING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46322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38317-2022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44812</v>
      </c>
      <c r="E389" s="1" t="n">
        <v>46322</v>
      </c>
      <c r="F389" t="inlineStr">
        <is>
          <t>SÖDERMANLANDS LÄN</t>
        </is>
      </c>
      <c r="G389" t="inlineStr">
        <is>
          <t>NYKÖPING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12887-2025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45733</v>
      </c>
      <c r="E390" s="1" t="n">
        <v>46322</v>
      </c>
      <c r="F390" t="inlineStr">
        <is>
          <t>SÖDERMANLANDS LÄN</t>
        </is>
      </c>
      <c r="G390" t="inlineStr">
        <is>
          <t>NYKÖPING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62917-2025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46322</v>
      </c>
      <c r="F391" t="inlineStr">
        <is>
          <t>SÖDERMANLANDS LÄN</t>
        </is>
      </c>
      <c r="G391" t="inlineStr">
        <is>
          <t>NYKÖPING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45008</v>
      </c>
      <c r="E392" s="1" t="n">
        <v>46322</v>
      </c>
      <c r="F392" t="inlineStr">
        <is>
          <t>SÖDERMANLANDS LÄN</t>
        </is>
      </c>
      <c r="G392" t="inlineStr">
        <is>
          <t>NYKÖPING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15056-2025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45743</v>
      </c>
      <c r="E393" s="1" t="n">
        <v>46322</v>
      </c>
      <c r="F393" t="inlineStr">
        <is>
          <t>SÖDERMANLANDS LÄN</t>
        </is>
      </c>
      <c r="G393" t="inlineStr">
        <is>
          <t>NYKÖPING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44579</v>
      </c>
      <c r="E394" s="1" t="n">
        <v>46322</v>
      </c>
      <c r="F394" t="inlineStr">
        <is>
          <t>SÖDERMANLANDS LÄN</t>
        </is>
      </c>
      <c r="G394" t="inlineStr">
        <is>
          <t>NYKÖPING</t>
        </is>
      </c>
      <c r="I394" t="n">
        <v>10.8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45705</v>
      </c>
      <c r="E395" s="1" t="n">
        <v>46322</v>
      </c>
      <c r="F395" t="inlineStr">
        <is>
          <t>SÖDERMANLANDS LÄN</t>
        </is>
      </c>
      <c r="G395" t="inlineStr">
        <is>
          <t>NYKÖPING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43306-2023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45183</v>
      </c>
      <c r="E396" s="1" t="n">
        <v>46322</v>
      </c>
      <c r="F396" t="inlineStr">
        <is>
          <t>SÖDERMANLANDS LÄN</t>
        </is>
      </c>
      <c r="G396" t="inlineStr">
        <is>
          <t>NYKÖPING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24447-2023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45082</v>
      </c>
      <c r="E397" s="1" t="n">
        <v>46322</v>
      </c>
      <c r="F397" t="inlineStr">
        <is>
          <t>SÖDERMANLANDS LÄN</t>
        </is>
      </c>
      <c r="G397" t="inlineStr">
        <is>
          <t>NYKÖPING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63293-2025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46010</v>
      </c>
      <c r="E398" s="1" t="n">
        <v>46322</v>
      </c>
      <c r="F398" t="inlineStr">
        <is>
          <t>SÖDERMANLANDS LÄN</t>
        </is>
      </c>
      <c r="G398" t="inlineStr">
        <is>
          <t>NYKÖPING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63322-2025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46322</v>
      </c>
      <c r="F399" t="inlineStr">
        <is>
          <t>SÖDERMANLANDS LÄN</t>
        </is>
      </c>
      <c r="G399" t="inlineStr">
        <is>
          <t>NYKÖPING</t>
        </is>
      </c>
      <c r="I399" t="n">
        <v>21.2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46322</v>
      </c>
      <c r="F400" t="inlineStr">
        <is>
          <t>SÖDERMANLANDS LÄN</t>
        </is>
      </c>
      <c r="G400" t="inlineStr">
        <is>
          <t>NYKÖPING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12529-2024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46322</v>
      </c>
      <c r="F401" t="inlineStr">
        <is>
          <t>SÖDERMANLANDS LÄN</t>
        </is>
      </c>
      <c r="G401" t="inlineStr">
        <is>
          <t>NYKÖPING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37941-2022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44810</v>
      </c>
      <c r="E402" s="1" t="n">
        <v>46322</v>
      </c>
      <c r="F402" t="inlineStr">
        <is>
          <t>SÖDERMANLANDS LÄN</t>
        </is>
      </c>
      <c r="G402" t="inlineStr">
        <is>
          <t>NYKÖPING</t>
        </is>
      </c>
      <c r="I402" t="n">
        <v>13.5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31034-2025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45831</v>
      </c>
      <c r="E403" s="1" t="n">
        <v>46322</v>
      </c>
      <c r="F403" t="inlineStr">
        <is>
          <t>SÖDERMANLANDS LÄN</t>
        </is>
      </c>
      <c r="G403" t="inlineStr">
        <is>
          <t>NYKÖPING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46322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31928-2025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45834</v>
      </c>
      <c r="E405" s="1" t="n">
        <v>46322</v>
      </c>
      <c r="F405" t="inlineStr">
        <is>
          <t>SÖDERMANLANDS LÄN</t>
        </is>
      </c>
      <c r="G405" t="inlineStr">
        <is>
          <t>NYKÖPING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9842-2022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44620</v>
      </c>
      <c r="E406" s="1" t="n">
        <v>46322</v>
      </c>
      <c r="F406" t="inlineStr">
        <is>
          <t>SÖDERMANLANDS LÄN</t>
        </is>
      </c>
      <c r="G406" t="inlineStr">
        <is>
          <t>NYKÖPING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31922-2025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45834</v>
      </c>
      <c r="E407" s="1" t="n">
        <v>46322</v>
      </c>
      <c r="F407" t="inlineStr">
        <is>
          <t>SÖDERMANLANDS LÄN</t>
        </is>
      </c>
      <c r="G407" t="inlineStr">
        <is>
          <t>NYKÖPING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31923-2025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45834</v>
      </c>
      <c r="E408" s="1" t="n">
        <v>46322</v>
      </c>
      <c r="F408" t="inlineStr">
        <is>
          <t>SÖDERMANLANDS LÄN</t>
        </is>
      </c>
      <c r="G408" t="inlineStr">
        <is>
          <t>NYKÖPING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31929-2025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45834</v>
      </c>
      <c r="E409" s="1" t="n">
        <v>46322</v>
      </c>
      <c r="F409" t="inlineStr">
        <is>
          <t>SÖDERMANLANDS LÄN</t>
        </is>
      </c>
      <c r="G409" t="inlineStr">
        <is>
          <t>NYKÖPING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45001</v>
      </c>
      <c r="E410" s="1" t="n">
        <v>46322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Kyrkan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45730</v>
      </c>
      <c r="E411" s="1" t="n">
        <v>46322</v>
      </c>
      <c r="F411" t="inlineStr">
        <is>
          <t>SÖDERMANLANDS LÄN</t>
        </is>
      </c>
      <c r="G411" t="inlineStr">
        <is>
          <t>NYKÖPING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37907-2022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44811</v>
      </c>
      <c r="E412" s="1" t="n">
        <v>46322</v>
      </c>
      <c r="F412" t="inlineStr">
        <is>
          <t>SÖDERMANLANDS LÄN</t>
        </is>
      </c>
      <c r="G412" t="inlineStr">
        <is>
          <t>NYKÖPING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37911-2022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44810</v>
      </c>
      <c r="E413" s="1" t="n">
        <v>46322</v>
      </c>
      <c r="F413" t="inlineStr">
        <is>
          <t>SÖDERMANLANDS LÄN</t>
        </is>
      </c>
      <c r="G413" t="inlineStr">
        <is>
          <t>NYKÖPING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31392-2022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44774</v>
      </c>
      <c r="E414" s="1" t="n">
        <v>46322</v>
      </c>
      <c r="F414" t="inlineStr">
        <is>
          <t>SÖDERMANLANDS LÄN</t>
        </is>
      </c>
      <c r="G414" t="inlineStr">
        <is>
          <t>NYKÖPING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46027</v>
      </c>
      <c r="E415" s="1" t="n">
        <v>46322</v>
      </c>
      <c r="F415" t="inlineStr">
        <is>
          <t>SÖDERMANLANDS LÄN</t>
        </is>
      </c>
      <c r="G415" t="inlineStr">
        <is>
          <t>NYKÖPING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39120-2022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44817</v>
      </c>
      <c r="E416" s="1" t="n">
        <v>46322</v>
      </c>
      <c r="F416" t="inlineStr">
        <is>
          <t>SÖDERMANLANDS LÄN</t>
        </is>
      </c>
      <c r="G416" t="inlineStr">
        <is>
          <t>NYKÖPING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46322</v>
      </c>
      <c r="F417" t="inlineStr">
        <is>
          <t>SÖDERMANLANDS LÄN</t>
        </is>
      </c>
      <c r="G417" t="inlineStr">
        <is>
          <t>NYKÖPING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42249-2022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44830</v>
      </c>
      <c r="E418" s="1" t="n">
        <v>46322</v>
      </c>
      <c r="F418" t="inlineStr">
        <is>
          <t>SÖDERMANLANDS LÄN</t>
        </is>
      </c>
      <c r="G418" t="inlineStr">
        <is>
          <t>NYKÖPING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33764-2025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45842</v>
      </c>
      <c r="E419" s="1" t="n">
        <v>46322</v>
      </c>
      <c r="F419" t="inlineStr">
        <is>
          <t>SÖDERMANLANDS LÄN</t>
        </is>
      </c>
      <c r="G419" t="inlineStr">
        <is>
          <t>NYKÖPING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33773-2025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45842</v>
      </c>
      <c r="E420" s="1" t="n">
        <v>46322</v>
      </c>
      <c r="F420" t="inlineStr">
        <is>
          <t>SÖDERMANLANDS LÄN</t>
        </is>
      </c>
      <c r="G420" t="inlineStr">
        <is>
          <t>NYKÖPING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33767-2025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45842</v>
      </c>
      <c r="E421" s="1" t="n">
        <v>46322</v>
      </c>
      <c r="F421" t="inlineStr">
        <is>
          <t>SÖDERMANLANDS LÄN</t>
        </is>
      </c>
      <c r="G421" t="inlineStr">
        <is>
          <t>NYKÖPING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45844</v>
      </c>
      <c r="E422" s="1" t="n">
        <v>46322</v>
      </c>
      <c r="F422" t="inlineStr">
        <is>
          <t>SÖDERMANLANDS LÄN</t>
        </is>
      </c>
      <c r="G422" t="inlineStr">
        <is>
          <t>NYKÖPING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6392-2023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44965</v>
      </c>
      <c r="E423" s="1" t="n">
        <v>46322</v>
      </c>
      <c r="F423" t="inlineStr">
        <is>
          <t>SÖDERMANLANDS LÄN</t>
        </is>
      </c>
      <c r="G423" t="inlineStr">
        <is>
          <t>NYKÖPING</t>
        </is>
      </c>
      <c r="I423" t="n">
        <v>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33762-2025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45842</v>
      </c>
      <c r="E424" s="1" t="n">
        <v>46322</v>
      </c>
      <c r="F424" t="inlineStr">
        <is>
          <t>SÖDERMANLANDS LÄN</t>
        </is>
      </c>
      <c r="G424" t="inlineStr">
        <is>
          <t>NYKÖPING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46030</v>
      </c>
      <c r="E425" s="1" t="n">
        <v>46322</v>
      </c>
      <c r="F425" t="inlineStr">
        <is>
          <t>SÖDERMANLANDS LÄN</t>
        </is>
      </c>
      <c r="G425" t="inlineStr">
        <is>
          <t>NYKÖPING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1686-2026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46034</v>
      </c>
      <c r="E426" s="1" t="n">
        <v>46322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13763-2025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45737</v>
      </c>
      <c r="E427" s="1" t="n">
        <v>46322</v>
      </c>
      <c r="F427" t="inlineStr">
        <is>
          <t>SÖDERMANLANDS LÄN</t>
        </is>
      </c>
      <c r="G427" t="inlineStr">
        <is>
          <t>NYKÖPING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46322</v>
      </c>
      <c r="F428" t="inlineStr">
        <is>
          <t>SÖDERMANLANDS LÄN</t>
        </is>
      </c>
      <c r="G428" t="inlineStr">
        <is>
          <t>NYKÖPING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46036</v>
      </c>
      <c r="E429" s="1" t="n">
        <v>46322</v>
      </c>
      <c r="F429" t="inlineStr">
        <is>
          <t>SÖDERMANLANDS LÄN</t>
        </is>
      </c>
      <c r="G429" t="inlineStr">
        <is>
          <t>NYKÖPING</t>
        </is>
      </c>
      <c r="I429" t="n">
        <v>10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12139-2025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45729</v>
      </c>
      <c r="E430" s="1" t="n">
        <v>46322</v>
      </c>
      <c r="F430" t="inlineStr">
        <is>
          <t>SÖDERMANLANDS LÄN</t>
        </is>
      </c>
      <c r="G430" t="inlineStr">
        <is>
          <t>NYKÖPING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45729</v>
      </c>
      <c r="E431" s="1" t="n">
        <v>46322</v>
      </c>
      <c r="F431" t="inlineStr">
        <is>
          <t>SÖDERMANLANDS LÄN</t>
        </is>
      </c>
      <c r="G431" t="inlineStr">
        <is>
          <t>NYKÖPING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46322</v>
      </c>
      <c r="F432" t="inlineStr">
        <is>
          <t>SÖDERMANLANDS LÄN</t>
        </is>
      </c>
      <c r="G432" t="inlineStr">
        <is>
          <t>NYKÖPING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46036</v>
      </c>
      <c r="E433" s="1" t="n">
        <v>46322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35732-2025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45860</v>
      </c>
      <c r="E434" s="1" t="n">
        <v>46322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56268-2022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44890</v>
      </c>
      <c r="E435" s="1" t="n">
        <v>46322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Övriga Aktiebolag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46042</v>
      </c>
      <c r="E436" s="1" t="n">
        <v>46322</v>
      </c>
      <c r="F436" t="inlineStr">
        <is>
          <t>SÖDERMANLANDS LÄN</t>
        </is>
      </c>
      <c r="G436" t="inlineStr">
        <is>
          <t>NYKÖPING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43952-2022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44838</v>
      </c>
      <c r="E437" s="1" t="n">
        <v>46322</v>
      </c>
      <c r="F437" t="inlineStr">
        <is>
          <t>SÖDERMANLANDS LÄN</t>
        </is>
      </c>
      <c r="G437" t="inlineStr">
        <is>
          <t>NYKÖPING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44944</v>
      </c>
      <c r="E438" s="1" t="n">
        <v>46322</v>
      </c>
      <c r="F438" t="inlineStr">
        <is>
          <t>SÖDERMANLANDS LÄN</t>
        </is>
      </c>
      <c r="G438" t="inlineStr">
        <is>
          <t>NYKÖPING</t>
        </is>
      </c>
      <c r="I438" t="n">
        <v>14.9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46041</v>
      </c>
      <c r="E439" s="1" t="n">
        <v>46322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46041</v>
      </c>
      <c r="E440" s="1" t="n">
        <v>46322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44820-2022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44839</v>
      </c>
      <c r="E441" s="1" t="n">
        <v>46322</v>
      </c>
      <c r="F441" t="inlineStr">
        <is>
          <t>SÖDERMANLANDS LÄN</t>
        </is>
      </c>
      <c r="G441" t="inlineStr">
        <is>
          <t>NYKÖPING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44908-2022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44840</v>
      </c>
      <c r="E442" s="1" t="n">
        <v>46322</v>
      </c>
      <c r="F442" t="inlineStr">
        <is>
          <t>SÖDERMANLANDS LÄN</t>
        </is>
      </c>
      <c r="G442" t="inlineStr">
        <is>
          <t>NYKÖPING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21925-2022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44711</v>
      </c>
      <c r="E443" s="1" t="n">
        <v>46322</v>
      </c>
      <c r="F443" t="inlineStr">
        <is>
          <t>SÖDERMANLANDS LÄN</t>
        </is>
      </c>
      <c r="G443" t="inlineStr">
        <is>
          <t>NYKÖPING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6348-2023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44965</v>
      </c>
      <c r="E444" s="1" t="n">
        <v>46322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Kyrkan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45365</v>
      </c>
      <c r="E445" s="1" t="n">
        <v>46322</v>
      </c>
      <c r="F445" t="inlineStr">
        <is>
          <t>SÖDERMANLANDS LÄN</t>
        </is>
      </c>
      <c r="G445" t="inlineStr">
        <is>
          <t>NYKÖPING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46049</v>
      </c>
      <c r="E446" s="1" t="n">
        <v>46322</v>
      </c>
      <c r="F446" t="inlineStr">
        <is>
          <t>SÖDERMANLANDS LÄN</t>
        </is>
      </c>
      <c r="G446" t="inlineStr">
        <is>
          <t>NYKÖPING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6976-2023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44967</v>
      </c>
      <c r="E447" s="1" t="n">
        <v>46322</v>
      </c>
      <c r="F447" t="inlineStr">
        <is>
          <t>SÖDERMANLANDS LÄN</t>
        </is>
      </c>
      <c r="G447" t="inlineStr">
        <is>
          <t>NYKÖPING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46322</v>
      </c>
      <c r="F448" t="inlineStr">
        <is>
          <t>SÖDERMANLANDS LÄN</t>
        </is>
      </c>
      <c r="G448" t="inlineStr">
        <is>
          <t>NYKÖPING</t>
        </is>
      </c>
      <c r="I448" t="n">
        <v>7.5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46322</v>
      </c>
      <c r="F449" t="inlineStr">
        <is>
          <t>SÖDERMANLANDS LÄN</t>
        </is>
      </c>
      <c r="G449" t="inlineStr">
        <is>
          <t>NYKÖPING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46049</v>
      </c>
      <c r="E450" s="1" t="n">
        <v>46322</v>
      </c>
      <c r="F450" t="inlineStr">
        <is>
          <t>SÖDERMANLANDS LÄN</t>
        </is>
      </c>
      <c r="G450" t="inlineStr">
        <is>
          <t>NYKÖPING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46322</v>
      </c>
      <c r="F451" t="inlineStr">
        <is>
          <t>SÖDERMANLANDS LÄN</t>
        </is>
      </c>
      <c r="G451" t="inlineStr">
        <is>
          <t>NYKÖPING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50158-2022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44865</v>
      </c>
      <c r="E452" s="1" t="n">
        <v>46322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30212-2026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46322</v>
      </c>
      <c r="F453" t="inlineStr">
        <is>
          <t>SÖDERMANLANDS LÄN</t>
        </is>
      </c>
      <c r="G453" t="inlineStr">
        <is>
          <t>NYKÖPING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44960</v>
      </c>
      <c r="E454" s="1" t="n">
        <v>46322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34218-2024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45524</v>
      </c>
      <c r="E455" s="1" t="n">
        <v>46322</v>
      </c>
      <c r="F455" t="inlineStr">
        <is>
          <t>SÖDERMANLANDS LÄN</t>
        </is>
      </c>
      <c r="G455" t="inlineStr">
        <is>
          <t>NYKÖPING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47370-2022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44853</v>
      </c>
      <c r="E456" s="1" t="n">
        <v>46322</v>
      </c>
      <c r="F456" t="inlineStr">
        <is>
          <t>SÖDERMANLANDS LÄN</t>
        </is>
      </c>
      <c r="G456" t="inlineStr">
        <is>
          <t>NYKÖPING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58650-2025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45986</v>
      </c>
      <c r="E457" s="1" t="n">
        <v>46322</v>
      </c>
      <c r="F457" t="inlineStr">
        <is>
          <t>SÖDERMANLANDS LÄN</t>
        </is>
      </c>
      <c r="G457" t="inlineStr">
        <is>
          <t>NYKÖPING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53738-2022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44880</v>
      </c>
      <c r="E458" s="1" t="n">
        <v>46322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Övriga Aktiebolag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39321-2023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45166</v>
      </c>
      <c r="E459" s="1" t="n">
        <v>46322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8710-2024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45356</v>
      </c>
      <c r="E460" s="1" t="n">
        <v>46322</v>
      </c>
      <c r="F460" t="inlineStr">
        <is>
          <t>SÖDERMANLANDS LÄN</t>
        </is>
      </c>
      <c r="G460" t="inlineStr">
        <is>
          <t>NYKÖPING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58653-2025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46322</v>
      </c>
      <c r="F461" t="inlineStr">
        <is>
          <t>SÖDERMANLANDS LÄN</t>
        </is>
      </c>
      <c r="G461" t="inlineStr">
        <is>
          <t>NYKÖPING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46322</v>
      </c>
      <c r="F462" t="inlineStr">
        <is>
          <t>SÖDERMANLANDS LÄN</t>
        </is>
      </c>
      <c r="G462" t="inlineStr">
        <is>
          <t>NYKÖPING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70092-2021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44536</v>
      </c>
      <c r="E463" s="1" t="n">
        <v>46322</v>
      </c>
      <c r="F463" t="inlineStr">
        <is>
          <t>SÖDERMANLANDS LÄN</t>
        </is>
      </c>
      <c r="G463" t="inlineStr">
        <is>
          <t>NYKÖPING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30695-2026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46211</v>
      </c>
      <c r="E464" s="1" t="n">
        <v>46322</v>
      </c>
      <c r="F464" t="inlineStr">
        <is>
          <t>SÖDERMANLANDS LÄN</t>
        </is>
      </c>
      <c r="G464" t="inlineStr">
        <is>
          <t>NYKÖPING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30907-2022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44767</v>
      </c>
      <c r="E465" s="1" t="n">
        <v>46322</v>
      </c>
      <c r="F465" t="inlineStr">
        <is>
          <t>SÖDERMANLANDS LÄN</t>
        </is>
      </c>
      <c r="G465" t="inlineStr">
        <is>
          <t>NYKÖPING</t>
        </is>
      </c>
      <c r="I465" t="n">
        <v>9.1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43880-2023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45187</v>
      </c>
      <c r="E466" s="1" t="n">
        <v>46322</v>
      </c>
      <c r="F466" t="inlineStr">
        <is>
          <t>SÖDERMANLANDS LÄN</t>
        </is>
      </c>
      <c r="G466" t="inlineStr">
        <is>
          <t>NYKÖPING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46211</v>
      </c>
      <c r="E467" s="1" t="n">
        <v>46322</v>
      </c>
      <c r="F467" t="inlineStr">
        <is>
          <t>SÖDERMANLANDS LÄN</t>
        </is>
      </c>
      <c r="G467" t="inlineStr">
        <is>
          <t>NYKÖPING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16906-2022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44676</v>
      </c>
      <c r="E468" s="1" t="n">
        <v>46322</v>
      </c>
      <c r="F468" t="inlineStr">
        <is>
          <t>SÖDERMANLANDS LÄN</t>
        </is>
      </c>
      <c r="G468" t="inlineStr">
        <is>
          <t>NYKÖPING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58676-2025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45986</v>
      </c>
      <c r="E469" s="1" t="n">
        <v>46322</v>
      </c>
      <c r="F469" t="inlineStr">
        <is>
          <t>SÖDERMANLANDS LÄN</t>
        </is>
      </c>
      <c r="G469" t="inlineStr">
        <is>
          <t>NYKÖPING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9434-2026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46322</v>
      </c>
      <c r="F470" t="inlineStr">
        <is>
          <t>SÖDERMANLANDS LÄN</t>
        </is>
      </c>
      <c r="G470" t="inlineStr">
        <is>
          <t>NYKÖPING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10955-2024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45370</v>
      </c>
      <c r="E471" s="1" t="n">
        <v>46322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Kommuner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32836-2022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44784</v>
      </c>
      <c r="E472" s="1" t="n">
        <v>46322</v>
      </c>
      <c r="F472" t="inlineStr">
        <is>
          <t>SÖDERMANLANDS LÄN</t>
        </is>
      </c>
      <c r="G472" t="inlineStr">
        <is>
          <t>NYKÖPING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73877-2021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44553</v>
      </c>
      <c r="E473" s="1" t="n">
        <v>46322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9468-2026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46071</v>
      </c>
      <c r="E474" s="1" t="n">
        <v>46322</v>
      </c>
      <c r="F474" t="inlineStr">
        <is>
          <t>SÖDERMANLANDS LÄN</t>
        </is>
      </c>
      <c r="G474" t="inlineStr">
        <is>
          <t>NYKÖPING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9453-2026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46071</v>
      </c>
      <c r="E475" s="1" t="n">
        <v>46322</v>
      </c>
      <c r="F475" t="inlineStr">
        <is>
          <t>SÖDERMANLANDS LÄN</t>
        </is>
      </c>
      <c r="G475" t="inlineStr">
        <is>
          <t>NYKÖPING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1820-2023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44938</v>
      </c>
      <c r="E476" s="1" t="n">
        <v>46322</v>
      </c>
      <c r="F476" t="inlineStr">
        <is>
          <t>SÖDERMANLANDS LÄN</t>
        </is>
      </c>
      <c r="G476" t="inlineStr">
        <is>
          <t>NYKÖPING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54183-2022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44881</v>
      </c>
      <c r="E477" s="1" t="n">
        <v>46322</v>
      </c>
      <c r="F477" t="inlineStr">
        <is>
          <t>SÖDERMANLANDS LÄN</t>
        </is>
      </c>
      <c r="G477" t="inlineStr">
        <is>
          <t>NYKÖPING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41099-2022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44825</v>
      </c>
      <c r="E478" s="1" t="n">
        <v>46322</v>
      </c>
      <c r="F478" t="inlineStr">
        <is>
          <t>SÖDERMANLANDS LÄN</t>
        </is>
      </c>
      <c r="G478" t="inlineStr">
        <is>
          <t>NYKÖPING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44988</v>
      </c>
      <c r="E479" s="1" t="n">
        <v>46322</v>
      </c>
      <c r="F479" t="inlineStr">
        <is>
          <t>SÖDERMANLANDS LÄN</t>
        </is>
      </c>
      <c r="G479" t="inlineStr">
        <is>
          <t>NYKÖPING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46222</v>
      </c>
      <c r="E480" s="1" t="n">
        <v>46322</v>
      </c>
      <c r="F480" t="inlineStr">
        <is>
          <t>SÖDERMANLANDS LÄN</t>
        </is>
      </c>
      <c r="G480" t="inlineStr">
        <is>
          <t>NYKÖPING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20798-2023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45058</v>
      </c>
      <c r="E481" s="1" t="n">
        <v>46322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Holmen skog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51880-2023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45216</v>
      </c>
      <c r="E482" s="1" t="n">
        <v>46322</v>
      </c>
      <c r="F482" t="inlineStr">
        <is>
          <t>SÖDERMANLANDS LÄN</t>
        </is>
      </c>
      <c r="G482" t="inlineStr">
        <is>
          <t>NYKÖPING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7496-2022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44607</v>
      </c>
      <c r="E483" s="1" t="n">
        <v>46322</v>
      </c>
      <c r="F483" t="inlineStr">
        <is>
          <t>SÖDERMANLANDS LÄN</t>
        </is>
      </c>
      <c r="G483" t="inlineStr">
        <is>
          <t>NYKÖPING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46322</v>
      </c>
      <c r="F484" t="inlineStr">
        <is>
          <t>SÖDERMANLANDS LÄN</t>
        </is>
      </c>
      <c r="G484" t="inlineStr">
        <is>
          <t>NYKÖPING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11978-2023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44995</v>
      </c>
      <c r="E485" s="1" t="n">
        <v>46322</v>
      </c>
      <c r="F485" t="inlineStr">
        <is>
          <t>SÖDERMANLANDS LÄN</t>
        </is>
      </c>
      <c r="G485" t="inlineStr">
        <is>
          <t>NYKÖPING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44964</v>
      </c>
      <c r="E486" s="1" t="n">
        <v>46322</v>
      </c>
      <c r="F486" t="inlineStr">
        <is>
          <t>SÖDERMANLANDS LÄN</t>
        </is>
      </c>
      <c r="G486" t="inlineStr">
        <is>
          <t>NYKÖPING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40635-2023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45170</v>
      </c>
      <c r="E487" s="1" t="n">
        <v>46322</v>
      </c>
      <c r="F487" t="inlineStr">
        <is>
          <t>SÖDERMANLANDS LÄN</t>
        </is>
      </c>
      <c r="G487" t="inlineStr">
        <is>
          <t>NYKÖPING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18080-2026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46125</v>
      </c>
      <c r="E488" s="1" t="n">
        <v>46322</v>
      </c>
      <c r="F488" t="inlineStr">
        <is>
          <t>SÖDERMANLANDS LÄN</t>
        </is>
      </c>
      <c r="G488" t="inlineStr">
        <is>
          <t>NYKÖPING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11728-2022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44634</v>
      </c>
      <c r="E489" s="1" t="n">
        <v>46322</v>
      </c>
      <c r="F489" t="inlineStr">
        <is>
          <t>SÖDERMANLANDS LÄN</t>
        </is>
      </c>
      <c r="G489" t="inlineStr">
        <is>
          <t>NYKÖPING</t>
        </is>
      </c>
      <c r="I489" t="n">
        <v>11.4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23327-2023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45076</v>
      </c>
      <c r="E490" s="1" t="n">
        <v>46322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Övriga Aktiebolag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46228</v>
      </c>
      <c r="E491" s="1" t="n">
        <v>46322</v>
      </c>
      <c r="F491" t="inlineStr">
        <is>
          <t>SÖDERMANLANDS LÄN</t>
        </is>
      </c>
      <c r="G491" t="inlineStr">
        <is>
          <t>NYKÖPING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45985</v>
      </c>
      <c r="E492" s="1" t="n">
        <v>46322</v>
      </c>
      <c r="F492" t="inlineStr">
        <is>
          <t>SÖDERMANLANDS LÄN</t>
        </is>
      </c>
      <c r="G492" t="inlineStr">
        <is>
          <t>NYKÖPING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22972-2023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45072</v>
      </c>
      <c r="E493" s="1" t="n">
        <v>46322</v>
      </c>
      <c r="F493" t="inlineStr">
        <is>
          <t>SÖDERMANLANDS LÄN</t>
        </is>
      </c>
      <c r="G493" t="inlineStr">
        <is>
          <t>NYKÖPING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44858</v>
      </c>
      <c r="E494" s="1" t="n">
        <v>46322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Övriga statliga verk och myndigheter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46234</v>
      </c>
      <c r="E495" s="1" t="n">
        <v>46322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8006-2024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45350</v>
      </c>
      <c r="E496" s="1" t="n">
        <v>46322</v>
      </c>
      <c r="F496" t="inlineStr">
        <is>
          <t>SÖDERMANLANDS LÄN</t>
        </is>
      </c>
      <c r="G496" t="inlineStr">
        <is>
          <t>NYKÖPING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26561-2023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45092</v>
      </c>
      <c r="E497" s="1" t="n">
        <v>46322</v>
      </c>
      <c r="F497" t="inlineStr">
        <is>
          <t>SÖDERMANLANDS LÄN</t>
        </is>
      </c>
      <c r="G497" t="inlineStr">
        <is>
          <t>NYKÖPING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12144-2025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45729</v>
      </c>
      <c r="E498" s="1" t="n">
        <v>46322</v>
      </c>
      <c r="F498" t="inlineStr">
        <is>
          <t>SÖDERMANLANDS LÄN</t>
        </is>
      </c>
      <c r="G498" t="inlineStr">
        <is>
          <t>NYKÖPING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13260-2026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46322</v>
      </c>
      <c r="F499" t="inlineStr">
        <is>
          <t>SÖDERMANLANDS LÄN</t>
        </is>
      </c>
      <c r="G499" t="inlineStr">
        <is>
          <t>NYKÖPING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13254-2026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46093</v>
      </c>
      <c r="E500" s="1" t="n">
        <v>46322</v>
      </c>
      <c r="F500" t="inlineStr">
        <is>
          <t>SÖDERMANLANDS LÄN</t>
        </is>
      </c>
      <c r="G500" t="inlineStr">
        <is>
          <t>NYKÖPING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27944-2023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45098</v>
      </c>
      <c r="E501" s="1" t="n">
        <v>46322</v>
      </c>
      <c r="F501" t="inlineStr">
        <is>
          <t>SÖDERMANLANDS LÄN</t>
        </is>
      </c>
      <c r="G501" t="inlineStr">
        <is>
          <t>NYKÖPING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14402-2026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46100</v>
      </c>
      <c r="E502" s="1" t="n">
        <v>46322</v>
      </c>
      <c r="F502" t="inlineStr">
        <is>
          <t>SÖDERMANLANDS LÄN</t>
        </is>
      </c>
      <c r="G502" t="inlineStr">
        <is>
          <t>NYKÖPING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16072-2023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45027</v>
      </c>
      <c r="E503" s="1" t="n">
        <v>46322</v>
      </c>
      <c r="F503" t="inlineStr">
        <is>
          <t>SÖDERMANLANDS LÄN</t>
        </is>
      </c>
      <c r="G503" t="inlineStr">
        <is>
          <t>NYKÖPING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18204-2025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45761</v>
      </c>
      <c r="E504" s="1" t="n">
        <v>46322</v>
      </c>
      <c r="F504" t="inlineStr">
        <is>
          <t>SÖDERMANLANDS LÄN</t>
        </is>
      </c>
      <c r="G504" t="inlineStr">
        <is>
          <t>NYKÖPING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45343</v>
      </c>
      <c r="E505" s="1" t="n">
        <v>46322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Holmen skog AB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44943</v>
      </c>
      <c r="E506" s="1" t="n">
        <v>46322</v>
      </c>
      <c r="F506" t="inlineStr">
        <is>
          <t>SÖDERMANLANDS LÄN</t>
        </is>
      </c>
      <c r="G506" t="inlineStr">
        <is>
          <t>NYKÖPING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44943</v>
      </c>
      <c r="E507" s="1" t="n">
        <v>46322</v>
      </c>
      <c r="F507" t="inlineStr">
        <is>
          <t>SÖDERMANLANDS LÄN</t>
        </is>
      </c>
      <c r="G507" t="inlineStr">
        <is>
          <t>NYKÖPING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44650</v>
      </c>
      <c r="E508" s="1" t="n">
        <v>46322</v>
      </c>
      <c r="F508" t="inlineStr">
        <is>
          <t>SÖDERMANLANDS LÄN</t>
        </is>
      </c>
      <c r="G508" t="inlineStr">
        <is>
          <t>NYKÖPING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26993-2022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44740</v>
      </c>
      <c r="E509" s="1" t="n">
        <v>46322</v>
      </c>
      <c r="F509" t="inlineStr">
        <is>
          <t>SÖDERMANLANDS LÄN</t>
        </is>
      </c>
      <c r="G509" t="inlineStr">
        <is>
          <t>NYKÖPING</t>
        </is>
      </c>
      <c r="I509" t="n">
        <v>13.1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10211-2024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45364</v>
      </c>
      <c r="E510" s="1" t="n">
        <v>46322</v>
      </c>
      <c r="F510" t="inlineStr">
        <is>
          <t>SÖDERMANLANDS LÄN</t>
        </is>
      </c>
      <c r="G510" t="inlineStr">
        <is>
          <t>NYKÖPING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16881-2024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45410</v>
      </c>
      <c r="E511" s="1" t="n">
        <v>46322</v>
      </c>
      <c r="F511" t="inlineStr">
        <is>
          <t>SÖDERMANLANDS LÄN</t>
        </is>
      </c>
      <c r="G511" t="inlineStr">
        <is>
          <t>NYKÖPING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32295-2026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46237</v>
      </c>
      <c r="E512" s="1" t="n">
        <v>46322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Sveaskog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29551-2023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45106</v>
      </c>
      <c r="E513" s="1" t="n">
        <v>46322</v>
      </c>
      <c r="F513" t="inlineStr">
        <is>
          <t>SÖDERMANLANDS LÄN</t>
        </is>
      </c>
      <c r="G513" t="inlineStr">
        <is>
          <t>NYKÖPING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71115-2021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44537</v>
      </c>
      <c r="E514" s="1" t="n">
        <v>46322</v>
      </c>
      <c r="F514" t="inlineStr">
        <is>
          <t>SÖDERMANLANDS LÄN</t>
        </is>
      </c>
      <c r="G514" t="inlineStr">
        <is>
          <t>NYKÖPING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1742-2023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44938</v>
      </c>
      <c r="E515" s="1" t="n">
        <v>46322</v>
      </c>
      <c r="F515" t="inlineStr">
        <is>
          <t>SÖDERMANLANDS LÄN</t>
        </is>
      </c>
      <c r="G515" t="inlineStr">
        <is>
          <t>NYKÖPING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8140-2023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44974</v>
      </c>
      <c r="E516" s="1" t="n">
        <v>46322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32594-2022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44783</v>
      </c>
      <c r="E517" s="1" t="n">
        <v>46322</v>
      </c>
      <c r="F517" t="inlineStr">
        <is>
          <t>SÖDERMANLANDS LÄN</t>
        </is>
      </c>
      <c r="G517" t="inlineStr">
        <is>
          <t>NYKÖPING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8573-2023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44977</v>
      </c>
      <c r="E518" s="1" t="n">
        <v>46322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Övriga Aktiebolag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43585-2022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44837</v>
      </c>
      <c r="E519" s="1" t="n">
        <v>46322</v>
      </c>
      <c r="F519" t="inlineStr">
        <is>
          <t>SÖDERMANLANDS LÄN</t>
        </is>
      </c>
      <c r="G519" t="inlineStr">
        <is>
          <t>NYKÖPING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8388-2024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45352</v>
      </c>
      <c r="E520" s="1" t="n">
        <v>46322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Sveaskog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12149-2023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44998</v>
      </c>
      <c r="E521" s="1" t="n">
        <v>46322</v>
      </c>
      <c r="F521" t="inlineStr">
        <is>
          <t>SÖDERMANLANDS LÄN</t>
        </is>
      </c>
      <c r="G521" t="inlineStr">
        <is>
          <t>NYKÖPING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43653-2022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44837</v>
      </c>
      <c r="E522" s="1" t="n">
        <v>46322</v>
      </c>
      <c r="F522" t="inlineStr">
        <is>
          <t>SÖDERMANLANDS LÄN</t>
        </is>
      </c>
      <c r="G522" t="inlineStr">
        <is>
          <t>NYKÖPING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43657-2022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44837</v>
      </c>
      <c r="E523" s="1" t="n">
        <v>46322</v>
      </c>
      <c r="F523" t="inlineStr">
        <is>
          <t>SÖDERMANLANDS LÄN</t>
        </is>
      </c>
      <c r="G523" t="inlineStr">
        <is>
          <t>NYKÖPING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10689-2023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44988</v>
      </c>
      <c r="E524" s="1" t="n">
        <v>46322</v>
      </c>
      <c r="F524" t="inlineStr">
        <is>
          <t>SÖDERMANLANDS LÄN</t>
        </is>
      </c>
      <c r="G524" t="inlineStr">
        <is>
          <t>NYKÖPING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46022-2025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45924</v>
      </c>
      <c r="E525" s="1" t="n">
        <v>46322</v>
      </c>
      <c r="F525" t="inlineStr">
        <is>
          <t>SÖDERMANLANDS LÄN</t>
        </is>
      </c>
      <c r="G525" t="inlineStr">
        <is>
          <t>NYKÖPING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17074-2026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46114</v>
      </c>
      <c r="E526" s="1" t="n">
        <v>46322</v>
      </c>
      <c r="F526" t="inlineStr">
        <is>
          <t>SÖDERMANLANDS LÄN</t>
        </is>
      </c>
      <c r="G526" t="inlineStr">
        <is>
          <t>NYKÖPING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47260-2023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45202</v>
      </c>
      <c r="E527" s="1" t="n">
        <v>46322</v>
      </c>
      <c r="F527" t="inlineStr">
        <is>
          <t>SÖDERMANLANDS LÄN</t>
        </is>
      </c>
      <c r="G527" t="inlineStr">
        <is>
          <t>NYKÖPING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12135-2025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45729</v>
      </c>
      <c r="E528" s="1" t="n">
        <v>46322</v>
      </c>
      <c r="F528" t="inlineStr">
        <is>
          <t>SÖDERMANLANDS LÄN</t>
        </is>
      </c>
      <c r="G528" t="inlineStr">
        <is>
          <t>NYKÖPING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10616-2025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45721</v>
      </c>
      <c r="E529" s="1" t="n">
        <v>46322</v>
      </c>
      <c r="F529" t="inlineStr">
        <is>
          <t>SÖDERMANLANDS LÄN</t>
        </is>
      </c>
      <c r="G529" t="inlineStr">
        <is>
          <t>NYKÖPING</t>
        </is>
      </c>
      <c r="I529" t="n">
        <v>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52373-2023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45224</v>
      </c>
      <c r="E530" s="1" t="n">
        <v>46322</v>
      </c>
      <c r="F530" t="inlineStr">
        <is>
          <t>SÖDERMANLANDS LÄN</t>
        </is>
      </c>
      <c r="G530" t="inlineStr">
        <is>
          <t>NYKÖPING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52374-2023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45224</v>
      </c>
      <c r="E531" s="1" t="n">
        <v>46322</v>
      </c>
      <c r="F531" t="inlineStr">
        <is>
          <t>SÖDERMANLANDS LÄN</t>
        </is>
      </c>
      <c r="G531" t="inlineStr">
        <is>
          <t>NYKÖPING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38508-2023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45162</v>
      </c>
      <c r="E532" s="1" t="n">
        <v>46322</v>
      </c>
      <c r="F532" t="inlineStr">
        <is>
          <t>SÖDERMANLANDS LÄN</t>
        </is>
      </c>
      <c r="G532" t="inlineStr">
        <is>
          <t>NYKÖPING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7824-2024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45349</v>
      </c>
      <c r="E533" s="1" t="n">
        <v>46322</v>
      </c>
      <c r="F533" t="inlineStr">
        <is>
          <t>SÖDERMANLANDS LÄN</t>
        </is>
      </c>
      <c r="G533" t="inlineStr">
        <is>
          <t>NYKÖPING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32499-2026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46239</v>
      </c>
      <c r="E534" s="1" t="n">
        <v>46322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Sveaskog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68041-2021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44525</v>
      </c>
      <c r="E535" s="1" t="n">
        <v>46322</v>
      </c>
      <c r="F535" t="inlineStr">
        <is>
          <t>SÖDERMANLANDS LÄN</t>
        </is>
      </c>
      <c r="G535" t="inlineStr">
        <is>
          <t>NYKÖPING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12826-2024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45384</v>
      </c>
      <c r="E536" s="1" t="n">
        <v>46322</v>
      </c>
      <c r="F536" t="inlineStr">
        <is>
          <t>SÖDERMANLANDS LÄN</t>
        </is>
      </c>
      <c r="G536" t="inlineStr">
        <is>
          <t>NYKÖPING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4683-2023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44957</v>
      </c>
      <c r="E537" s="1" t="n">
        <v>46322</v>
      </c>
      <c r="F537" t="inlineStr">
        <is>
          <t>SÖDERMANLANDS LÄN</t>
        </is>
      </c>
      <c r="G537" t="inlineStr">
        <is>
          <t>NYKÖPING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44578</v>
      </c>
      <c r="E538" s="1" t="n">
        <v>46322</v>
      </c>
      <c r="F538" t="inlineStr">
        <is>
          <t>SÖDERMANLANDS LÄN</t>
        </is>
      </c>
      <c r="G538" t="inlineStr">
        <is>
          <t>NYKÖPING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15047-2025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45743</v>
      </c>
      <c r="E539" s="1" t="n">
        <v>46322</v>
      </c>
      <c r="F539" t="inlineStr">
        <is>
          <t>SÖDERMANLANDS LÄN</t>
        </is>
      </c>
      <c r="G539" t="inlineStr">
        <is>
          <t>NYKÖPING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38593-2026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46283</v>
      </c>
      <c r="E540" s="1" t="n">
        <v>46322</v>
      </c>
      <c r="F540" t="inlineStr">
        <is>
          <t>SÖDERMANLANDS LÄN</t>
        </is>
      </c>
      <c r="G540" t="inlineStr">
        <is>
          <t>NYKÖPING</t>
        </is>
      </c>
      <c r="I540" t="n">
        <v>13.9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30639-2023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45112</v>
      </c>
      <c r="E541" s="1" t="n">
        <v>46322</v>
      </c>
      <c r="F541" t="inlineStr">
        <is>
          <t>SÖDERMANLANDS LÄN</t>
        </is>
      </c>
      <c r="G541" t="inlineStr">
        <is>
          <t>NYKÖPING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44936</v>
      </c>
      <c r="E542" s="1" t="n">
        <v>46322</v>
      </c>
      <c r="F542" t="inlineStr">
        <is>
          <t>SÖDERMANLANDS LÄN</t>
        </is>
      </c>
      <c r="G542" t="inlineStr">
        <is>
          <t>NYKÖPING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51241-2024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45603</v>
      </c>
      <c r="E543" s="1" t="n">
        <v>46322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Sveaskog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32584-2026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46240</v>
      </c>
      <c r="E544" s="1" t="n">
        <v>46322</v>
      </c>
      <c r="F544" t="inlineStr">
        <is>
          <t>SÖDERMANLANDS LÄN</t>
        </is>
      </c>
      <c r="G544" t="inlineStr">
        <is>
          <t>NYKÖPING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44936</v>
      </c>
      <c r="E545" s="1" t="n">
        <v>46322</v>
      </c>
      <c r="F545" t="inlineStr">
        <is>
          <t>SÖDERMANLANDS LÄN</t>
        </is>
      </c>
      <c r="G545" t="inlineStr">
        <is>
          <t>NYKÖPING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38589-2026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46283</v>
      </c>
      <c r="E546" s="1" t="n">
        <v>46322</v>
      </c>
      <c r="F546" t="inlineStr">
        <is>
          <t>SÖDERMANLANDS LÄN</t>
        </is>
      </c>
      <c r="G546" t="inlineStr">
        <is>
          <t>NYKÖPING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46135</v>
      </c>
      <c r="E547" s="1" t="n">
        <v>46322</v>
      </c>
      <c r="F547" t="inlineStr">
        <is>
          <t>SÖDERMANLANDS LÄN</t>
        </is>
      </c>
      <c r="G547" t="inlineStr">
        <is>
          <t>NYKÖPING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41132-2024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45559</v>
      </c>
      <c r="E548" s="1" t="n">
        <v>46322</v>
      </c>
      <c r="F548" t="inlineStr">
        <is>
          <t>SÖDERMANLANDS LÄN</t>
        </is>
      </c>
      <c r="G548" t="inlineStr">
        <is>
          <t>NYKÖPING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45721</v>
      </c>
      <c r="E549" s="1" t="n">
        <v>46322</v>
      </c>
      <c r="F549" t="inlineStr">
        <is>
          <t>SÖDERMANLANDS LÄN</t>
        </is>
      </c>
      <c r="G549" t="inlineStr">
        <is>
          <t>NYKÖPING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54065-2025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45964</v>
      </c>
      <c r="E550" s="1" t="n">
        <v>46322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18551-2024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45425</v>
      </c>
      <c r="E551" s="1" t="n">
        <v>46322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Kommuner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51556-2024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45604</v>
      </c>
      <c r="E552" s="1" t="n">
        <v>46322</v>
      </c>
      <c r="F552" t="inlineStr">
        <is>
          <t>SÖDERMANLANDS LÄN</t>
        </is>
      </c>
      <c r="G552" t="inlineStr">
        <is>
          <t>NYKÖPING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4932-2024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45329</v>
      </c>
      <c r="E553" s="1" t="n">
        <v>46322</v>
      </c>
      <c r="F553" t="inlineStr">
        <is>
          <t>SÖDERMANLANDS LÄN</t>
        </is>
      </c>
      <c r="G553" t="inlineStr">
        <is>
          <t>NYKÖPING</t>
        </is>
      </c>
      <c r="I553" t="n">
        <v>17.8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21917-2022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44711</v>
      </c>
      <c r="E554" s="1" t="n">
        <v>46322</v>
      </c>
      <c r="F554" t="inlineStr">
        <is>
          <t>SÖDERMANLANDS LÄN</t>
        </is>
      </c>
      <c r="G554" t="inlineStr">
        <is>
          <t>NYKÖPING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33020-2026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46244</v>
      </c>
      <c r="E555" s="1" t="n">
        <v>46322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Sveaskog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46322</v>
      </c>
      <c r="F556" t="inlineStr">
        <is>
          <t>SÖDERMANLANDS LÄN</t>
        </is>
      </c>
      <c r="G556" t="inlineStr">
        <is>
          <t>NYKÖPING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17315-2024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45414</v>
      </c>
      <c r="E557" s="1" t="n">
        <v>46322</v>
      </c>
      <c r="F557" t="inlineStr">
        <is>
          <t>SÖDERMANLANDS LÄN</t>
        </is>
      </c>
      <c r="G557" t="inlineStr">
        <is>
          <t>NYKÖPING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58654-2025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45986</v>
      </c>
      <c r="E558" s="1" t="n">
        <v>46322</v>
      </c>
      <c r="F558" t="inlineStr">
        <is>
          <t>SÖDERMANLANDS LÄN</t>
        </is>
      </c>
      <c r="G558" t="inlineStr">
        <is>
          <t>NYKÖPING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9469-2022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44616</v>
      </c>
      <c r="E559" s="1" t="n">
        <v>46322</v>
      </c>
      <c r="F559" t="inlineStr">
        <is>
          <t>SÖDERMANLANDS LÄN</t>
        </is>
      </c>
      <c r="G559" t="inlineStr">
        <is>
          <t>NYKÖPING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13455-2022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44645</v>
      </c>
      <c r="E560" s="1" t="n">
        <v>46322</v>
      </c>
      <c r="F560" t="inlineStr">
        <is>
          <t>SÖDERMANLANDS LÄN</t>
        </is>
      </c>
      <c r="G560" t="inlineStr">
        <is>
          <t>NYKÖPING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39040-2026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46287</v>
      </c>
      <c r="E561" s="1" t="n">
        <v>46322</v>
      </c>
      <c r="F561" t="inlineStr">
        <is>
          <t>SÖDERMANLANDS LÄN</t>
        </is>
      </c>
      <c r="G561" t="inlineStr">
        <is>
          <t>NYKÖPING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28644-2025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45819</v>
      </c>
      <c r="E562" s="1" t="n">
        <v>46322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Sveaskog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57633-2024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45630</v>
      </c>
      <c r="E563" s="1" t="n">
        <v>46322</v>
      </c>
      <c r="F563" t="inlineStr">
        <is>
          <t>SÖDERMANLANDS LÄN</t>
        </is>
      </c>
      <c r="G563" t="inlineStr">
        <is>
          <t>NYKÖPING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29846-2025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45826</v>
      </c>
      <c r="E564" s="1" t="n">
        <v>46322</v>
      </c>
      <c r="F564" t="inlineStr">
        <is>
          <t>SÖDERMANLANDS LÄN</t>
        </is>
      </c>
      <c r="G564" t="inlineStr">
        <is>
          <t>NYKÖPING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20179-2026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46139</v>
      </c>
      <c r="E565" s="1" t="n">
        <v>46322</v>
      </c>
      <c r="F565" t="inlineStr">
        <is>
          <t>SÖDERMANLANDS LÄN</t>
        </is>
      </c>
      <c r="G565" t="inlineStr">
        <is>
          <t>NYKÖPING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20131-2022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44698</v>
      </c>
      <c r="E566" s="1" t="n">
        <v>46322</v>
      </c>
      <c r="F566" t="inlineStr">
        <is>
          <t>SÖDERMANLANDS LÄN</t>
        </is>
      </c>
      <c r="G566" t="inlineStr">
        <is>
          <t>NYKÖPING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51216-2024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45603</v>
      </c>
      <c r="E567" s="1" t="n">
        <v>46322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Sveaskog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24631-2022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44727</v>
      </c>
      <c r="E568" s="1" t="n">
        <v>46322</v>
      </c>
      <c r="F568" t="inlineStr">
        <is>
          <t>SÖDERMANLANDS LÄN</t>
        </is>
      </c>
      <c r="G568" t="inlineStr">
        <is>
          <t>NYKÖPING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72985-2021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44549</v>
      </c>
      <c r="E569" s="1" t="n">
        <v>46322</v>
      </c>
      <c r="F569" t="inlineStr">
        <is>
          <t>SÖDERMANLANDS LÄN</t>
        </is>
      </c>
      <c r="G569" t="inlineStr">
        <is>
          <t>NYKÖPING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33095-2026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46245</v>
      </c>
      <c r="E570" s="1" t="n">
        <v>46322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16460-2023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45029</v>
      </c>
      <c r="E571" s="1" t="n">
        <v>46322</v>
      </c>
      <c r="F571" t="inlineStr">
        <is>
          <t>SÖDERMANLANDS LÄN</t>
        </is>
      </c>
      <c r="G571" t="inlineStr">
        <is>
          <t>NYKÖPING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41165-2024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45559</v>
      </c>
      <c r="E572" s="1" t="n">
        <v>46322</v>
      </c>
      <c r="F572" t="inlineStr">
        <is>
          <t>SÖDERMANLANDS LÄN</t>
        </is>
      </c>
      <c r="G572" t="inlineStr">
        <is>
          <t>NYKÖPING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20985-2023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45061</v>
      </c>
      <c r="E573" s="1" t="n">
        <v>46322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28664-2025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45819</v>
      </c>
      <c r="E574" s="1" t="n">
        <v>46322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Sveaskog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21062-2023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45061</v>
      </c>
      <c r="E575" s="1" t="n">
        <v>46322</v>
      </c>
      <c r="F575" t="inlineStr">
        <is>
          <t>SÖDERMANLANDS LÄN</t>
        </is>
      </c>
      <c r="G575" t="inlineStr">
        <is>
          <t>NYKÖPING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2517-2022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44579</v>
      </c>
      <c r="E576" s="1" t="n">
        <v>46322</v>
      </c>
      <c r="F576" t="inlineStr">
        <is>
          <t>SÖDERMANLANDS LÄN</t>
        </is>
      </c>
      <c r="G576" t="inlineStr">
        <is>
          <t>NYKÖPING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24829-2024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45461</v>
      </c>
      <c r="E577" s="1" t="n">
        <v>46322</v>
      </c>
      <c r="F577" t="inlineStr">
        <is>
          <t>SÖDERMANLANDS LÄN</t>
        </is>
      </c>
      <c r="G577" t="inlineStr">
        <is>
          <t>NYKÖPING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65923-2021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44517</v>
      </c>
      <c r="E578" s="1" t="n">
        <v>46322</v>
      </c>
      <c r="F578" t="inlineStr">
        <is>
          <t>SÖDERMANLANDS LÄN</t>
        </is>
      </c>
      <c r="G578" t="inlineStr">
        <is>
          <t>NYKÖPING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7074-2024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45343</v>
      </c>
      <c r="E579" s="1" t="n">
        <v>46322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Kommuner</t>
        </is>
      </c>
      <c r="I579" t="n">
        <v>6.8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7807-2025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45706</v>
      </c>
      <c r="E580" s="1" t="n">
        <v>46322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Kyrkan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36163-2023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45149</v>
      </c>
      <c r="E581" s="1" t="n">
        <v>46322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Kommuner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11638-2024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45373</v>
      </c>
      <c r="E582" s="1" t="n">
        <v>46322</v>
      </c>
      <c r="F582" t="inlineStr">
        <is>
          <t>SÖDERMANLANDS LÄN</t>
        </is>
      </c>
      <c r="G582" t="inlineStr">
        <is>
          <t>NYKÖPING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17832-2024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45418</v>
      </c>
      <c r="E583" s="1" t="n">
        <v>46322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Kommuner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51243-2024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45603</v>
      </c>
      <c r="E584" s="1" t="n">
        <v>46322</v>
      </c>
      <c r="F584" t="inlineStr">
        <is>
          <t>SÖDERMANLANDS LÄN</t>
        </is>
      </c>
      <c r="G584" t="inlineStr">
        <is>
          <t>NYKÖPING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47390-2025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45930</v>
      </c>
      <c r="E585" s="1" t="n">
        <v>46322</v>
      </c>
      <c r="F585" t="inlineStr">
        <is>
          <t>SÖDERMANLANDS LÄN</t>
        </is>
      </c>
      <c r="G585" t="inlineStr">
        <is>
          <t>NYKÖPING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2445-2022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44579</v>
      </c>
      <c r="E586" s="1" t="n">
        <v>46322</v>
      </c>
      <c r="F586" t="inlineStr">
        <is>
          <t>SÖDERMANLANDS LÄN</t>
        </is>
      </c>
      <c r="G586" t="inlineStr">
        <is>
          <t>NYKÖPING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14930-2024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45398</v>
      </c>
      <c r="E587" s="1" t="n">
        <v>46322</v>
      </c>
      <c r="F587" t="inlineStr">
        <is>
          <t>SÖDERMANLANDS LÄN</t>
        </is>
      </c>
      <c r="G587" t="inlineStr">
        <is>
          <t>NYKÖPING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35019-2023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45143</v>
      </c>
      <c r="E588" s="1" t="n">
        <v>46322</v>
      </c>
      <c r="F588" t="inlineStr">
        <is>
          <t>SÖDERMANLANDS LÄN</t>
        </is>
      </c>
      <c r="G588" t="inlineStr">
        <is>
          <t>NYKÖPING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33088-2026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46245</v>
      </c>
      <c r="E589" s="1" t="n">
        <v>46322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33091-2026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46245</v>
      </c>
      <c r="E590" s="1" t="n">
        <v>46322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40160-2026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46293</v>
      </c>
      <c r="E591" s="1" t="n">
        <v>46322</v>
      </c>
      <c r="F591" t="inlineStr">
        <is>
          <t>SÖDERMANLANDS LÄN</t>
        </is>
      </c>
      <c r="G591" t="inlineStr">
        <is>
          <t>NYKÖPING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61618-2022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44916</v>
      </c>
      <c r="E592" s="1" t="n">
        <v>46322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Holmen skog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39356-2023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46322</v>
      </c>
      <c r="F593" t="inlineStr">
        <is>
          <t>SÖDERMANLANDS LÄN</t>
        </is>
      </c>
      <c r="G593" t="inlineStr">
        <is>
          <t>NYKÖPING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33494-2026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46247</v>
      </c>
      <c r="E594" s="1" t="n">
        <v>46322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46030</v>
      </c>
      <c r="E595" s="1" t="n">
        <v>46322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50688-2025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45945</v>
      </c>
      <c r="E596" s="1" t="n">
        <v>46322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Kyrkan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7756-2024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45348</v>
      </c>
      <c r="E597" s="1" t="n">
        <v>46322</v>
      </c>
      <c r="F597" t="inlineStr">
        <is>
          <t>SÖDERMANLANDS LÄN</t>
        </is>
      </c>
      <c r="G597" t="inlineStr">
        <is>
          <t>NYKÖPING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46058</v>
      </c>
      <c r="E598" s="1" t="n">
        <v>46322</v>
      </c>
      <c r="F598" t="inlineStr">
        <is>
          <t>SÖDERMANLANDS LÄN</t>
        </is>
      </c>
      <c r="G598" t="inlineStr">
        <is>
          <t>NYKÖPING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4406-2024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45327</v>
      </c>
      <c r="E599" s="1" t="n">
        <v>46322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46322</v>
      </c>
      <c r="F600" t="inlineStr">
        <is>
          <t>SÖDERMANLANDS LÄN</t>
        </is>
      </c>
      <c r="G600" t="inlineStr">
        <is>
          <t>NYKÖPING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38155-2022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44812</v>
      </c>
      <c r="E601" s="1" t="n">
        <v>46322</v>
      </c>
      <c r="F601" t="inlineStr">
        <is>
          <t>SÖDERMANLANDS LÄN</t>
        </is>
      </c>
      <c r="G601" t="inlineStr">
        <is>
          <t>NYKÖPING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64081-2023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45279</v>
      </c>
      <c r="E602" s="1" t="n">
        <v>46322</v>
      </c>
      <c r="F602" t="inlineStr">
        <is>
          <t>SÖDERMANLANDS LÄN</t>
        </is>
      </c>
      <c r="G602" t="inlineStr">
        <is>
          <t>NYKÖPING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5483-2023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44960</v>
      </c>
      <c r="E603" s="1" t="n">
        <v>46322</v>
      </c>
      <c r="F603" t="inlineStr">
        <is>
          <t>SÖDERMANLANDS LÄN</t>
        </is>
      </c>
      <c r="G603" t="inlineStr">
        <is>
          <t>NYKÖPING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51558-2024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45604</v>
      </c>
      <c r="E604" s="1" t="n">
        <v>46322</v>
      </c>
      <c r="F604" t="inlineStr">
        <is>
          <t>SÖDERMANLANDS LÄN</t>
        </is>
      </c>
      <c r="G604" t="inlineStr">
        <is>
          <t>NYKÖPING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57621-2024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45630</v>
      </c>
      <c r="E605" s="1" t="n">
        <v>46322</v>
      </c>
      <c r="F605" t="inlineStr">
        <is>
          <t>SÖDERMANLANDS LÄN</t>
        </is>
      </c>
      <c r="G605" t="inlineStr">
        <is>
          <t>NYKÖPING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21022-2026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46145</v>
      </c>
      <c r="E606" s="1" t="n">
        <v>46322</v>
      </c>
      <c r="F606" t="inlineStr">
        <is>
          <t>SÖDERMANLANDS LÄN</t>
        </is>
      </c>
      <c r="G606" t="inlineStr">
        <is>
          <t>NYKÖPING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40133-2026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46293</v>
      </c>
      <c r="E607" s="1" t="n">
        <v>46322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Kyrkan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46145</v>
      </c>
      <c r="E608" s="1" t="n">
        <v>46322</v>
      </c>
      <c r="F608" t="inlineStr">
        <is>
          <t>SÖDERMANLANDS LÄN</t>
        </is>
      </c>
      <c r="G608" t="inlineStr">
        <is>
          <t>NYKÖPING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21672-2026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46149</v>
      </c>
      <c r="E609" s="1" t="n">
        <v>46322</v>
      </c>
      <c r="F609" t="inlineStr">
        <is>
          <t>SÖDERMANLANDS LÄN</t>
        </is>
      </c>
      <c r="G609" t="inlineStr">
        <is>
          <t>NYKÖPING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21676-2026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46149</v>
      </c>
      <c r="E610" s="1" t="n">
        <v>46322</v>
      </c>
      <c r="F610" t="inlineStr">
        <is>
          <t>SÖDERMANLANDS LÄN</t>
        </is>
      </c>
      <c r="G610" t="inlineStr">
        <is>
          <t>NYKÖPING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32721-2022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44783</v>
      </c>
      <c r="E611" s="1" t="n">
        <v>46322</v>
      </c>
      <c r="F611" t="inlineStr">
        <is>
          <t>SÖDERMANLANDS LÄN</t>
        </is>
      </c>
      <c r="G611" t="inlineStr">
        <is>
          <t>NYKÖPING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48484-2022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44858</v>
      </c>
      <c r="E612" s="1" t="n">
        <v>46322</v>
      </c>
      <c r="F612" t="inlineStr">
        <is>
          <t>SÖDERMANLANDS LÄN</t>
        </is>
      </c>
      <c r="G612" t="inlineStr">
        <is>
          <t>NYKÖPING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40126-2026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46293</v>
      </c>
      <c r="E613" s="1" t="n">
        <v>46322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Kyrkan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40145-2026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46293</v>
      </c>
      <c r="E614" s="1" t="n">
        <v>46322</v>
      </c>
      <c r="F614" t="inlineStr">
        <is>
          <t>SÖDERMANLANDS LÄN</t>
        </is>
      </c>
      <c r="G614" t="inlineStr">
        <is>
          <t>NYKÖPING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2368-2023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44942</v>
      </c>
      <c r="E615" s="1" t="n">
        <v>46322</v>
      </c>
      <c r="F615" t="inlineStr">
        <is>
          <t>SÖDERMANLANDS LÄN</t>
        </is>
      </c>
      <c r="G615" t="inlineStr">
        <is>
          <t>NYKÖPING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20327-2023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45056</v>
      </c>
      <c r="E616" s="1" t="n">
        <v>46322</v>
      </c>
      <c r="F616" t="inlineStr">
        <is>
          <t>SÖDERMANLANDS LÄN</t>
        </is>
      </c>
      <c r="G616" t="inlineStr">
        <is>
          <t>NYKÖPING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60634-2022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44911</v>
      </c>
      <c r="E617" s="1" t="n">
        <v>46322</v>
      </c>
      <c r="F617" t="inlineStr">
        <is>
          <t>SÖDERMANLANDS LÄN</t>
        </is>
      </c>
      <c r="G617" t="inlineStr">
        <is>
          <t>NYKÖPING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13296-2023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45005</v>
      </c>
      <c r="E618" s="1" t="n">
        <v>46322</v>
      </c>
      <c r="F618" t="inlineStr">
        <is>
          <t>SÖDERMANLANDS LÄN</t>
        </is>
      </c>
      <c r="G618" t="inlineStr">
        <is>
          <t>NYKÖPING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69244-2021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44530</v>
      </c>
      <c r="E619" s="1" t="n">
        <v>46322</v>
      </c>
      <c r="F619" t="inlineStr">
        <is>
          <t>SÖDERMANLANDS LÄN</t>
        </is>
      </c>
      <c r="G619" t="inlineStr">
        <is>
          <t>NYKÖPING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22475-2026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46155</v>
      </c>
      <c r="E620" s="1" t="n">
        <v>46322</v>
      </c>
      <c r="F620" t="inlineStr">
        <is>
          <t>SÖDERMANLANDS LÄN</t>
        </is>
      </c>
      <c r="G620" t="inlineStr">
        <is>
          <t>NYKÖPING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5291-2023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44959</v>
      </c>
      <c r="E621" s="1" t="n">
        <v>46322</v>
      </c>
      <c r="F621" t="inlineStr">
        <is>
          <t>SÖDERMANLANDS LÄN</t>
        </is>
      </c>
      <c r="G621" t="inlineStr">
        <is>
          <t>NYKÖPING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38512-2023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45162</v>
      </c>
      <c r="E622" s="1" t="n">
        <v>46322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Kommuner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44938</v>
      </c>
      <c r="E623" s="1" t="n">
        <v>46322</v>
      </c>
      <c r="F623" t="inlineStr">
        <is>
          <t>SÖDERMANLANDS LÄN</t>
        </is>
      </c>
      <c r="G623" t="inlineStr">
        <is>
          <t>NYKÖPING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8688-2025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45712</v>
      </c>
      <c r="E624" s="1" t="n">
        <v>46322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24891-2023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45085</v>
      </c>
      <c r="E625" s="1" t="n">
        <v>46322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33863-2022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44790</v>
      </c>
      <c r="E626" s="1" t="n">
        <v>46322</v>
      </c>
      <c r="F626" t="inlineStr">
        <is>
          <t>SÖDERMANLANDS LÄN</t>
        </is>
      </c>
      <c r="G626" t="inlineStr">
        <is>
          <t>NYKÖPING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8378-2024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45351</v>
      </c>
      <c r="E627" s="1" t="n">
        <v>46322</v>
      </c>
      <c r="F627" t="inlineStr">
        <is>
          <t>SÖDERMANLANDS LÄN</t>
        </is>
      </c>
      <c r="G627" t="inlineStr">
        <is>
          <t>NYKÖPING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49902-2025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45940</v>
      </c>
      <c r="E628" s="1" t="n">
        <v>46322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Sveaskog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22176-2023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45069</v>
      </c>
      <c r="E629" s="1" t="n">
        <v>46322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27563-2024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45474</v>
      </c>
      <c r="E630" s="1" t="n">
        <v>46322</v>
      </c>
      <c r="F630" t="inlineStr">
        <is>
          <t>SÖDERMANLANDS LÄN</t>
        </is>
      </c>
      <c r="G630" t="inlineStr">
        <is>
          <t>NYKÖPING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56228-2024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45624</v>
      </c>
      <c r="E631" s="1" t="n">
        <v>46322</v>
      </c>
      <c r="F631" t="inlineStr">
        <is>
          <t>SÖDERMANLANDS LÄN</t>
        </is>
      </c>
      <c r="G631" t="inlineStr">
        <is>
          <t>NYKÖPING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11755-2026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46084</v>
      </c>
      <c r="E632" s="1" t="n">
        <v>46322</v>
      </c>
      <c r="F632" t="inlineStr">
        <is>
          <t>SÖDERMANLANDS LÄN</t>
        </is>
      </c>
      <c r="G632" t="inlineStr">
        <is>
          <t>NYKÖPING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11753-2023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44992</v>
      </c>
      <c r="E633" s="1" t="n">
        <v>46322</v>
      </c>
      <c r="F633" t="inlineStr">
        <is>
          <t>SÖDERMANLANDS LÄN</t>
        </is>
      </c>
      <c r="G633" t="inlineStr">
        <is>
          <t>NYKÖPING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9836-2026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46322</v>
      </c>
      <c r="F634" t="inlineStr">
        <is>
          <t>SÖDERMANLANDS LÄN</t>
        </is>
      </c>
      <c r="G634" t="inlineStr">
        <is>
          <t>NYKÖPING</t>
        </is>
      </c>
      <c r="I634" t="n">
        <v>10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11757-2026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46084</v>
      </c>
      <c r="E635" s="1" t="n">
        <v>46322</v>
      </c>
      <c r="F635" t="inlineStr">
        <is>
          <t>SÖDERMANLANDS LÄN</t>
        </is>
      </c>
      <c r="G635" t="inlineStr">
        <is>
          <t>NYKÖPING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56770-2025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45978</v>
      </c>
      <c r="E636" s="1" t="n">
        <v>46322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23637-2026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46163</v>
      </c>
      <c r="E637" s="1" t="n">
        <v>46322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Kyrkan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34049-2026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46252</v>
      </c>
      <c r="E638" s="1" t="n">
        <v>46322</v>
      </c>
      <c r="F638" t="inlineStr">
        <is>
          <t>SÖDERMANLANDS LÄN</t>
        </is>
      </c>
      <c r="G638" t="inlineStr">
        <is>
          <t>NYKÖPING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56845-2025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45978</v>
      </c>
      <c r="E639" s="1" t="n">
        <v>46322</v>
      </c>
      <c r="F639" t="inlineStr">
        <is>
          <t>SÖDERMANLANDS LÄN</t>
        </is>
      </c>
      <c r="G639" t="inlineStr">
        <is>
          <t>NYKÖPING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35252-2022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44798</v>
      </c>
      <c r="E640" s="1" t="n">
        <v>46322</v>
      </c>
      <c r="F640" t="inlineStr">
        <is>
          <t>SÖDERMANLANDS LÄN</t>
        </is>
      </c>
      <c r="G640" t="inlineStr">
        <is>
          <t>NYKÖPING</t>
        </is>
      </c>
      <c r="I640" t="n">
        <v>5.8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24798-2022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44728</v>
      </c>
      <c r="E641" s="1" t="n">
        <v>46322</v>
      </c>
      <c r="F641" t="inlineStr">
        <is>
          <t>SÖDERMANLANDS LÄN</t>
        </is>
      </c>
      <c r="G641" t="inlineStr">
        <is>
          <t>NYKÖPING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2598-2025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45674</v>
      </c>
      <c r="E642" s="1" t="n">
        <v>46322</v>
      </c>
      <c r="F642" t="inlineStr">
        <is>
          <t>SÖDERMANLANDS LÄN</t>
        </is>
      </c>
      <c r="G642" t="inlineStr">
        <is>
          <t>NYKÖPING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35532-2022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44799</v>
      </c>
      <c r="E643" s="1" t="n">
        <v>46322</v>
      </c>
      <c r="F643" t="inlineStr">
        <is>
          <t>SÖDERMANLANDS LÄN</t>
        </is>
      </c>
      <c r="G643" t="inlineStr">
        <is>
          <t>NYKÖPING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54024-2022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44881</v>
      </c>
      <c r="E644" s="1" t="n">
        <v>46322</v>
      </c>
      <c r="F644" t="inlineStr">
        <is>
          <t>SÖDERMANLANDS LÄN</t>
        </is>
      </c>
      <c r="G644" t="inlineStr">
        <is>
          <t>NYKÖPING</t>
        </is>
      </c>
      <c r="I644" t="n">
        <v>16.2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36015-2023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45148</v>
      </c>
      <c r="E645" s="1" t="n">
        <v>46322</v>
      </c>
      <c r="F645" t="inlineStr">
        <is>
          <t>SÖDERMANLANDS LÄN</t>
        </is>
      </c>
      <c r="G645" t="inlineStr">
        <is>
          <t>NYKÖPING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10622-2025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45721</v>
      </c>
      <c r="E646" s="1" t="n">
        <v>46322</v>
      </c>
      <c r="F646" t="inlineStr">
        <is>
          <t>SÖDERMANLANDS LÄN</t>
        </is>
      </c>
      <c r="G646" t="inlineStr">
        <is>
          <t>NYKÖPING</t>
        </is>
      </c>
      <c r="I646" t="n">
        <v>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68024-2021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44525</v>
      </c>
      <c r="E647" s="1" t="n">
        <v>46322</v>
      </c>
      <c r="F647" t="inlineStr">
        <is>
          <t>SÖDERMANLANDS LÄN</t>
        </is>
      </c>
      <c r="G647" t="inlineStr">
        <is>
          <t>NYKÖPING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68030-2021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44525</v>
      </c>
      <c r="E648" s="1" t="n">
        <v>46322</v>
      </c>
      <c r="F648" t="inlineStr">
        <is>
          <t>SÖDERMANLANDS LÄN</t>
        </is>
      </c>
      <c r="G648" t="inlineStr">
        <is>
          <t>NYKÖPING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24152-2026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46322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Kyrkan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45926-2022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44846</v>
      </c>
      <c r="E650" s="1" t="n">
        <v>46322</v>
      </c>
      <c r="F650" t="inlineStr">
        <is>
          <t>SÖDERMANLANDS LÄN</t>
        </is>
      </c>
      <c r="G650" t="inlineStr">
        <is>
          <t>NYKÖPING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12111-2026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46086</v>
      </c>
      <c r="E651" s="1" t="n">
        <v>46322</v>
      </c>
      <c r="F651" t="inlineStr">
        <is>
          <t>SÖDERMANLANDS LÄN</t>
        </is>
      </c>
      <c r="G651" t="inlineStr">
        <is>
          <t>NYKÖPING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17460-2026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46120</v>
      </c>
      <c r="E652" s="1" t="n">
        <v>46322</v>
      </c>
      <c r="F652" t="inlineStr">
        <is>
          <t>SÖDERMANLANDS LÄN</t>
        </is>
      </c>
      <c r="G652" t="inlineStr">
        <is>
          <t>NYKÖPING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51699-2023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45222</v>
      </c>
      <c r="E653" s="1" t="n">
        <v>46322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24285-2026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46169</v>
      </c>
      <c r="E654" s="1" t="n">
        <v>46322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Kyrkan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5485-2023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44960</v>
      </c>
      <c r="E655" s="1" t="n">
        <v>46322</v>
      </c>
      <c r="F655" t="inlineStr">
        <is>
          <t>SÖDERMANLANDS LÄN</t>
        </is>
      </c>
      <c r="G655" t="inlineStr">
        <is>
          <t>NYKÖPING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5526-2023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44960</v>
      </c>
      <c r="E656" s="1" t="n">
        <v>46322</v>
      </c>
      <c r="F656" t="inlineStr">
        <is>
          <t>SÖDERMANLANDS LÄN</t>
        </is>
      </c>
      <c r="G656" t="inlineStr">
        <is>
          <t>NYKÖPING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1912-2022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44575</v>
      </c>
      <c r="E657" s="1" t="n">
        <v>46322</v>
      </c>
      <c r="F657" t="inlineStr">
        <is>
          <t>SÖDERMANLANDS LÄN</t>
        </is>
      </c>
      <c r="G657" t="inlineStr">
        <is>
          <t>NYKÖPING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38394-2024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45546</v>
      </c>
      <c r="E658" s="1" t="n">
        <v>46322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15397-2023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45019</v>
      </c>
      <c r="E659" s="1" t="n">
        <v>46322</v>
      </c>
      <c r="F659" t="inlineStr">
        <is>
          <t>SÖDERMANLANDS LÄN</t>
        </is>
      </c>
      <c r="G659" t="inlineStr">
        <is>
          <t>NYKÖPING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19763-2023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45051</v>
      </c>
      <c r="E660" s="1" t="n">
        <v>46322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34161-2026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46253</v>
      </c>
      <c r="E661" s="1" t="n">
        <v>46322</v>
      </c>
      <c r="F661" t="inlineStr">
        <is>
          <t>SÖDERMANLANDS LÄN</t>
        </is>
      </c>
      <c r="G661" t="inlineStr">
        <is>
          <t>NYKÖPING</t>
        </is>
      </c>
      <c r="I661" t="n">
        <v>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14384-2026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46100</v>
      </c>
      <c r="E662" s="1" t="n">
        <v>46322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35458-2023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45146</v>
      </c>
      <c r="E663" s="1" t="n">
        <v>46322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41288-2023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45174</v>
      </c>
      <c r="E664" s="1" t="n">
        <v>46322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Holmen skog AB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1777-2024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45307</v>
      </c>
      <c r="E665" s="1" t="n">
        <v>46322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Kommuner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13967-2026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46098</v>
      </c>
      <c r="E666" s="1" t="n">
        <v>46322</v>
      </c>
      <c r="F666" t="inlineStr">
        <is>
          <t>SÖDERMANLANDS LÄN</t>
        </is>
      </c>
      <c r="G666" t="inlineStr">
        <is>
          <t>NYKÖPING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25403-2026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46176</v>
      </c>
      <c r="E667" s="1" t="n">
        <v>46322</v>
      </c>
      <c r="F667" t="inlineStr">
        <is>
          <t>SÖDERMANLANDS LÄN</t>
        </is>
      </c>
      <c r="G667" t="inlineStr">
        <is>
          <t>NYKÖPING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1745-2023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44938</v>
      </c>
      <c r="E668" s="1" t="n">
        <v>46322</v>
      </c>
      <c r="F668" t="inlineStr">
        <is>
          <t>SÖDERMANLANDS LÄN</t>
        </is>
      </c>
      <c r="G668" t="inlineStr">
        <is>
          <t>NYKÖPING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25334-2026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46176</v>
      </c>
      <c r="E669" s="1" t="n">
        <v>46322</v>
      </c>
      <c r="F669" t="inlineStr">
        <is>
          <t>SÖDERMANLANDS LÄN</t>
        </is>
      </c>
      <c r="G669" t="inlineStr">
        <is>
          <t>NYKÖPING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25336-2026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46176</v>
      </c>
      <c r="E670" s="1" t="n">
        <v>46322</v>
      </c>
      <c r="F670" t="inlineStr">
        <is>
          <t>SÖDERMANLANDS LÄN</t>
        </is>
      </c>
      <c r="G670" t="inlineStr">
        <is>
          <t>NYKÖPING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3193-2022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44582</v>
      </c>
      <c r="E671" s="1" t="n">
        <v>46322</v>
      </c>
      <c r="F671" t="inlineStr">
        <is>
          <t>SÖDERMANLANDS LÄN</t>
        </is>
      </c>
      <c r="G671" t="inlineStr">
        <is>
          <t>NYKÖPING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1707-2023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44938</v>
      </c>
      <c r="E672" s="1" t="n">
        <v>46322</v>
      </c>
      <c r="F672" t="inlineStr">
        <is>
          <t>SÖDERMANLANDS LÄN</t>
        </is>
      </c>
      <c r="G672" t="inlineStr">
        <is>
          <t>NYKÖPING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5312-2024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45330</v>
      </c>
      <c r="E673" s="1" t="n">
        <v>46322</v>
      </c>
      <c r="F673" t="inlineStr">
        <is>
          <t>SÖDERMANLANDS LÄN</t>
        </is>
      </c>
      <c r="G673" t="inlineStr">
        <is>
          <t>NYKÖPING</t>
        </is>
      </c>
      <c r="I673" t="n">
        <v>10.9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23114-2023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45075</v>
      </c>
      <c r="E674" s="1" t="n">
        <v>46322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Sveaskog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24280-2022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44725</v>
      </c>
      <c r="E675" s="1" t="n">
        <v>46322</v>
      </c>
      <c r="F675" t="inlineStr">
        <is>
          <t>SÖDERMANLANDS LÄN</t>
        </is>
      </c>
      <c r="G675" t="inlineStr">
        <is>
          <t>NYKÖPING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7253-2022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44606</v>
      </c>
      <c r="E676" s="1" t="n">
        <v>46322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Allmännings- och besparingsskogar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67857-2021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44525</v>
      </c>
      <c r="E677" s="1" t="n">
        <v>46322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Sveaskog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30860-2023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45110</v>
      </c>
      <c r="E678" s="1" t="n">
        <v>46322</v>
      </c>
      <c r="F678" t="inlineStr">
        <is>
          <t>SÖDERMANLANDS LÄN</t>
        </is>
      </c>
      <c r="G678" t="inlineStr">
        <is>
          <t>NYKÖPING</t>
        </is>
      </c>
      <c r="I678" t="n">
        <v>11.5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34169-2026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46253</v>
      </c>
      <c r="E679" s="1" t="n">
        <v>46322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Kyrkan</t>
        </is>
      </c>
      <c r="I679" t="n">
        <v>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26503-2026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46183</v>
      </c>
      <c r="E680" s="1" t="n">
        <v>46322</v>
      </c>
      <c r="F680" t="inlineStr">
        <is>
          <t>SÖDERMANLANDS LÄN</t>
        </is>
      </c>
      <c r="G680" t="inlineStr">
        <is>
          <t>NYKÖPING</t>
        </is>
      </c>
      <c r="I680" t="n">
        <v>7.2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12812-2025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45733</v>
      </c>
      <c r="E681" s="1" t="n">
        <v>46322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26224-2026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46182</v>
      </c>
      <c r="E682" s="1" t="n">
        <v>46322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Sveaskog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1915-2022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44575</v>
      </c>
      <c r="E683" s="1" t="n">
        <v>46322</v>
      </c>
      <c r="F683" t="inlineStr">
        <is>
          <t>SÖDERMANLANDS LÄN</t>
        </is>
      </c>
      <c r="G683" t="inlineStr">
        <is>
          <t>NYKÖPING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53569-2022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44879</v>
      </c>
      <c r="E684" s="1" t="n">
        <v>46322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Övriga Aktiebolag</t>
        </is>
      </c>
      <c r="I684" t="n">
        <v>6.3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27206-2023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45096</v>
      </c>
      <c r="E685" s="1" t="n">
        <v>46322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Övriga Aktiebolag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26685-2026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46322</v>
      </c>
      <c r="F686" t="inlineStr">
        <is>
          <t>SÖDERMANLANDS LÄN</t>
        </is>
      </c>
      <c r="G686" t="inlineStr">
        <is>
          <t>NYKÖPING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5107-2023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44958</v>
      </c>
      <c r="E687" s="1" t="n">
        <v>46322</v>
      </c>
      <c r="F687" t="inlineStr">
        <is>
          <t>SÖDERMANLANDS LÄN</t>
        </is>
      </c>
      <c r="G687" t="inlineStr">
        <is>
          <t>NYKÖPING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26643-2026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46184</v>
      </c>
      <c r="E688" s="1" t="n">
        <v>46322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3216-2023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44946</v>
      </c>
      <c r="E689" s="1" t="n">
        <v>46322</v>
      </c>
      <c r="F689" t="inlineStr">
        <is>
          <t>SÖDERMANLANDS LÄN</t>
        </is>
      </c>
      <c r="G689" t="inlineStr">
        <is>
          <t>NYKÖPING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39149-2023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45166</v>
      </c>
      <c r="E690" s="1" t="n">
        <v>46322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30855-2023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45110</v>
      </c>
      <c r="E691" s="1" t="n">
        <v>46322</v>
      </c>
      <c r="F691" t="inlineStr">
        <is>
          <t>SÖDERMANLANDS LÄN</t>
        </is>
      </c>
      <c r="G691" t="inlineStr">
        <is>
          <t>NYKÖPING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33126-2023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45114</v>
      </c>
      <c r="E692" s="1" t="n">
        <v>46322</v>
      </c>
      <c r="F692" t="inlineStr">
        <is>
          <t>SÖDERMANLANDS LÄN</t>
        </is>
      </c>
      <c r="G692" t="inlineStr">
        <is>
          <t>NYKÖPING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41222-2023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45170</v>
      </c>
      <c r="E693" s="1" t="n">
        <v>46322</v>
      </c>
      <c r="F693" t="inlineStr">
        <is>
          <t>SÖDERMANLANDS LÄN</t>
        </is>
      </c>
      <c r="G693" t="inlineStr">
        <is>
          <t>NYKÖPING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58281-2022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44901</v>
      </c>
      <c r="E694" s="1" t="n">
        <v>46322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18478-2025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45762</v>
      </c>
      <c r="E695" s="1" t="n">
        <v>46322</v>
      </c>
      <c r="F695" t="inlineStr">
        <is>
          <t>SÖDERMANLANDS LÄN</t>
        </is>
      </c>
      <c r="G695" t="inlineStr">
        <is>
          <t>NYKÖPING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13858-2022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44649</v>
      </c>
      <c r="E696" s="1" t="n">
        <v>46322</v>
      </c>
      <c r="F696" t="inlineStr">
        <is>
          <t>SÖDERMANLANDS LÄN</t>
        </is>
      </c>
      <c r="G696" t="inlineStr">
        <is>
          <t>NYKÖPING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2668-2023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44944</v>
      </c>
      <c r="E697" s="1" t="n">
        <v>46322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Sveaskog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33653-2024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45520</v>
      </c>
      <c r="E698" s="1" t="n">
        <v>46322</v>
      </c>
      <c r="F698" t="inlineStr">
        <is>
          <t>SÖDERMANLANDS LÄN</t>
        </is>
      </c>
      <c r="G698" t="inlineStr">
        <is>
          <t>NYKÖPING</t>
        </is>
      </c>
      <c r="I698" t="n">
        <v>5.5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61007-2021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44497</v>
      </c>
      <c r="E699" s="1" t="n">
        <v>46322</v>
      </c>
      <c r="F699" t="inlineStr">
        <is>
          <t>SÖDERMANLANDS LÄN</t>
        </is>
      </c>
      <c r="G699" t="inlineStr">
        <is>
          <t>NYKÖPING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60512-2021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44496</v>
      </c>
      <c r="E700" s="1" t="n">
        <v>46322</v>
      </c>
      <c r="F700" t="inlineStr">
        <is>
          <t>SÖDERMANLANDS LÄN</t>
        </is>
      </c>
      <c r="G700" t="inlineStr">
        <is>
          <t>NYKÖPING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31424-2022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44774</v>
      </c>
      <c r="E701" s="1" t="n">
        <v>46322</v>
      </c>
      <c r="F701" t="inlineStr">
        <is>
          <t>SÖDERMANLANDS LÄN</t>
        </is>
      </c>
      <c r="G701" t="inlineStr">
        <is>
          <t>NYKÖPING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42368-2024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45564</v>
      </c>
      <c r="E702" s="1" t="n">
        <v>46322</v>
      </c>
      <c r="F702" t="inlineStr">
        <is>
          <t>SÖDERMANLANDS LÄN</t>
        </is>
      </c>
      <c r="G702" t="inlineStr">
        <is>
          <t>NYKÖPING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23207-2024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45452</v>
      </c>
      <c r="E703" s="1" t="n">
        <v>46322</v>
      </c>
      <c r="F703" t="inlineStr">
        <is>
          <t>SÖDERMANLANDS LÄN</t>
        </is>
      </c>
      <c r="G703" t="inlineStr">
        <is>
          <t>NYKÖPING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4182-2025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45685</v>
      </c>
      <c r="E704" s="1" t="n">
        <v>46322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4124-2025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45685</v>
      </c>
      <c r="E705" s="1" t="n">
        <v>46322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42391-2026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46307</v>
      </c>
      <c r="E706" s="1" t="n">
        <v>46322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21480-2024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45441</v>
      </c>
      <c r="E707" s="1" t="n">
        <v>46322</v>
      </c>
      <c r="F707" t="inlineStr">
        <is>
          <t>SÖDERMANLANDS LÄN</t>
        </is>
      </c>
      <c r="G707" t="inlineStr">
        <is>
          <t>NYKÖPING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36573-2024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45537</v>
      </c>
      <c r="E708" s="1" t="n">
        <v>46322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62323-2025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46003</v>
      </c>
      <c r="E709" s="1" t="n">
        <v>46322</v>
      </c>
      <c r="F709" t="inlineStr">
        <is>
          <t>SÖDERMANLANDS LÄN</t>
        </is>
      </c>
      <c r="G709" t="inlineStr">
        <is>
          <t>NYKÖPING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1407-2025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45667</v>
      </c>
      <c r="E710" s="1" t="n">
        <v>46322</v>
      </c>
      <c r="F710" t="inlineStr">
        <is>
          <t>SÖDERMANLANDS LÄN</t>
        </is>
      </c>
      <c r="G710" t="inlineStr">
        <is>
          <t>NYKÖPING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42387-2026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46307</v>
      </c>
      <c r="E711" s="1" t="n">
        <v>46322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6.5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32837-2022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44784</v>
      </c>
      <c r="E712" s="1" t="n">
        <v>46322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Kommuner</t>
        </is>
      </c>
      <c r="I712" t="n">
        <v>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42323-2026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46307</v>
      </c>
      <c r="E713" s="1" t="n">
        <v>46322</v>
      </c>
      <c r="F713" t="inlineStr">
        <is>
          <t>SÖDERMANLANDS LÄN</t>
        </is>
      </c>
      <c r="G713" t="inlineStr">
        <is>
          <t>NYKÖPING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27894-2023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45098</v>
      </c>
      <c r="E714" s="1" t="n">
        <v>46322</v>
      </c>
      <c r="F714" t="inlineStr">
        <is>
          <t>SÖDERMANLANDS LÄN</t>
        </is>
      </c>
      <c r="G714" t="inlineStr">
        <is>
          <t>NYKÖPING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17247-2025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45756</v>
      </c>
      <c r="E715" s="1" t="n">
        <v>46322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4.5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18918-2023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45044</v>
      </c>
      <c r="E716" s="1" t="n">
        <v>46322</v>
      </c>
      <c r="F716" t="inlineStr">
        <is>
          <t>SÖDERMANLANDS LÄN</t>
        </is>
      </c>
      <c r="G716" t="inlineStr">
        <is>
          <t>NYKÖPING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18926-2023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45044</v>
      </c>
      <c r="E717" s="1" t="n">
        <v>46322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13027-2024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45385</v>
      </c>
      <c r="E718" s="1" t="n">
        <v>46322</v>
      </c>
      <c r="F718" t="inlineStr">
        <is>
          <t>SÖDERMANLANDS LÄN</t>
        </is>
      </c>
      <c r="G718" t="inlineStr">
        <is>
          <t>NYKÖPING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21142-2023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45062</v>
      </c>
      <c r="E719" s="1" t="n">
        <v>46322</v>
      </c>
      <c r="F719" t="inlineStr">
        <is>
          <t>SÖDERMANLANDS LÄN</t>
        </is>
      </c>
      <c r="G719" t="inlineStr">
        <is>
          <t>NYKÖPING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65231-2023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45289</v>
      </c>
      <c r="E720" s="1" t="n">
        <v>46322</v>
      </c>
      <c r="F720" t="inlineStr">
        <is>
          <t>SÖDERMANLANDS LÄN</t>
        </is>
      </c>
      <c r="G720" t="inlineStr">
        <is>
          <t>NYKÖPING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70749-2021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44536</v>
      </c>
      <c r="E721" s="1" t="n">
        <v>46322</v>
      </c>
      <c r="F721" t="inlineStr">
        <is>
          <t>SÖDERMANLANDS LÄN</t>
        </is>
      </c>
      <c r="G721" t="inlineStr">
        <is>
          <t>NYKÖPING</t>
        </is>
      </c>
      <c r="I721" t="n">
        <v>5.1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31868-2023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45107</v>
      </c>
      <c r="E722" s="1" t="n">
        <v>46322</v>
      </c>
      <c r="F722" t="inlineStr">
        <is>
          <t>SÖDERMANLANDS LÄN</t>
        </is>
      </c>
      <c r="G722" t="inlineStr">
        <is>
          <t>NYKÖPING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51530-2022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44869</v>
      </c>
      <c r="E723" s="1" t="n">
        <v>46322</v>
      </c>
      <c r="F723" t="inlineStr">
        <is>
          <t>SÖDERMANLANDS LÄN</t>
        </is>
      </c>
      <c r="G723" t="inlineStr">
        <is>
          <t>NYKÖPING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72679-2021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44546</v>
      </c>
      <c r="E724" s="1" t="n">
        <v>46322</v>
      </c>
      <c r="F724" t="inlineStr">
        <is>
          <t>SÖDERMANLANDS LÄN</t>
        </is>
      </c>
      <c r="G724" t="inlineStr">
        <is>
          <t>NYKÖPING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56491-2022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44893</v>
      </c>
      <c r="E725" s="1" t="n">
        <v>46322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Övriga Aktiebolag</t>
        </is>
      </c>
      <c r="I725" t="n">
        <v>10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8299-2024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45350</v>
      </c>
      <c r="E726" s="1" t="n">
        <v>46322</v>
      </c>
      <c r="F726" t="inlineStr">
        <is>
          <t>SÖDERMANLANDS LÄN</t>
        </is>
      </c>
      <c r="G726" t="inlineStr">
        <is>
          <t>NYKÖPING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8340-2023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44976</v>
      </c>
      <c r="E727" s="1" t="n">
        <v>46322</v>
      </c>
      <c r="F727" t="inlineStr">
        <is>
          <t>SÖDERMANLANDS LÄN</t>
        </is>
      </c>
      <c r="G727" t="inlineStr">
        <is>
          <t>NYKÖPING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50698-2024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45602</v>
      </c>
      <c r="E728" s="1" t="n">
        <v>46322</v>
      </c>
      <c r="F728" t="inlineStr">
        <is>
          <t>SÖDERMANLANDS LÄN</t>
        </is>
      </c>
      <c r="G728" t="inlineStr">
        <is>
          <t>NYKÖPING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3353-2022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44585</v>
      </c>
      <c r="E729" s="1" t="n">
        <v>46322</v>
      </c>
      <c r="F729" t="inlineStr">
        <is>
          <t>SÖDERMANLANDS LÄN</t>
        </is>
      </c>
      <c r="G729" t="inlineStr">
        <is>
          <t>NYKÖPING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27915-2023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45098</v>
      </c>
      <c r="E730" s="1" t="n">
        <v>46322</v>
      </c>
      <c r="F730" t="inlineStr">
        <is>
          <t>SÖDERMANLANDS LÄN</t>
        </is>
      </c>
      <c r="G730" t="inlineStr">
        <is>
          <t>NYKÖPING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5521-2023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44960</v>
      </c>
      <c r="E731" s="1" t="n">
        <v>46322</v>
      </c>
      <c r="F731" t="inlineStr">
        <is>
          <t>SÖDERMANLANDS LÄN</t>
        </is>
      </c>
      <c r="G731" t="inlineStr">
        <is>
          <t>NYKÖPING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10981-2024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45370</v>
      </c>
      <c r="E732" s="1" t="n">
        <v>46322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Kommuner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30198-2022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44757</v>
      </c>
      <c r="E733" s="1" t="n">
        <v>46322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42525-2023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45181</v>
      </c>
      <c r="E734" s="1" t="n">
        <v>46322</v>
      </c>
      <c r="F734" t="inlineStr">
        <is>
          <t>SÖDERMANLANDS LÄN</t>
        </is>
      </c>
      <c r="G734" t="inlineStr">
        <is>
          <t>NYKÖPING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58685-2025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45986</v>
      </c>
      <c r="E735" s="1" t="n">
        <v>46322</v>
      </c>
      <c r="F735" t="inlineStr">
        <is>
          <t>SÖDERMANLANDS LÄN</t>
        </is>
      </c>
      <c r="G735" t="inlineStr">
        <is>
          <t>NYKÖPING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4877-2024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45329</v>
      </c>
      <c r="E736" s="1" t="n">
        <v>46322</v>
      </c>
      <c r="F736" t="inlineStr">
        <is>
          <t>SÖDERMANLANDS LÄN</t>
        </is>
      </c>
      <c r="G736" t="inlineStr">
        <is>
          <t>NYKÖPING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52551-2023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45218</v>
      </c>
      <c r="E737" s="1" t="n">
        <v>46322</v>
      </c>
      <c r="F737" t="inlineStr">
        <is>
          <t>SÖDERMANLANDS LÄN</t>
        </is>
      </c>
      <c r="G737" t="inlineStr">
        <is>
          <t>NYKÖPING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51259-2024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45603</v>
      </c>
      <c r="E738" s="1" t="n">
        <v>46322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Sveaskog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8324-2024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45350</v>
      </c>
      <c r="E739" s="1" t="n">
        <v>46322</v>
      </c>
      <c r="F739" t="inlineStr">
        <is>
          <t>SÖDERMANLANDS LÄN</t>
        </is>
      </c>
      <c r="G739" t="inlineStr">
        <is>
          <t>NYKÖPING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3475-2023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44949</v>
      </c>
      <c r="E740" s="1" t="n">
        <v>46322</v>
      </c>
      <c r="F740" t="inlineStr">
        <is>
          <t>SÖDERMANLANDS LÄN</t>
        </is>
      </c>
      <c r="G740" t="inlineStr">
        <is>
          <t>NYKÖPING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43972-2026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46317</v>
      </c>
      <c r="E741" s="1" t="n">
        <v>46322</v>
      </c>
      <c r="F741" t="inlineStr">
        <is>
          <t>SÖDERMANLANDS LÄN</t>
        </is>
      </c>
      <c r="G741" t="inlineStr">
        <is>
          <t>NYKÖPING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43970-2026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46317</v>
      </c>
      <c r="E742" s="1" t="n">
        <v>46322</v>
      </c>
      <c r="F742" t="inlineStr">
        <is>
          <t>SÖDERMANLANDS LÄN</t>
        </is>
      </c>
      <c r="G742" t="inlineStr">
        <is>
          <t>NYKÖPING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58496-2025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45985</v>
      </c>
      <c r="E743" s="1" t="n">
        <v>46322</v>
      </c>
      <c r="F743" t="inlineStr">
        <is>
          <t>SÖDERMANLANDS LÄN</t>
        </is>
      </c>
      <c r="G743" t="inlineStr">
        <is>
          <t>NYKÖPING</t>
        </is>
      </c>
      <c r="I743" t="n">
        <v>9.699999999999999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21818-2022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44709</v>
      </c>
      <c r="E744" s="1" t="n">
        <v>46322</v>
      </c>
      <c r="F744" t="inlineStr">
        <is>
          <t>SÖDERMANLANDS LÄN</t>
        </is>
      </c>
      <c r="G744" t="inlineStr">
        <is>
          <t>NYKÖPING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59995-2025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45993</v>
      </c>
      <c r="E745" s="1" t="n">
        <v>46322</v>
      </c>
      <c r="F745" t="inlineStr">
        <is>
          <t>SÖDERMANLANDS LÄN</t>
        </is>
      </c>
      <c r="G745" t="inlineStr">
        <is>
          <t>NYKÖPING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44366-2026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46321</v>
      </c>
      <c r="E746" s="1" t="n">
        <v>46322</v>
      </c>
      <c r="F746" t="inlineStr">
        <is>
          <t>SÖDERMANLANDS LÄN</t>
        </is>
      </c>
      <c r="G746" t="inlineStr">
        <is>
          <t>NYKÖPING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1999-2020</t>
        </is>
      </c>
      <c r="B747" t="inlineStr">
        <is>
          <t>samrådsanmälan</t>
        </is>
      </c>
      <c r="C747" t="inlineStr">
        <is>
          <t>Åtgärd i nyckelbiotop</t>
        </is>
      </c>
      <c r="D747" s="1" t="n">
        <v>44092</v>
      </c>
      <c r="E747" s="1" t="n">
        <v>46322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Kommuner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1573-2020</t>
        </is>
      </c>
      <c r="B748" t="inlineStr">
        <is>
          <t>samrådsanmälan</t>
        </is>
      </c>
      <c r="C748" t="inlineStr">
        <is>
          <t>Åtgärd i nyckelbiotop</t>
        </is>
      </c>
      <c r="D748" s="1" t="n">
        <v>44013</v>
      </c>
      <c r="E748" s="1" t="n">
        <v>46322</v>
      </c>
      <c r="F748" t="inlineStr">
        <is>
          <t>SÖDERMANLANDS LÄN</t>
        </is>
      </c>
      <c r="G748" t="inlineStr">
        <is>
          <t>NYKÖPING</t>
        </is>
      </c>
      <c r="I748" t="n">
        <v>0.1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3783-2023</t>
        </is>
      </c>
      <c r="B749" t="inlineStr">
        <is>
          <t>samrådsanmälan</t>
        </is>
      </c>
      <c r="C749" t="inlineStr">
        <is>
          <t>Annan skogsbruksåtgärd</t>
        </is>
      </c>
      <c r="D749" s="1" t="n">
        <v>45223</v>
      </c>
      <c r="E749" s="1" t="n">
        <v>46322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Sveaskog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2311-2022</t>
        </is>
      </c>
      <c r="B750" t="inlineStr">
        <is>
          <t>samrådsanmälan</t>
        </is>
      </c>
      <c r="C750" t="inlineStr">
        <is>
          <t>Åtgärd i nyckelbiotop</t>
        </is>
      </c>
      <c r="D750" s="1" t="n">
        <v>44684</v>
      </c>
      <c r="E750" s="1" t="n">
        <v>46322</v>
      </c>
      <c r="F750" t="inlineStr">
        <is>
          <t>SÖDERMANLANDS LÄN</t>
        </is>
      </c>
      <c r="G750" t="inlineStr">
        <is>
          <t>NYKÖPING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220-2023</t>
        </is>
      </c>
      <c r="B751" t="inlineStr">
        <is>
          <t>samrådsanmälan</t>
        </is>
      </c>
      <c r="C751" t="inlineStr">
        <is>
          <t>Stubbskörd</t>
        </is>
      </c>
      <c r="D751" s="1" t="n">
        <v>44949</v>
      </c>
      <c r="E751" s="1" t="n">
        <v>46322</v>
      </c>
      <c r="F751" t="inlineStr">
        <is>
          <t>SÖDERMANLANDS LÄN</t>
        </is>
      </c>
      <c r="G751" t="inlineStr">
        <is>
          <t>NYKÖPING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3579-2022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44735</v>
      </c>
      <c r="E752" s="1" t="n">
        <v>46322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Sveaskog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1224-2023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45029</v>
      </c>
      <c r="E753" s="1" t="n">
        <v>46322</v>
      </c>
      <c r="F753" t="inlineStr">
        <is>
          <t>SÖDERMANLANDS LÄN</t>
        </is>
      </c>
      <c r="G753" t="inlineStr">
        <is>
          <t>NYKÖPING</t>
        </is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633-2025</t>
        </is>
      </c>
      <c r="B754" t="inlineStr">
        <is>
          <t>samrådsanmälan</t>
        </is>
      </c>
      <c r="C754" t="inlineStr">
        <is>
          <t>Skogsgödsling</t>
        </is>
      </c>
      <c r="D754" s="1" t="n">
        <v>45714</v>
      </c>
      <c r="E754" s="1" t="n">
        <v>46322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39.6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3071-2024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45517</v>
      </c>
      <c r="E755" s="1" t="n">
        <v>46322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2818-2025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45939</v>
      </c>
      <c r="E756" s="1" t="n">
        <v>46322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Sveaskog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641-2026</t>
        </is>
      </c>
      <c r="B757" t="inlineStr">
        <is>
          <t>samrådsanmälan</t>
        </is>
      </c>
      <c r="C757" t="inlineStr">
        <is>
          <t>Skogsgödsling</t>
        </is>
      </c>
      <c r="D757" s="1" t="n">
        <v>46090</v>
      </c>
      <c r="E757" s="1" t="n">
        <v>46322</v>
      </c>
      <c r="F757" t="inlineStr">
        <is>
          <t>SÖDERMANLANDS LÄN</t>
        </is>
      </c>
      <c r="G757" t="inlineStr">
        <is>
          <t>NYKÖPING</t>
        </is>
      </c>
      <c r="I757" t="n">
        <v>46.2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>
      <c r="A758" t="inlineStr">
        <is>
          <t>S 248-2026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46050</v>
      </c>
      <c r="E758" s="1" t="n">
        <v>46322</v>
      </c>
      <c r="F758" t="inlineStr">
        <is>
          <t>SÖDERMANLANDS LÄN</t>
        </is>
      </c>
      <c r="G758" t="inlineStr">
        <is>
          <t>NYKÖPING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2026-10-27T03:10:52Z</dcterms:created>
  <dcterms:modified xmlns:dcterms="http://purl.org/dc/terms/" xmlns:xsi="http://www.w3.org/2001/XMLSchema-instance" xsi:type="dcterms:W3CDTF">2026-10-27T03:10:53Z</dcterms:modified>
</cp:coreProperties>
</file>