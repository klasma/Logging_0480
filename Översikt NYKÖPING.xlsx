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46256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46256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46256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A 57006-2023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46256</v>
      </c>
      <c r="F8" t="inlineStr">
        <is>
          <t>SÖDERMANLANDS LÄN</t>
        </is>
      </c>
      <c r="G8" t="inlineStr">
        <is>
          <t>NYKÖPING</t>
        </is>
      </c>
      <c r="H8" t="inlineStr">
        <is>
          <t>Kommuner</t>
        </is>
      </c>
      <c r="I8" t="n">
        <v>11.9</v>
      </c>
      <c r="J8" t="n">
        <v>8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8</v>
      </c>
      <c r="V8" s="2" t="inlineStr">
        <is>
          <t>Tornseglare
Enkelbeckasin
Gulsparv
Järnsparv
Kricka
Sädesärla
Rödgul trumpetsvamp
Svartvit flugsnappare
Åkergroda</t>
        </is>
      </c>
      <c r="W8">
        <f>HYPERLINK("https://klasma.github.io/Logging_0480/artfynd/A 57006-2023 artfynd.xlsx", "A 57006-2023")</f>
        <v/>
      </c>
      <c r="X8">
        <f>HYPERLINK("https://klasma.github.io/Logging_0480/kartor/A 57006-2023 karta.png", "A 57006-2023")</f>
        <v/>
      </c>
      <c r="Y8">
        <f>HYPERLINK("https://klasma.github.io/Logging_0480/kartor_geotiff/A 57006-2023 georefererad karta.tif", "A 57006-2023")</f>
        <v/>
      </c>
      <c r="AA8">
        <f>HYPERLINK("https://klasma.github.io/Logging_0480/klagomål/A 57006-2023 FSC-klagomål.docx", "A 57006-2023")</f>
        <v/>
      </c>
      <c r="AB8">
        <f>HYPERLINK("https://klasma.github.io/Logging_0480/klagomålsmail/A 57006-2023 FSC-klagomål mail.docx", "A 57006-2023")</f>
        <v/>
      </c>
      <c r="AC8">
        <f>HYPERLINK("https://klasma.github.io/Logging_0480/tillsyn/A 57006-2023 tillsynsbegäran.docx", "A 57006-2023")</f>
        <v/>
      </c>
      <c r="AD8">
        <f>HYPERLINK("https://klasma.github.io/Logging_0480/tillsynsmail/A 57006-2023 tillsynsbegäran mail.docx", "A 57006-2023")</f>
        <v/>
      </c>
      <c r="AE8">
        <f>HYPERLINK("https://klasma.github.io/Logging_0480/fåglar/A 57006-2023 prioriterade fågelarter.docx", "A 57006-2023")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46256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46256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46256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46256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46256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46256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46256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46256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46256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46256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46256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46256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46256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46256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46256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46256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46256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46256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46256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46256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46256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46256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46256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1509-2023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44937</v>
      </c>
      <c r="E32" s="1" t="n">
        <v>46256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6.3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6</v>
      </c>
      <c r="U32" t="n">
        <v>4</v>
      </c>
      <c r="V32" s="2" t="inlineStr">
        <is>
          <t>Skogsklocka
Skorpgelélav
Aspvedgnagare
Stor aspticka</t>
        </is>
      </c>
      <c r="W32">
        <f>HYPERLINK("https://klasma.github.io/Logging_0480/artfynd/A 1509-2023 artfynd.xlsx", "A 1509-2023")</f>
        <v/>
      </c>
      <c r="X32">
        <f>HYPERLINK("https://klasma.github.io/Logging_0480/kartor/A 1509-2023 karta.png", "A 1509-2023")</f>
        <v/>
      </c>
      <c r="Y32">
        <f>HYPERLINK("https://klasma.github.io/Logging_0480/kartor_geotiff/A 1509-2023 georefererad karta.tif", "A 1509-2023")</f>
        <v/>
      </c>
      <c r="AA32">
        <f>HYPERLINK("https://klasma.github.io/Logging_0480/klagomål/A 1509-2023 FSC-klagomål.docx", "A 1509-2023")</f>
        <v/>
      </c>
      <c r="AB32">
        <f>HYPERLINK("https://klasma.github.io/Logging_0480/klagomålsmail/A 1509-2023 FSC-klagomål mail.docx", "A 1509-2023")</f>
        <v/>
      </c>
      <c r="AC32">
        <f>HYPERLINK("https://klasma.github.io/Logging_0480/tillsyn/A 1509-2023 tillsynsbegäran.docx", "A 1509-2023")</f>
        <v/>
      </c>
      <c r="AD32">
        <f>HYPERLINK("https://klasma.github.io/Logging_0480/tillsynsmail/A 1509-2023 tillsynsbegäran mail.docx", "A 1509-2023")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46256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Phellodon aquiloniniger
Grönpyrola
Vanlig padda</t>
        </is>
      </c>
      <c r="W33">
        <f>HYPERLINK("https://klasma.github.io/Logging_0480/artfynd/A 14855-2026 artfynd.xlsx", "A 14855-2026")</f>
        <v/>
      </c>
      <c r="X33">
        <f>HYPERLINK("https://klasma.github.io/Logging_0480/kartor/A 14855-2026 karta.png", "A 14855-2026")</f>
        <v/>
      </c>
      <c r="Y33">
        <f>HYPERLINK("https://klasma.github.io/Logging_0480/kartor_geotiff/A 14855-2026 georefererad karta.tif", "A 14855-2026")</f>
        <v/>
      </c>
      <c r="AA33">
        <f>HYPERLINK("https://klasma.github.io/Logging_0480/klagomål/A 14855-2026 FSC-klagomål.docx", "A 14855-2026")</f>
        <v/>
      </c>
      <c r="AB33">
        <f>HYPERLINK("https://klasma.github.io/Logging_0480/klagomålsmail/A 14855-2026 FSC-klagomål mail.docx", "A 14855-2026")</f>
        <v/>
      </c>
      <c r="AC33">
        <f>HYPERLINK("https://klasma.github.io/Logging_0480/tillsyn/A 14855-2026 tillsynsbegäran.docx", "A 14855-2026")</f>
        <v/>
      </c>
      <c r="AD33">
        <f>HYPERLINK("https://klasma.github.io/Logging_0480/tillsynsmail/A 14855-2026 tillsynsbegäran mail.docx", "A 14855-2026")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46256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46256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46256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46256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46256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46256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22417-2023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45070</v>
      </c>
      <c r="E40" s="1" t="n">
        <v>46256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Backstarr
Sjöhjortron
Vanlig snok</t>
        </is>
      </c>
      <c r="W40">
        <f>HYPERLINK("https://klasma.github.io/Logging_0480/artfynd/A 22417-2023 artfynd.xlsx", "A 22417-2023")</f>
        <v/>
      </c>
      <c r="X40">
        <f>HYPERLINK("https://klasma.github.io/Logging_0480/kartor/A 22417-2023 karta.png", "A 22417-2023")</f>
        <v/>
      </c>
      <c r="Y40">
        <f>HYPERLINK("https://klasma.github.io/Logging_0480/kartor_geotiff/A 22417-2023 georefererad karta.tif", "A 22417-2023")</f>
        <v/>
      </c>
      <c r="AA40">
        <f>HYPERLINK("https://klasma.github.io/Logging_0480/klagomål/A 22417-2023 FSC-klagomål.docx", "A 22417-2023")</f>
        <v/>
      </c>
      <c r="AB40">
        <f>HYPERLINK("https://klasma.github.io/Logging_0480/klagomålsmail/A 22417-2023 FSC-klagomål mail.docx", "A 22417-2023")</f>
        <v/>
      </c>
      <c r="AC40">
        <f>HYPERLINK("https://klasma.github.io/Logging_0480/tillsyn/A 22417-2023 tillsynsbegäran.docx", "A 22417-2023")</f>
        <v/>
      </c>
      <c r="AD40">
        <f>HYPERLINK("https://klasma.github.io/Logging_0480/tillsynsmail/A 22417-2023 tillsynsbegäran mail.docx", "A 22417-2023")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46256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46256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46256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46256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39740-2022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46256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3.4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Tallticka
Vågbandad barkbock
Blåsippa</t>
        </is>
      </c>
      <c r="W45">
        <f>HYPERLINK("https://klasma.github.io/Logging_0480/artfynd/A 39740-2022 artfynd.xlsx", "A 39740-2022")</f>
        <v/>
      </c>
      <c r="X45">
        <f>HYPERLINK("https://klasma.github.io/Logging_0480/kartor/A 39740-2022 karta.png", "A 39740-2022")</f>
        <v/>
      </c>
      <c r="Y45">
        <f>HYPERLINK("https://klasma.github.io/Logging_0480/kartor_geotiff/A 39740-2022 georefererad karta.tif", "A 39740-2022")</f>
        <v/>
      </c>
      <c r="AA45">
        <f>HYPERLINK("https://klasma.github.io/Logging_0480/klagomål/A 39740-2022 FSC-klagomål.docx", "A 39740-2022")</f>
        <v/>
      </c>
      <c r="AB45">
        <f>HYPERLINK("https://klasma.github.io/Logging_0480/klagomålsmail/A 39740-2022 FSC-klagomål mail.docx", "A 39740-2022")</f>
        <v/>
      </c>
      <c r="AC45">
        <f>HYPERLINK("https://klasma.github.io/Logging_0480/tillsyn/A 39740-2022 tillsynsbegäran.docx", "A 39740-2022")</f>
        <v/>
      </c>
      <c r="AD45">
        <f>HYPERLINK("https://klasma.github.io/Logging_0480/tillsynsmail/A 39740-2022 tillsynsbegäran mail.docx", "A 39740-2022")</f>
        <v/>
      </c>
    </row>
    <row r="46" ht="15" customHeight="1">
      <c r="A46" t="inlineStr">
        <is>
          <t>A 57727-2025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45981</v>
      </c>
      <c r="E46" s="1" t="n">
        <v>46256</v>
      </c>
      <c r="F46" t="inlineStr">
        <is>
          <t>SÖDERMANLANDS LÄN</t>
        </is>
      </c>
      <c r="G46" t="inlineStr">
        <is>
          <t>NYKÖPING</t>
        </is>
      </c>
      <c r="I46" t="n">
        <v>9.6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Grönsångare
Spillkråka
Trana</t>
        </is>
      </c>
      <c r="W46">
        <f>HYPERLINK("https://klasma.github.io/Logging_0480/artfynd/A 57727-2025 artfynd.xlsx", "A 57727-2025")</f>
        <v/>
      </c>
      <c r="X46">
        <f>HYPERLINK("https://klasma.github.io/Logging_0480/kartor/A 57727-2025 karta.png", "A 57727-2025")</f>
        <v/>
      </c>
      <c r="Y46">
        <f>HYPERLINK("https://klasma.github.io/Logging_0480/kartor_geotiff/A 57727-2025 georefererad karta.tif", "A 57727-2025")</f>
        <v/>
      </c>
      <c r="AA46">
        <f>HYPERLINK("https://klasma.github.io/Logging_0480/klagomål/A 57727-2025 FSC-klagomål.docx", "A 57727-2025")</f>
        <v/>
      </c>
      <c r="AB46">
        <f>HYPERLINK("https://klasma.github.io/Logging_0480/klagomålsmail/A 57727-2025 FSC-klagomål mail.docx", "A 57727-2025")</f>
        <v/>
      </c>
      <c r="AC46">
        <f>HYPERLINK("https://klasma.github.io/Logging_0480/tillsyn/A 57727-2025 tillsynsbegäran.docx", "A 57727-2025")</f>
        <v/>
      </c>
      <c r="AD46">
        <f>HYPERLINK("https://klasma.github.io/Logging_0480/tillsynsmail/A 57727-2025 tillsynsbegäran mail.docx", "A 57727-2025")</f>
        <v/>
      </c>
      <c r="AE46">
        <f>HYPERLINK("https://klasma.github.io/Logging_0480/fåglar/A 57727-2025 prioriterade fågelarter.docx", "A 57727-2025")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46256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48153-2023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45205</v>
      </c>
      <c r="E48" s="1" t="n">
        <v>46256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Nötkråka
Havsörn</t>
        </is>
      </c>
      <c r="W48">
        <f>HYPERLINK("https://klasma.github.io/Logging_0480/artfynd/A 48153-2023 artfynd.xlsx", "A 48153-2023")</f>
        <v/>
      </c>
      <c r="X48">
        <f>HYPERLINK("https://klasma.github.io/Logging_0480/kartor/A 48153-2023 karta.png", "A 48153-2023")</f>
        <v/>
      </c>
      <c r="Y48">
        <f>HYPERLINK("https://klasma.github.io/Logging_0480/kartor_geotiff/A 48153-2023 georefererad karta.tif", "A 48153-2023")</f>
        <v/>
      </c>
      <c r="AA48">
        <f>HYPERLINK("https://klasma.github.io/Logging_0480/klagomål/A 48153-2023 FSC-klagomål.docx", "A 48153-2023")</f>
        <v/>
      </c>
      <c r="AB48">
        <f>HYPERLINK("https://klasma.github.io/Logging_0480/klagomålsmail/A 48153-2023 FSC-klagomål mail.docx", "A 48153-2023")</f>
        <v/>
      </c>
      <c r="AC48">
        <f>HYPERLINK("https://klasma.github.io/Logging_0480/tillsyn/A 48153-2023 tillsynsbegäran.docx", "A 48153-2023")</f>
        <v/>
      </c>
      <c r="AD48">
        <f>HYPERLINK("https://klasma.github.io/Logging_0480/tillsynsmail/A 48153-2023 tillsynsbegäran mail.docx", "A 48153-2023")</f>
        <v/>
      </c>
      <c r="AE48">
        <f>HYPERLINK("https://klasma.github.io/Logging_0480/fåglar/A 48153-2023 prioriterade fågelarter.docx", "A 48153-2023")</f>
        <v/>
      </c>
    </row>
    <row r="49" ht="15" customHeight="1">
      <c r="A49" t="inlineStr">
        <is>
          <t>A 5865-2024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45335</v>
      </c>
      <c r="E49" s="1" t="n">
        <v>46256</v>
      </c>
      <c r="F49" t="inlineStr">
        <is>
          <t>SÖDERMANLANDS LÄN</t>
        </is>
      </c>
      <c r="G49" t="inlineStr">
        <is>
          <t>NYKÖPING</t>
        </is>
      </c>
      <c r="H49" t="inlineStr">
        <is>
          <t>Sveaskog</t>
        </is>
      </c>
      <c r="I49" t="n">
        <v>4.9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Entita
Fläcknycklar</t>
        </is>
      </c>
      <c r="W49">
        <f>HYPERLINK("https://klasma.github.io/Logging_0480/artfynd/A 5865-2024 artfynd.xlsx", "A 5865-2024")</f>
        <v/>
      </c>
      <c r="X49">
        <f>HYPERLINK("https://klasma.github.io/Logging_0480/kartor/A 5865-2024 karta.png", "A 5865-2024")</f>
        <v/>
      </c>
      <c r="Y49">
        <f>HYPERLINK("https://klasma.github.io/Logging_0480/kartor_geotiff/A 5865-2024 georefererad karta.tif", "A 5865-2024")</f>
        <v/>
      </c>
      <c r="AA49">
        <f>HYPERLINK("https://klasma.github.io/Logging_0480/klagomål/A 5865-2024 FSC-klagomål.docx", "A 5865-2024")</f>
        <v/>
      </c>
      <c r="AB49">
        <f>HYPERLINK("https://klasma.github.io/Logging_0480/klagomålsmail/A 5865-2024 FSC-klagomål mail.docx", "A 5865-2024")</f>
        <v/>
      </c>
      <c r="AC49">
        <f>HYPERLINK("https://klasma.github.io/Logging_0480/tillsyn/A 5865-2024 tillsynsbegäran.docx", "A 5865-2024")</f>
        <v/>
      </c>
      <c r="AD49">
        <f>HYPERLINK("https://klasma.github.io/Logging_0480/tillsynsmail/A 5865-2024 tillsynsbegäran mail.docx", "A 5865-2024")</f>
        <v/>
      </c>
      <c r="AE49">
        <f>HYPERLINK("https://klasma.github.io/Logging_0480/fåglar/A 5865-2024 prioriterade fågelarter.docx", "A 5865-2024")</f>
        <v/>
      </c>
    </row>
    <row r="50" ht="15" customHeight="1">
      <c r="A50" t="inlineStr">
        <is>
          <t>A 16078-2023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46256</v>
      </c>
      <c r="F50" t="inlineStr">
        <is>
          <t>SÖDERMANLANDS LÄN</t>
        </is>
      </c>
      <c r="G50" t="inlineStr">
        <is>
          <t>NYKÖPING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Rödlånke
Fläcknycklar</t>
        </is>
      </c>
      <c r="W50">
        <f>HYPERLINK("https://klasma.github.io/Logging_0480/artfynd/A 16078-2023 artfynd.xlsx", "A 16078-2023")</f>
        <v/>
      </c>
      <c r="X50">
        <f>HYPERLINK("https://klasma.github.io/Logging_0480/kartor/A 16078-2023 karta.png", "A 16078-2023")</f>
        <v/>
      </c>
      <c r="Y50">
        <f>HYPERLINK("https://klasma.github.io/Logging_0480/kartor_geotiff/A 16078-2023 georefererad karta.tif", "A 16078-2023")</f>
        <v/>
      </c>
      <c r="AA50">
        <f>HYPERLINK("https://klasma.github.io/Logging_0480/klagomål/A 16078-2023 FSC-klagomål.docx", "A 16078-2023")</f>
        <v/>
      </c>
      <c r="AB50">
        <f>HYPERLINK("https://klasma.github.io/Logging_0480/klagomålsmail/A 16078-2023 FSC-klagomål mail.docx", "A 16078-2023")</f>
        <v/>
      </c>
      <c r="AC50">
        <f>HYPERLINK("https://klasma.github.io/Logging_0480/tillsyn/A 16078-2023 tillsynsbegäran.docx", "A 16078-2023")</f>
        <v/>
      </c>
      <c r="AD50">
        <f>HYPERLINK("https://klasma.github.io/Logging_0480/tillsynsmail/A 16078-2023 tillsynsbegäran mail.docx", "A 16078-2023")</f>
        <v/>
      </c>
    </row>
    <row r="51" ht="15" customHeight="1">
      <c r="A51" t="inlineStr">
        <is>
          <t>A 60460-2022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44911</v>
      </c>
      <c r="E51" s="1" t="n">
        <v>46256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1.7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Barkticka
Blåsippa</t>
        </is>
      </c>
      <c r="W51">
        <f>HYPERLINK("https://klasma.github.io/Logging_0480/artfynd/A 60460-2022 artfynd.xlsx", "A 60460-2022")</f>
        <v/>
      </c>
      <c r="X51">
        <f>HYPERLINK("https://klasma.github.io/Logging_0480/kartor/A 60460-2022 karta.png", "A 60460-2022")</f>
        <v/>
      </c>
      <c r="Y51">
        <f>HYPERLINK("https://klasma.github.io/Logging_0480/kartor_geotiff/A 60460-2022 georefererad karta.tif", "A 60460-2022")</f>
        <v/>
      </c>
      <c r="AA51">
        <f>HYPERLINK("https://klasma.github.io/Logging_0480/klagomål/A 60460-2022 FSC-klagomål.docx", "A 60460-2022")</f>
        <v/>
      </c>
      <c r="AB51">
        <f>HYPERLINK("https://klasma.github.io/Logging_0480/klagomålsmail/A 60460-2022 FSC-klagomål mail.docx", "A 60460-2022")</f>
        <v/>
      </c>
      <c r="AC51">
        <f>HYPERLINK("https://klasma.github.io/Logging_0480/tillsyn/A 60460-2022 tillsynsbegäran.docx", "A 60460-2022")</f>
        <v/>
      </c>
      <c r="AD51">
        <f>HYPERLINK("https://klasma.github.io/Logging_0480/tillsynsmail/A 60460-2022 tillsynsbegäran mail.docx", "A 60460-2022")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46256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55945-2025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46256</v>
      </c>
      <c r="F53" t="inlineStr">
        <is>
          <t>SÖDERMANLANDS LÄN</t>
        </is>
      </c>
      <c r="G53" t="inlineStr">
        <is>
          <t>NYKÖPING</t>
        </is>
      </c>
      <c r="I53" t="n">
        <v>9.1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Blanksvart spiklav
Motaggsvamp</t>
        </is>
      </c>
      <c r="W53">
        <f>HYPERLINK("https://klasma.github.io/Logging_0480/artfynd/A 55945-2025 artfynd.xlsx", "A 55945-2025")</f>
        <v/>
      </c>
      <c r="X53">
        <f>HYPERLINK("https://klasma.github.io/Logging_0480/kartor/A 55945-2025 karta.png", "A 55945-2025")</f>
        <v/>
      </c>
      <c r="Y53">
        <f>HYPERLINK("https://klasma.github.io/Logging_0480/kartor_geotiff/A 55945-2025 georefererad karta.tif", "A 55945-2025")</f>
        <v/>
      </c>
      <c r="AA53">
        <f>HYPERLINK("https://klasma.github.io/Logging_0480/klagomål/A 55945-2025 FSC-klagomål.docx", "A 55945-2025")</f>
        <v/>
      </c>
      <c r="AB53">
        <f>HYPERLINK("https://klasma.github.io/Logging_0480/klagomålsmail/A 55945-2025 FSC-klagomål mail.docx", "A 55945-2025")</f>
        <v/>
      </c>
      <c r="AC53">
        <f>HYPERLINK("https://klasma.github.io/Logging_0480/tillsyn/A 55945-2025 tillsynsbegäran.docx", "A 55945-2025")</f>
        <v/>
      </c>
      <c r="AD53">
        <f>HYPERLINK("https://klasma.github.io/Logging_0480/tillsynsmail/A 55945-2025 tillsynsbegäran mail.docx", "A 55945-2025")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46256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46256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46256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10977-2024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46256</v>
      </c>
      <c r="F57" t="inlineStr">
        <is>
          <t>SÖDERMANLANDS LÄN</t>
        </is>
      </c>
      <c r="G57" t="inlineStr">
        <is>
          <t>NYKÖPING</t>
        </is>
      </c>
      <c r="H57" t="inlineStr">
        <is>
          <t>Kommuner</t>
        </is>
      </c>
      <c r="I57" t="n">
        <v>3.7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Stor aspticka
Vätteros</t>
        </is>
      </c>
      <c r="W57">
        <f>HYPERLINK("https://klasma.github.io/Logging_0480/artfynd/A 10977-2024 artfynd.xlsx", "A 10977-2024")</f>
        <v/>
      </c>
      <c r="X57">
        <f>HYPERLINK("https://klasma.github.io/Logging_0480/kartor/A 10977-2024 karta.png", "A 10977-2024")</f>
        <v/>
      </c>
      <c r="Y57">
        <f>HYPERLINK("https://klasma.github.io/Logging_0480/kartor_geotiff/A 10977-2024 georefererad karta.tif", "A 10977-2024")</f>
        <v/>
      </c>
      <c r="AA57">
        <f>HYPERLINK("https://klasma.github.io/Logging_0480/klagomål/A 10977-2024 FSC-klagomål.docx", "A 10977-2024")</f>
        <v/>
      </c>
      <c r="AB57">
        <f>HYPERLINK("https://klasma.github.io/Logging_0480/klagomålsmail/A 10977-2024 FSC-klagomål mail.docx", "A 10977-2024")</f>
        <v/>
      </c>
      <c r="AC57">
        <f>HYPERLINK("https://klasma.github.io/Logging_0480/tillsyn/A 10977-2024 tillsynsbegäran.docx", "A 10977-2024")</f>
        <v/>
      </c>
      <c r="AD57">
        <f>HYPERLINK("https://klasma.github.io/Logging_0480/tillsynsmail/A 10977-2024 tillsynsbegäran mail.docx", "A 10977-2024")</f>
        <v/>
      </c>
    </row>
    <row r="58" ht="15" customHeight="1">
      <c r="A58" t="inlineStr">
        <is>
          <t>A 29766-2022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44755</v>
      </c>
      <c r="E58" s="1" t="n">
        <v>46256</v>
      </c>
      <c r="F58" t="inlineStr">
        <is>
          <t>SÖDERMANLANDS LÄN</t>
        </is>
      </c>
      <c r="G58" t="inlineStr">
        <is>
          <t>NYKÖPING</t>
        </is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Broskvaxing
Kungsfågel</t>
        </is>
      </c>
      <c r="W58">
        <f>HYPERLINK("https://klasma.github.io/Logging_0480/artfynd/A 29766-2022 artfynd.xlsx", "A 29766-2022")</f>
        <v/>
      </c>
      <c r="X58">
        <f>HYPERLINK("https://klasma.github.io/Logging_0480/kartor/A 29766-2022 karta.png", "A 29766-2022")</f>
        <v/>
      </c>
      <c r="Y58">
        <f>HYPERLINK("https://klasma.github.io/Logging_0480/kartor_geotiff/A 29766-2022 georefererad karta.tif", "A 29766-2022")</f>
        <v/>
      </c>
      <c r="AA58">
        <f>HYPERLINK("https://klasma.github.io/Logging_0480/klagomål/A 29766-2022 FSC-klagomål.docx", "A 29766-2022")</f>
        <v/>
      </c>
      <c r="AB58">
        <f>HYPERLINK("https://klasma.github.io/Logging_0480/klagomålsmail/A 29766-2022 FSC-klagomål mail.docx", "A 29766-2022")</f>
        <v/>
      </c>
      <c r="AC58">
        <f>HYPERLINK("https://klasma.github.io/Logging_0480/tillsyn/A 29766-2022 tillsynsbegäran.docx", "A 29766-2022")</f>
        <v/>
      </c>
      <c r="AD58">
        <f>HYPERLINK("https://klasma.github.io/Logging_0480/tillsynsmail/A 29766-2022 tillsynsbegäran mail.docx", "A 29766-2022")</f>
        <v/>
      </c>
    </row>
    <row r="59" ht="15" customHeight="1">
      <c r="A59" t="inlineStr">
        <is>
          <t>A 60518-2022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46256</v>
      </c>
      <c r="F59" t="inlineStr">
        <is>
          <t>SÖDERMANLANDS LÄN</t>
        </is>
      </c>
      <c r="G59" t="inlineStr">
        <is>
          <t>NYKÖPING</t>
        </is>
      </c>
      <c r="I59" t="n">
        <v>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Gullklöver
Gullviva</t>
        </is>
      </c>
      <c r="W59">
        <f>HYPERLINK("https://klasma.github.io/Logging_0480/artfynd/A 60518-2022 artfynd.xlsx", "A 60518-2022")</f>
        <v/>
      </c>
      <c r="X59">
        <f>HYPERLINK("https://klasma.github.io/Logging_0480/kartor/A 60518-2022 karta.png", "A 60518-2022")</f>
        <v/>
      </c>
      <c r="Y59">
        <f>HYPERLINK("https://klasma.github.io/Logging_0480/kartor_geotiff/A 60518-2022 georefererad karta.tif", "A 60518-2022")</f>
        <v/>
      </c>
      <c r="AA59">
        <f>HYPERLINK("https://klasma.github.io/Logging_0480/klagomål/A 60518-2022 FSC-klagomål.docx", "A 60518-2022")</f>
        <v/>
      </c>
      <c r="AB59">
        <f>HYPERLINK("https://klasma.github.io/Logging_0480/klagomålsmail/A 60518-2022 FSC-klagomål mail.docx", "A 60518-2022")</f>
        <v/>
      </c>
      <c r="AC59">
        <f>HYPERLINK("https://klasma.github.io/Logging_0480/tillsyn/A 60518-2022 tillsynsbegäran.docx", "A 60518-2022")</f>
        <v/>
      </c>
      <c r="AD59">
        <f>HYPERLINK("https://klasma.github.io/Logging_0480/tillsynsmail/A 60518-2022 tillsynsbegäran mail.docx", "A 60518-2022")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46256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46256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46256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Dropptaggsvamp
Blåbär</t>
        </is>
      </c>
      <c r="W62">
        <f>HYPERLINK("https://klasma.github.io/Logging_0480/artfynd/A 14862-2026 artfynd.xlsx", "A 14862-2026")</f>
        <v/>
      </c>
      <c r="X62">
        <f>HYPERLINK("https://klasma.github.io/Logging_0480/kartor/A 14862-2026 karta.png", "A 14862-2026")</f>
        <v/>
      </c>
      <c r="Y62">
        <f>HYPERLINK("https://klasma.github.io/Logging_0480/kartor_geotiff/A 14862-2026 georefererad karta.tif", "A 14862-2026")</f>
        <v/>
      </c>
      <c r="AA62">
        <f>HYPERLINK("https://klasma.github.io/Logging_0480/klagomål/A 14862-2026 FSC-klagomål.docx", "A 14862-2026")</f>
        <v/>
      </c>
      <c r="AB62">
        <f>HYPERLINK("https://klasma.github.io/Logging_0480/klagomålsmail/A 14862-2026 FSC-klagomål mail.docx", "A 14862-2026")</f>
        <v/>
      </c>
      <c r="AC62">
        <f>HYPERLINK("https://klasma.github.io/Logging_0480/tillsyn/A 14862-2026 tillsynsbegäran.docx", "A 14862-2026")</f>
        <v/>
      </c>
      <c r="AD62">
        <f>HYPERLINK("https://klasma.github.io/Logging_0480/tillsynsmail/A 14862-2026 tillsynsbegäran mail.docx", "A 14862-2026")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46256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46256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1037-2026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46256</v>
      </c>
      <c r="F65" t="inlineStr">
        <is>
          <t>SÖDERMANLANDS LÄN</t>
        </is>
      </c>
      <c r="G65" t="inlineStr">
        <is>
          <t>NYKÖPING</t>
        </is>
      </c>
      <c r="I65" t="n">
        <v>11.6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Talltita
Spillkråka</t>
        </is>
      </c>
      <c r="W65">
        <f>HYPERLINK("https://klasma.github.io/Logging_0480/artfynd/A 1037-2026 artfynd.xlsx", "A 1037-2026")</f>
        <v/>
      </c>
      <c r="X65">
        <f>HYPERLINK("https://klasma.github.io/Logging_0480/kartor/A 1037-2026 karta.png", "A 1037-2026")</f>
        <v/>
      </c>
      <c r="Y65">
        <f>HYPERLINK("https://klasma.github.io/Logging_0480/kartor_geotiff/A 1037-2026 georefererad karta.tif", "A 1037-2026")</f>
        <v/>
      </c>
      <c r="AA65">
        <f>HYPERLINK("https://klasma.github.io/Logging_0480/klagomål/A 1037-2026 FSC-klagomål.docx", "A 1037-2026")</f>
        <v/>
      </c>
      <c r="AB65">
        <f>HYPERLINK("https://klasma.github.io/Logging_0480/klagomålsmail/A 1037-2026 FSC-klagomål mail.docx", "A 1037-2026")</f>
        <v/>
      </c>
      <c r="AC65">
        <f>HYPERLINK("https://klasma.github.io/Logging_0480/tillsyn/A 1037-2026 tillsynsbegäran.docx", "A 1037-2026")</f>
        <v/>
      </c>
      <c r="AD65">
        <f>HYPERLINK("https://klasma.github.io/Logging_0480/tillsynsmail/A 1037-2026 tillsynsbegäran mail.docx", "A 1037-2026")</f>
        <v/>
      </c>
      <c r="AE65">
        <f>HYPERLINK("https://klasma.github.io/Logging_0480/fåglar/A 1037-2026 prioriterade fågelarter.docx", "A 1037-2026")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46256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A 56728-2025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46256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2.5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Sandödla
Vanlig snok</t>
        </is>
      </c>
      <c r="W67">
        <f>HYPERLINK("https://klasma.github.io/Logging_0480/artfynd/A 56728-2025 artfynd.xlsx", "A 56728-2025")</f>
        <v/>
      </c>
      <c r="X67">
        <f>HYPERLINK("https://klasma.github.io/Logging_0480/kartor/A 56728-2025 karta.png", "A 56728-2025")</f>
        <v/>
      </c>
      <c r="Y67">
        <f>HYPERLINK("https://klasma.github.io/Logging_0480/kartor_geotiff/A 56728-2025 georefererad karta.tif", "A 56728-2025")</f>
        <v/>
      </c>
      <c r="AA67">
        <f>HYPERLINK("https://klasma.github.io/Logging_0480/klagomål/A 56728-2025 FSC-klagomål.docx", "A 56728-2025")</f>
        <v/>
      </c>
      <c r="AB67">
        <f>HYPERLINK("https://klasma.github.io/Logging_0480/klagomålsmail/A 56728-2025 FSC-klagomål mail.docx", "A 56728-2025")</f>
        <v/>
      </c>
      <c r="AC67">
        <f>HYPERLINK("https://klasma.github.io/Logging_0480/tillsyn/A 56728-2025 tillsynsbegäran.docx", "A 56728-2025")</f>
        <v/>
      </c>
      <c r="AD67">
        <f>HYPERLINK("https://klasma.github.io/Logging_0480/tillsynsmail/A 56728-2025 tillsynsbegäran mail.docx", "A 56728-2025")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46256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46256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46256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46256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46256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46256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46256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46256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46256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46256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46256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46256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46256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52684-2021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46256</v>
      </c>
      <c r="F81" t="inlineStr">
        <is>
          <t>SÖDERMANLANDS LÄN</t>
        </is>
      </c>
      <c r="G81" t="inlineStr">
        <is>
          <t>NYKÖPING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Kråka</t>
        </is>
      </c>
      <c r="W81">
        <f>HYPERLINK("https://klasma.github.io/Logging_0480/artfynd/A 52684-2021 artfynd.xlsx", "A 52684-2021")</f>
        <v/>
      </c>
      <c r="X81">
        <f>HYPERLINK("https://klasma.github.io/Logging_0480/kartor/A 52684-2021 karta.png", "A 52684-2021")</f>
        <v/>
      </c>
      <c r="Y81">
        <f>HYPERLINK("https://klasma.github.io/Logging_0480/kartor_geotiff/A 52684-2021 georefererad karta.tif", "A 52684-2021")</f>
        <v/>
      </c>
      <c r="AA81">
        <f>HYPERLINK("https://klasma.github.io/Logging_0480/klagomål/A 52684-2021 FSC-klagomål.docx", "A 52684-2021")</f>
        <v/>
      </c>
      <c r="AB81">
        <f>HYPERLINK("https://klasma.github.io/Logging_0480/klagomålsmail/A 52684-2021 FSC-klagomål mail.docx", "A 52684-2021")</f>
        <v/>
      </c>
      <c r="AC81">
        <f>HYPERLINK("https://klasma.github.io/Logging_0480/tillsyn/A 52684-2021 tillsynsbegäran.docx", "A 52684-2021")</f>
        <v/>
      </c>
      <c r="AD81">
        <f>HYPERLINK("https://klasma.github.io/Logging_0480/tillsynsmail/A 52684-2021 tillsynsbegäran mail.docx", "A 52684-2021")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46256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46256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1105-2023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46256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Skuggblåslav</t>
        </is>
      </c>
      <c r="W84">
        <f>HYPERLINK("https://klasma.github.io/Logging_0480/artfynd/A 1105-2023 artfynd.xlsx", "A 1105-2023")</f>
        <v/>
      </c>
      <c r="X84">
        <f>HYPERLINK("https://klasma.github.io/Logging_0480/kartor/A 1105-2023 karta.png", "A 1105-2023")</f>
        <v/>
      </c>
      <c r="Y84">
        <f>HYPERLINK("https://klasma.github.io/Logging_0480/kartor_geotiff/A 1105-2023 georefererad karta.tif", "A 1105-2023")</f>
        <v/>
      </c>
      <c r="AA84">
        <f>HYPERLINK("https://klasma.github.io/Logging_0480/klagomål/A 1105-2023 FSC-klagomål.docx", "A 1105-2023")</f>
        <v/>
      </c>
      <c r="AB84">
        <f>HYPERLINK("https://klasma.github.io/Logging_0480/klagomålsmail/A 1105-2023 FSC-klagomål mail.docx", "A 1105-2023")</f>
        <v/>
      </c>
      <c r="AC84">
        <f>HYPERLINK("https://klasma.github.io/Logging_0480/tillsyn/A 1105-2023 tillsynsbegäran.docx", "A 1105-2023")</f>
        <v/>
      </c>
      <c r="AD84">
        <f>HYPERLINK("https://klasma.github.io/Logging_0480/tillsynsmail/A 1105-2023 tillsynsbegäran mail.docx", "A 1105-2023")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46256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2829-2025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46256</v>
      </c>
      <c r="F86" t="inlineStr">
        <is>
          <t>SÖDERMANLANDS LÄN</t>
        </is>
      </c>
      <c r="G86" t="inlineStr">
        <is>
          <t>NYKÖPING</t>
        </is>
      </c>
      <c r="H86" t="inlineStr">
        <is>
          <t>Allmännings- och besparingsskogar</t>
        </is>
      </c>
      <c r="I86" t="n">
        <v>12.1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HYPERLINK("https://klasma.github.io/Logging_0480/artfynd/A 2829-2025 artfynd.xlsx", "A 2829-2025")</f>
        <v/>
      </c>
      <c r="X86">
        <f>HYPERLINK("https://klasma.github.io/Logging_0480/kartor/A 2829-2025 karta.png", "A 2829-2025")</f>
        <v/>
      </c>
      <c r="Y86">
        <f>HYPERLINK("https://klasma.github.io/Logging_0480/kartor_geotiff/A 2829-2025 georefererad karta.tif", "A 2829-2025")</f>
        <v/>
      </c>
      <c r="AA86">
        <f>HYPERLINK("https://klasma.github.io/Logging_0480/klagomål/A 2829-2025 FSC-klagomål.docx", "A 2829-2025")</f>
        <v/>
      </c>
      <c r="AB86">
        <f>HYPERLINK("https://klasma.github.io/Logging_0480/klagomålsmail/A 2829-2025 FSC-klagomål mail.docx", "A 2829-2025")</f>
        <v/>
      </c>
      <c r="AC86">
        <f>HYPERLINK("https://klasma.github.io/Logging_0480/tillsyn/A 2829-2025 tillsynsbegäran.docx", "A 2829-2025")</f>
        <v/>
      </c>
      <c r="AD86">
        <f>HYPERLINK("https://klasma.github.io/Logging_0480/tillsynsmail/A 2829-2025 tillsynsbegäran mail.docx", "A 2829-2025")</f>
        <v/>
      </c>
      <c r="AE86">
        <f>HYPERLINK("https://klasma.github.io/Logging_0480/fåglar/A 2829-2025 prioriterade fågelarter.docx", "A 2829-2025")</f>
        <v/>
      </c>
    </row>
    <row r="87" ht="15" customHeight="1">
      <c r="A87" t="inlineStr">
        <is>
          <t>A 7270-2025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45702</v>
      </c>
      <c r="E87" s="1" t="n">
        <v>46256</v>
      </c>
      <c r="F87" t="inlineStr">
        <is>
          <t>SÖDERMANLANDS LÄN</t>
        </is>
      </c>
      <c r="G87" t="inlineStr">
        <is>
          <t>NYKÖPING</t>
        </is>
      </c>
      <c r="H87" t="inlineStr">
        <is>
          <t>Övriga Aktiebolag</t>
        </is>
      </c>
      <c r="I87" t="n">
        <v>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Järpe</t>
        </is>
      </c>
      <c r="W87">
        <f>HYPERLINK("https://klasma.github.io/Logging_0480/artfynd/A 7270-2025 artfynd.xlsx", "A 7270-2025")</f>
        <v/>
      </c>
      <c r="X87">
        <f>HYPERLINK("https://klasma.github.io/Logging_0480/kartor/A 7270-2025 karta.png", "A 7270-2025")</f>
        <v/>
      </c>
      <c r="Y87">
        <f>HYPERLINK("https://klasma.github.io/Logging_0480/kartor_geotiff/A 7270-2025 georefererad karta.tif", "A 7270-2025")</f>
        <v/>
      </c>
      <c r="AA87">
        <f>HYPERLINK("https://klasma.github.io/Logging_0480/klagomål/A 7270-2025 FSC-klagomål.docx", "A 7270-2025")</f>
        <v/>
      </c>
      <c r="AB87">
        <f>HYPERLINK("https://klasma.github.io/Logging_0480/klagomålsmail/A 7270-2025 FSC-klagomål mail.docx", "A 7270-2025")</f>
        <v/>
      </c>
      <c r="AC87">
        <f>HYPERLINK("https://klasma.github.io/Logging_0480/tillsyn/A 7270-2025 tillsynsbegäran.docx", "A 7270-2025")</f>
        <v/>
      </c>
      <c r="AD87">
        <f>HYPERLINK("https://klasma.github.io/Logging_0480/tillsynsmail/A 7270-2025 tillsynsbegäran mail.docx", "A 7270-2025")</f>
        <v/>
      </c>
      <c r="AE87">
        <f>HYPERLINK("https://klasma.github.io/Logging_0480/fåglar/A 7270-2025 prioriterade fågelarter.docx", "A 7270-2025")</f>
        <v/>
      </c>
    </row>
    <row r="88" ht="15" customHeight="1">
      <c r="A88" t="inlineStr">
        <is>
          <t>A 65889-2021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46256</v>
      </c>
      <c r="F88" t="inlineStr">
        <is>
          <t>SÖDERMANLANDS LÄN</t>
        </is>
      </c>
      <c r="G88" t="inlineStr">
        <is>
          <t>NYKÖPING</t>
        </is>
      </c>
      <c r="I88" t="n">
        <v>4.8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Backstarr</t>
        </is>
      </c>
      <c r="W88">
        <f>HYPERLINK("https://klasma.github.io/Logging_0480/artfynd/A 65889-2021 artfynd.xlsx", "A 65889-2021")</f>
        <v/>
      </c>
      <c r="X88">
        <f>HYPERLINK("https://klasma.github.io/Logging_0480/kartor/A 65889-2021 karta.png", "A 65889-2021")</f>
        <v/>
      </c>
      <c r="Y88">
        <f>HYPERLINK("https://klasma.github.io/Logging_0480/kartor_geotiff/A 65889-2021 georefererad karta.tif", "A 65889-2021")</f>
        <v/>
      </c>
      <c r="AA88">
        <f>HYPERLINK("https://klasma.github.io/Logging_0480/klagomål/A 65889-2021 FSC-klagomål.docx", "A 65889-2021")</f>
        <v/>
      </c>
      <c r="AB88">
        <f>HYPERLINK("https://klasma.github.io/Logging_0480/klagomålsmail/A 65889-2021 FSC-klagomål mail.docx", "A 65889-2021")</f>
        <v/>
      </c>
      <c r="AC88">
        <f>HYPERLINK("https://klasma.github.io/Logging_0480/tillsyn/A 65889-2021 tillsynsbegäran.docx", "A 65889-2021")</f>
        <v/>
      </c>
      <c r="AD88">
        <f>HYPERLINK("https://klasma.github.io/Logging_0480/tillsynsmail/A 65889-2021 tillsynsbegäran mail.docx", "A 65889-2021")</f>
        <v/>
      </c>
    </row>
    <row r="89" ht="15" customHeight="1">
      <c r="A89" t="inlineStr">
        <is>
          <t>A 4903-2022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46256</v>
      </c>
      <c r="F89" t="inlineStr">
        <is>
          <t>SÖDERMANLANDS LÄN</t>
        </is>
      </c>
      <c r="G89" t="inlineStr">
        <is>
          <t>NYKÖPING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HYPERLINK("https://klasma.github.io/Logging_0480/artfynd/A 4903-2022 artfynd.xlsx", "A 4903-2022")</f>
        <v/>
      </c>
      <c r="X89">
        <f>HYPERLINK("https://klasma.github.io/Logging_0480/kartor/A 4903-2022 karta.png", "A 4903-2022")</f>
        <v/>
      </c>
      <c r="Y89">
        <f>HYPERLINK("https://klasma.github.io/Logging_0480/kartor_geotiff/A 4903-2022 georefererad karta.tif", "A 4903-2022")</f>
        <v/>
      </c>
      <c r="Z89">
        <f>HYPERLINK("https://klasma.github.io/Logging_0480/knärot/A 4903-2022 karta knärot.png", "A 4903-2022")</f>
        <v/>
      </c>
      <c r="AA89">
        <f>HYPERLINK("https://klasma.github.io/Logging_0480/klagomål/A 4903-2022 FSC-klagomål.docx", "A 4903-2022")</f>
        <v/>
      </c>
      <c r="AB89">
        <f>HYPERLINK("https://klasma.github.io/Logging_0480/klagomålsmail/A 4903-2022 FSC-klagomål mail.docx", "A 4903-2022")</f>
        <v/>
      </c>
      <c r="AC89">
        <f>HYPERLINK("https://klasma.github.io/Logging_0480/tillsyn/A 4903-2022 tillsynsbegäran.docx", "A 4903-2022")</f>
        <v/>
      </c>
      <c r="AD89">
        <f>HYPERLINK("https://klasma.github.io/Logging_0480/tillsynsmail/A 4903-2022 tillsynsbegäran mail.docx", "A 4903-2022")</f>
        <v/>
      </c>
    </row>
    <row r="90" ht="15" customHeight="1">
      <c r="A90" t="inlineStr">
        <is>
          <t>A 18500-2024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45424</v>
      </c>
      <c r="E90" s="1" t="n">
        <v>46256</v>
      </c>
      <c r="F90" t="inlineStr">
        <is>
          <t>SÖDERMANLANDS LÄN</t>
        </is>
      </c>
      <c r="G90" t="inlineStr">
        <is>
          <t>NYKÖPING</t>
        </is>
      </c>
      <c r="I90" t="n">
        <v>2.4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Tornseglare</t>
        </is>
      </c>
      <c r="W90">
        <f>HYPERLINK("https://klasma.github.io/Logging_0480/artfynd/A 18500-2024 artfynd.xlsx", "A 18500-2024")</f>
        <v/>
      </c>
      <c r="X90">
        <f>HYPERLINK("https://klasma.github.io/Logging_0480/kartor/A 18500-2024 karta.png", "A 18500-2024")</f>
        <v/>
      </c>
      <c r="Y90">
        <f>HYPERLINK("https://klasma.github.io/Logging_0480/kartor_geotiff/A 18500-2024 georefererad karta.tif", "A 18500-2024")</f>
        <v/>
      </c>
      <c r="AA90">
        <f>HYPERLINK("https://klasma.github.io/Logging_0480/klagomål/A 18500-2024 FSC-klagomål.docx", "A 18500-2024")</f>
        <v/>
      </c>
      <c r="AB90">
        <f>HYPERLINK("https://klasma.github.io/Logging_0480/klagomålsmail/A 18500-2024 FSC-klagomål mail.docx", "A 18500-2024")</f>
        <v/>
      </c>
      <c r="AC90">
        <f>HYPERLINK("https://klasma.github.io/Logging_0480/tillsyn/A 18500-2024 tillsynsbegäran.docx", "A 18500-2024")</f>
        <v/>
      </c>
      <c r="AD90">
        <f>HYPERLINK("https://klasma.github.io/Logging_0480/tillsynsmail/A 18500-2024 tillsynsbegäran mail.docx", "A 18500-2024")</f>
        <v/>
      </c>
      <c r="AE90">
        <f>HYPERLINK("https://klasma.github.io/Logging_0480/fåglar/A 18500-2024 prioriterade fågelarter.docx", "A 18500-2024")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46256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59905-2025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46256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HYPERLINK("https://klasma.github.io/Logging_0480/artfynd/A 59905-2025 artfynd.xlsx", "A 59905-2025")</f>
        <v/>
      </c>
      <c r="X92">
        <f>HYPERLINK("https://klasma.github.io/Logging_0480/kartor/A 59905-2025 karta.png", "A 59905-2025")</f>
        <v/>
      </c>
      <c r="Y92">
        <f>HYPERLINK("https://klasma.github.io/Logging_0480/kartor_geotiff/A 59905-2025 georefererad karta.tif", "A 59905-2025")</f>
        <v/>
      </c>
      <c r="AA92">
        <f>HYPERLINK("https://klasma.github.io/Logging_0480/klagomål/A 59905-2025 FSC-klagomål.docx", "A 59905-2025")</f>
        <v/>
      </c>
      <c r="AB92">
        <f>HYPERLINK("https://klasma.github.io/Logging_0480/klagomålsmail/A 59905-2025 FSC-klagomål mail.docx", "A 59905-2025")</f>
        <v/>
      </c>
      <c r="AC92">
        <f>HYPERLINK("https://klasma.github.io/Logging_0480/tillsyn/A 59905-2025 tillsynsbegäran.docx", "A 59905-2025")</f>
        <v/>
      </c>
      <c r="AD92">
        <f>HYPERLINK("https://klasma.github.io/Logging_0480/tillsynsmail/A 59905-2025 tillsynsbegäran mail.docx", "A 59905-2025")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46256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46256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46256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63423-2025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46256</v>
      </c>
      <c r="F96" t="inlineStr">
        <is>
          <t>SÖDERMANLANDS LÄN</t>
        </is>
      </c>
      <c r="G96" t="inlineStr">
        <is>
          <t>NYKÖPING</t>
        </is>
      </c>
      <c r="I96" t="n">
        <v>7.4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HYPERLINK("https://klasma.github.io/Logging_0480/artfynd/A 63423-2025 artfynd.xlsx", "A 63423-2025")</f>
        <v/>
      </c>
      <c r="X96">
        <f>HYPERLINK("https://klasma.github.io/Logging_0480/kartor/A 63423-2025 karta.png", "A 63423-2025")</f>
        <v/>
      </c>
      <c r="Y96">
        <f>HYPERLINK("https://klasma.github.io/Logging_0480/kartor_geotiff/A 63423-2025 georefererad karta.tif", "A 63423-2025")</f>
        <v/>
      </c>
      <c r="AA96">
        <f>HYPERLINK("https://klasma.github.io/Logging_0480/klagomål/A 63423-2025 FSC-klagomål.docx", "A 63423-2025")</f>
        <v/>
      </c>
      <c r="AB96">
        <f>HYPERLINK("https://klasma.github.io/Logging_0480/klagomålsmail/A 63423-2025 FSC-klagomål mail.docx", "A 63423-2025")</f>
        <v/>
      </c>
      <c r="AC96">
        <f>HYPERLINK("https://klasma.github.io/Logging_0480/tillsyn/A 63423-2025 tillsynsbegäran.docx", "A 63423-2025")</f>
        <v/>
      </c>
      <c r="AD96">
        <f>HYPERLINK("https://klasma.github.io/Logging_0480/tillsynsmail/A 63423-2025 tillsynsbegäran mail.docx", "A 63423-2025")</f>
        <v/>
      </c>
    </row>
    <row r="97" ht="15" customHeight="1">
      <c r="A97" t="inlineStr">
        <is>
          <t>A 13724-2024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46256</v>
      </c>
      <c r="F97" t="inlineStr">
        <is>
          <t>SÖDERMANLANDS LÄN</t>
        </is>
      </c>
      <c r="G97" t="inlineStr">
        <is>
          <t>NYKÖPING</t>
        </is>
      </c>
      <c r="I97" t="n">
        <v>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Dropptaggsvamp</t>
        </is>
      </c>
      <c r="W97">
        <f>HYPERLINK("https://klasma.github.io/Logging_0480/artfynd/A 13724-2024 artfynd.xlsx", "A 13724-2024")</f>
        <v/>
      </c>
      <c r="X97">
        <f>HYPERLINK("https://klasma.github.io/Logging_0480/kartor/A 13724-2024 karta.png", "A 13724-2024")</f>
        <v/>
      </c>
      <c r="Y97">
        <f>HYPERLINK("https://klasma.github.io/Logging_0480/kartor_geotiff/A 13724-2024 georefererad karta.tif", "A 13724-2024")</f>
        <v/>
      </c>
      <c r="AA97">
        <f>HYPERLINK("https://klasma.github.io/Logging_0480/klagomål/A 13724-2024 FSC-klagomål.docx", "A 13724-2024")</f>
        <v/>
      </c>
      <c r="AB97">
        <f>HYPERLINK("https://klasma.github.io/Logging_0480/klagomålsmail/A 13724-2024 FSC-klagomål mail.docx", "A 13724-2024")</f>
        <v/>
      </c>
      <c r="AC97">
        <f>HYPERLINK("https://klasma.github.io/Logging_0480/tillsyn/A 13724-2024 tillsynsbegäran.docx", "A 13724-2024")</f>
        <v/>
      </c>
      <c r="AD97">
        <f>HYPERLINK("https://klasma.github.io/Logging_0480/tillsynsmail/A 13724-2024 tillsynsbegäran mail.docx", "A 13724-2024")</f>
        <v/>
      </c>
    </row>
    <row r="98" ht="15" customHeight="1">
      <c r="A98" t="inlineStr">
        <is>
          <t>A 2837-2025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46256</v>
      </c>
      <c r="F98" t="inlineStr">
        <is>
          <t>SÖDERMANLANDS LÄN</t>
        </is>
      </c>
      <c r="G98" t="inlineStr">
        <is>
          <t>NYKÖPING</t>
        </is>
      </c>
      <c r="I98" t="n">
        <v>5.2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0</v>
      </c>
      <c r="V98" s="2" t="inlineStr">
        <is>
          <t>Hasselticka</t>
        </is>
      </c>
      <c r="W98">
        <f>HYPERLINK("https://klasma.github.io/Logging_0480/artfynd/A 2837-2025 artfynd.xlsx", "A 2837-2025")</f>
        <v/>
      </c>
      <c r="X98">
        <f>HYPERLINK("https://klasma.github.io/Logging_0480/kartor/A 2837-2025 karta.png", "A 2837-2025")</f>
        <v/>
      </c>
      <c r="Y98">
        <f>HYPERLINK("https://klasma.github.io/Logging_0480/kartor_geotiff/A 2837-2025 georefererad karta.tif", "A 2837-2025")</f>
        <v/>
      </c>
      <c r="AA98">
        <f>HYPERLINK("https://klasma.github.io/Logging_0480/klagomål/A 2837-2025 FSC-klagomål.docx", "A 2837-2025")</f>
        <v/>
      </c>
      <c r="AB98">
        <f>HYPERLINK("https://klasma.github.io/Logging_0480/klagomålsmail/A 2837-2025 FSC-klagomål mail.docx", "A 2837-2025")</f>
        <v/>
      </c>
      <c r="AC98">
        <f>HYPERLINK("https://klasma.github.io/Logging_0480/tillsyn/A 2837-2025 tillsynsbegäran.docx", "A 2837-2025")</f>
        <v/>
      </c>
      <c r="AD98">
        <f>HYPERLINK("https://klasma.github.io/Logging_0480/tillsynsmail/A 2837-2025 tillsynsbegäran mail.docx", "A 2837-2025")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46256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4305-2026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46256</v>
      </c>
      <c r="F100" t="inlineStr">
        <is>
          <t>SÖDERMANLANDS LÄN</t>
        </is>
      </c>
      <c r="G100" t="inlineStr">
        <is>
          <t>NYKÖPING</t>
        </is>
      </c>
      <c r="I100" t="n">
        <v>3.8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Tallticka</t>
        </is>
      </c>
      <c r="W100">
        <f>HYPERLINK("https://klasma.github.io/Logging_0480/artfynd/A 4305-2026 artfynd.xlsx", "A 4305-2026")</f>
        <v/>
      </c>
      <c r="X100">
        <f>HYPERLINK("https://klasma.github.io/Logging_0480/kartor/A 4305-2026 karta.png", "A 4305-2026")</f>
        <v/>
      </c>
      <c r="Y100">
        <f>HYPERLINK("https://klasma.github.io/Logging_0480/kartor_geotiff/A 4305-2026 georefererad karta.tif", "A 4305-2026")</f>
        <v/>
      </c>
      <c r="AA100">
        <f>HYPERLINK("https://klasma.github.io/Logging_0480/klagomål/A 4305-2026 FSC-klagomål.docx", "A 4305-2026")</f>
        <v/>
      </c>
      <c r="AB100">
        <f>HYPERLINK("https://klasma.github.io/Logging_0480/klagomålsmail/A 4305-2026 FSC-klagomål mail.docx", "A 4305-2026")</f>
        <v/>
      </c>
      <c r="AC100">
        <f>HYPERLINK("https://klasma.github.io/Logging_0480/tillsyn/A 4305-2026 tillsynsbegäran.docx", "A 4305-2026")</f>
        <v/>
      </c>
      <c r="AD100">
        <f>HYPERLINK("https://klasma.github.io/Logging_0480/tillsynsmail/A 4305-2026 tillsynsbegäran mail.docx", "A 4305-2026")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46256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31182-2026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46256</v>
      </c>
      <c r="F102" t="inlineStr">
        <is>
          <t>SÖDERMANLANDS LÄN</t>
        </is>
      </c>
      <c r="G102" t="inlineStr">
        <is>
          <t>NYKÖPING</t>
        </is>
      </c>
      <c r="I102" t="n">
        <v>5.1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31182-2026 artfynd.xlsx", "A 31182-2026")</f>
        <v/>
      </c>
      <c r="X102">
        <f>HYPERLINK("https://klasma.github.io/Logging_0480/kartor/A 31182-2026 karta.png", "A 31182-2026")</f>
        <v/>
      </c>
      <c r="Y102">
        <f>HYPERLINK("https://klasma.github.io/Logging_0480/kartor_geotiff/A 31182-2026 georefererad karta.tif", "A 31182-2026")</f>
        <v/>
      </c>
      <c r="AA102">
        <f>HYPERLINK("https://klasma.github.io/Logging_0480/klagomål/A 31182-2026 FSC-klagomål.docx", "A 31182-2026")</f>
        <v/>
      </c>
      <c r="AB102">
        <f>HYPERLINK("https://klasma.github.io/Logging_0480/klagomålsmail/A 31182-2026 FSC-klagomål mail.docx", "A 31182-2026")</f>
        <v/>
      </c>
      <c r="AC102">
        <f>HYPERLINK("https://klasma.github.io/Logging_0480/tillsyn/A 31182-2026 tillsynsbegäran.docx", "A 31182-2026")</f>
        <v/>
      </c>
      <c r="AD102">
        <f>HYPERLINK("https://klasma.github.io/Logging_0480/tillsynsmail/A 31182-2026 tillsynsbegäran mail.docx", "A 31182-2026")</f>
        <v/>
      </c>
    </row>
    <row r="103" ht="15" customHeight="1">
      <c r="A103" t="inlineStr">
        <is>
          <t>A 10886-2026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46078</v>
      </c>
      <c r="E103" s="1" t="n">
        <v>46256</v>
      </c>
      <c r="F103" t="inlineStr">
        <is>
          <t>SÖDERMANLANDS LÄN</t>
        </is>
      </c>
      <c r="G103" t="inlineStr">
        <is>
          <t>NYKÖPING</t>
        </is>
      </c>
      <c r="I103" t="n">
        <v>2.5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Tibast</t>
        </is>
      </c>
      <c r="W103">
        <f>HYPERLINK("https://klasma.github.io/Logging_0480/artfynd/A 10886-2026 artfynd.xlsx", "A 10886-2026")</f>
        <v/>
      </c>
      <c r="X103">
        <f>HYPERLINK("https://klasma.github.io/Logging_0480/kartor/A 10886-2026 karta.png", "A 10886-2026")</f>
        <v/>
      </c>
      <c r="Y103">
        <f>HYPERLINK("https://klasma.github.io/Logging_0480/kartor_geotiff/A 10886-2026 georefererad karta.tif", "A 10886-2026")</f>
        <v/>
      </c>
      <c r="AA103">
        <f>HYPERLINK("https://klasma.github.io/Logging_0480/klagomål/A 10886-2026 FSC-klagomål.docx", "A 10886-2026")</f>
        <v/>
      </c>
      <c r="AB103">
        <f>HYPERLINK("https://klasma.github.io/Logging_0480/klagomålsmail/A 10886-2026 FSC-klagomål mail.docx", "A 10886-2026")</f>
        <v/>
      </c>
      <c r="AC103">
        <f>HYPERLINK("https://klasma.github.io/Logging_0480/tillsyn/A 10886-2026 tillsynsbegäran.docx", "A 10886-2026")</f>
        <v/>
      </c>
      <c r="AD103">
        <f>HYPERLINK("https://klasma.github.io/Logging_0480/tillsynsmail/A 10886-2026 tillsynsbegäran mail.docx", "A 10886-2026")</f>
        <v/>
      </c>
    </row>
    <row r="104" ht="15" customHeight="1">
      <c r="A104" t="inlineStr">
        <is>
          <t>A 31998-2026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46256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12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HYPERLINK("https://klasma.github.io/Logging_0480/artfynd/A 31998-2026 artfynd.xlsx", "A 31998-2026")</f>
        <v/>
      </c>
      <c r="X104">
        <f>HYPERLINK("https://klasma.github.io/Logging_0480/kartor/A 31998-2026 karta.png", "A 31998-2026")</f>
        <v/>
      </c>
      <c r="Y104">
        <f>HYPERLINK("https://klasma.github.io/Logging_0480/kartor_geotiff/A 31998-2026 georefererad karta.tif", "A 31998-2026")</f>
        <v/>
      </c>
      <c r="AA104">
        <f>HYPERLINK("https://klasma.github.io/Logging_0480/klagomål/A 31998-2026 FSC-klagomål.docx", "A 31998-2026")</f>
        <v/>
      </c>
      <c r="AB104">
        <f>HYPERLINK("https://klasma.github.io/Logging_0480/klagomålsmail/A 31998-2026 FSC-klagomål mail.docx", "A 31998-2026")</f>
        <v/>
      </c>
      <c r="AC104">
        <f>HYPERLINK("https://klasma.github.io/Logging_0480/tillsyn/A 31998-2026 tillsynsbegäran.docx", "A 31998-2026")</f>
        <v/>
      </c>
      <c r="AD104">
        <f>HYPERLINK("https://klasma.github.io/Logging_0480/tillsynsmail/A 31998-2026 tillsynsbegäran mail.docx", "A 31998-2026")</f>
        <v/>
      </c>
    </row>
    <row r="105" ht="15" customHeight="1">
      <c r="A105" t="inlineStr">
        <is>
          <t>A 20325-2023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46256</v>
      </c>
      <c r="F105" t="inlineStr">
        <is>
          <t>SÖDERMANLANDS LÄN</t>
        </is>
      </c>
      <c r="G105" t="inlineStr">
        <is>
          <t>NYKÖPING</t>
        </is>
      </c>
      <c r="I105" t="n">
        <v>0.2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Kamjordstjärna</t>
        </is>
      </c>
      <c r="W105">
        <f>HYPERLINK("https://klasma.github.io/Logging_0480/artfynd/A 20325-2023 artfynd.xlsx", "A 20325-2023")</f>
        <v/>
      </c>
      <c r="X105">
        <f>HYPERLINK("https://klasma.github.io/Logging_0480/kartor/A 20325-2023 karta.png", "A 20325-2023")</f>
        <v/>
      </c>
      <c r="Y105">
        <f>HYPERLINK("https://klasma.github.io/Logging_0480/kartor_geotiff/A 20325-2023 georefererad karta.tif", "A 20325-2023")</f>
        <v/>
      </c>
      <c r="AA105">
        <f>HYPERLINK("https://klasma.github.io/Logging_0480/klagomål/A 20325-2023 FSC-klagomål.docx", "A 20325-2023")</f>
        <v/>
      </c>
      <c r="AB105">
        <f>HYPERLINK("https://klasma.github.io/Logging_0480/klagomålsmail/A 20325-2023 FSC-klagomål mail.docx", "A 20325-2023")</f>
        <v/>
      </c>
      <c r="AC105">
        <f>HYPERLINK("https://klasma.github.io/Logging_0480/tillsyn/A 20325-2023 tillsynsbegäran.docx", "A 20325-2023")</f>
        <v/>
      </c>
      <c r="AD105">
        <f>HYPERLINK("https://klasma.github.io/Logging_0480/tillsynsmail/A 20325-2023 tillsynsbegäran mail.docx", "A 20325-2023")</f>
        <v/>
      </c>
    </row>
    <row r="106" ht="15" customHeight="1">
      <c r="A106" t="inlineStr">
        <is>
          <t>A 9973-2022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46256</v>
      </c>
      <c r="F106" t="inlineStr">
        <is>
          <t>SÖDERMANLANDS LÄN</t>
        </is>
      </c>
      <c r="G106" t="inlineStr">
        <is>
          <t>NYKÖPING</t>
        </is>
      </c>
      <c r="I106" t="n">
        <v>18.3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 sköldmossa</t>
        </is>
      </c>
      <c r="W106">
        <f>HYPERLINK("https://klasma.github.io/Logging_0480/artfynd/A 9973-2022 artfynd.xlsx", "A 9973-2022")</f>
        <v/>
      </c>
      <c r="X106">
        <f>HYPERLINK("https://klasma.github.io/Logging_0480/kartor/A 9973-2022 karta.png", "A 9973-2022")</f>
        <v/>
      </c>
      <c r="Y106">
        <f>HYPERLINK("https://klasma.github.io/Logging_0480/kartor_geotiff/A 9973-2022 georefererad karta.tif", "A 9973-2022")</f>
        <v/>
      </c>
      <c r="AA106">
        <f>HYPERLINK("https://klasma.github.io/Logging_0480/klagomål/A 9973-2022 FSC-klagomål.docx", "A 9973-2022")</f>
        <v/>
      </c>
      <c r="AB106">
        <f>HYPERLINK("https://klasma.github.io/Logging_0480/klagomålsmail/A 9973-2022 FSC-klagomål mail.docx", "A 9973-2022")</f>
        <v/>
      </c>
      <c r="AC106">
        <f>HYPERLINK("https://klasma.github.io/Logging_0480/tillsyn/A 9973-2022 tillsynsbegäran.docx", "A 9973-2022")</f>
        <v/>
      </c>
      <c r="AD106">
        <f>HYPERLINK("https://klasma.github.io/Logging_0480/tillsynsmail/A 9973-2022 tillsynsbegäran mail.docx", "A 9973-2022")</f>
        <v/>
      </c>
    </row>
    <row r="107" ht="15" customHeight="1">
      <c r="A107" t="inlineStr">
        <is>
          <t>A 32627-2026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46256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HYPERLINK("https://klasma.github.io/Logging_0480/artfynd/A 32627-2026 artfynd.xlsx", "A 32627-2026")</f>
        <v/>
      </c>
      <c r="X107">
        <f>HYPERLINK("https://klasma.github.io/Logging_0480/kartor/A 32627-2026 karta.png", "A 32627-2026")</f>
        <v/>
      </c>
      <c r="Y107">
        <f>HYPERLINK("https://klasma.github.io/Logging_0480/kartor_geotiff/A 32627-2026 georefererad karta.tif", "A 32627-2026")</f>
        <v/>
      </c>
      <c r="AA107">
        <f>HYPERLINK("https://klasma.github.io/Logging_0480/klagomål/A 32627-2026 FSC-klagomål.docx", "A 32627-2026")</f>
        <v/>
      </c>
      <c r="AB107">
        <f>HYPERLINK("https://klasma.github.io/Logging_0480/klagomålsmail/A 32627-2026 FSC-klagomål mail.docx", "A 32627-2026")</f>
        <v/>
      </c>
      <c r="AC107">
        <f>HYPERLINK("https://klasma.github.io/Logging_0480/tillsyn/A 32627-2026 tillsynsbegäran.docx", "A 32627-2026")</f>
        <v/>
      </c>
      <c r="AD107">
        <f>HYPERLINK("https://klasma.github.io/Logging_0480/tillsynsmail/A 32627-2026 tillsynsbegäran mail.docx", "A 32627-2026")</f>
        <v/>
      </c>
    </row>
    <row r="108" ht="15" customHeight="1">
      <c r="A108" t="inlineStr">
        <is>
          <t>A 47095-2021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46256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Kommuner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Kricka</t>
        </is>
      </c>
      <c r="W108">
        <f>HYPERLINK("https://klasma.github.io/Logging_0480/artfynd/A 47095-2021 artfynd.xlsx", "A 47095-2021")</f>
        <v/>
      </c>
      <c r="X108">
        <f>HYPERLINK("https://klasma.github.io/Logging_0480/kartor/A 47095-2021 karta.png", "A 47095-2021")</f>
        <v/>
      </c>
      <c r="Y108">
        <f>HYPERLINK("https://klasma.github.io/Logging_0480/kartor_geotiff/A 47095-2021 georefererad karta.tif", "A 47095-2021")</f>
        <v/>
      </c>
      <c r="AA108">
        <f>HYPERLINK("https://klasma.github.io/Logging_0480/klagomål/A 47095-2021 FSC-klagomål.docx", "A 47095-2021")</f>
        <v/>
      </c>
      <c r="AB108">
        <f>HYPERLINK("https://klasma.github.io/Logging_0480/klagomålsmail/A 47095-2021 FSC-klagomål mail.docx", "A 47095-2021")</f>
        <v/>
      </c>
      <c r="AC108">
        <f>HYPERLINK("https://klasma.github.io/Logging_0480/tillsyn/A 47095-2021 tillsynsbegäran.docx", "A 47095-2021")</f>
        <v/>
      </c>
      <c r="AD108">
        <f>HYPERLINK("https://klasma.github.io/Logging_0480/tillsynsmail/A 47095-2021 tillsynsbegäran mail.docx", "A 47095-2021")</f>
        <v/>
      </c>
      <c r="AE108">
        <f>HYPERLINK("https://klasma.github.io/Logging_0480/fåglar/A 47095-2021 prioriterade fågelarter.docx", "A 47095-2021")</f>
        <v/>
      </c>
    </row>
    <row r="109" ht="15" customHeight="1">
      <c r="A109" t="inlineStr">
        <is>
          <t>A 13038-2024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46256</v>
      </c>
      <c r="F109" t="inlineStr">
        <is>
          <t>SÖDERMANLANDS LÄN</t>
        </is>
      </c>
      <c r="G109" t="inlineStr">
        <is>
          <t>NYKÖPING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Knärot</t>
        </is>
      </c>
      <c r="W109">
        <f>HYPERLINK("https://klasma.github.io/Logging_0480/artfynd/A 13038-2024 artfynd.xlsx", "A 13038-2024")</f>
        <v/>
      </c>
      <c r="X109">
        <f>HYPERLINK("https://klasma.github.io/Logging_0480/kartor/A 13038-2024 karta.png", "A 13038-2024")</f>
        <v/>
      </c>
      <c r="Y109">
        <f>HYPERLINK("https://klasma.github.io/Logging_0480/kartor_geotiff/A 13038-2024 georefererad karta.tif", "A 13038-2024")</f>
        <v/>
      </c>
      <c r="Z109">
        <f>HYPERLINK("https://klasma.github.io/Logging_0480/knärot/A 13038-2024 karta knärot.png", "A 13038-2024")</f>
        <v/>
      </c>
      <c r="AA109">
        <f>HYPERLINK("https://klasma.github.io/Logging_0480/klagomål/A 13038-2024 FSC-klagomål.docx", "A 13038-2024")</f>
        <v/>
      </c>
      <c r="AB109">
        <f>HYPERLINK("https://klasma.github.io/Logging_0480/klagomålsmail/A 13038-2024 FSC-klagomål mail.docx", "A 13038-2024")</f>
        <v/>
      </c>
      <c r="AC109">
        <f>HYPERLINK("https://klasma.github.io/Logging_0480/tillsyn/A 13038-2024 tillsynsbegäran.docx", "A 13038-2024")</f>
        <v/>
      </c>
      <c r="AD109">
        <f>HYPERLINK("https://klasma.github.io/Logging_0480/tillsynsmail/A 13038-2024 tillsynsbegäran mail.docx", "A 13038-2024")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46256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46050</v>
      </c>
      <c r="E111" s="1" t="n">
        <v>46256</v>
      </c>
      <c r="F111" t="inlineStr">
        <is>
          <t>SÖDERMANLANDS LÄN</t>
        </is>
      </c>
      <c r="G111" t="inlineStr">
        <is>
          <t>NYKÖPING</t>
        </is>
      </c>
      <c r="I111" t="n">
        <v>3.5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HYPERLINK("https://klasma.github.io/Logging_0480/artfynd/A 5385-2026 artfynd.xlsx", "A 5385-2026")</f>
        <v/>
      </c>
      <c r="X111">
        <f>HYPERLINK("https://klasma.github.io/Logging_0480/kartor/A 5385-2026 karta.png", "A 5385-2026")</f>
        <v/>
      </c>
      <c r="Y111">
        <f>HYPERLINK("https://klasma.github.io/Logging_0480/kartor_geotiff/A 5385-2026 georefererad karta.tif", "A 5385-2026")</f>
        <v/>
      </c>
      <c r="AA111">
        <f>HYPERLINK("https://klasma.github.io/Logging_0480/klagomål/A 5385-2026 FSC-klagomål.docx", "A 5385-2026")</f>
        <v/>
      </c>
      <c r="AB111">
        <f>HYPERLINK("https://klasma.github.io/Logging_0480/klagomålsmail/A 5385-2026 FSC-klagomål mail.docx", "A 5385-2026")</f>
        <v/>
      </c>
      <c r="AC111">
        <f>HYPERLINK("https://klasma.github.io/Logging_0480/tillsyn/A 5385-2026 tillsynsbegäran.docx", "A 5385-2026")</f>
        <v/>
      </c>
      <c r="AD111">
        <f>HYPERLINK("https://klasma.github.io/Logging_0480/tillsynsmail/A 5385-2026 tillsynsbegäran mail.docx", "A 5385-2026")</f>
        <v/>
      </c>
      <c r="AE111">
        <f>HYPERLINK("https://klasma.github.io/Logging_0480/fåglar/A 5385-2026 prioriterade fågelarter.docx", "A 5385-2026")</f>
        <v/>
      </c>
    </row>
    <row r="112" ht="15" customHeight="1">
      <c r="A112" t="inlineStr">
        <is>
          <t>A 35122-2023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46256</v>
      </c>
      <c r="F112" t="inlineStr">
        <is>
          <t>SÖDERMANLANDS LÄN</t>
        </is>
      </c>
      <c r="G112" t="inlineStr">
        <is>
          <t>NYKÖPING</t>
        </is>
      </c>
      <c r="I112" t="n">
        <v>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HYPERLINK("https://klasma.github.io/Logging_0480/artfynd/A 35122-2023 artfynd.xlsx", "A 35122-2023")</f>
        <v/>
      </c>
      <c r="X112">
        <f>HYPERLINK("https://klasma.github.io/Logging_0480/kartor/A 35122-2023 karta.png", "A 35122-2023")</f>
        <v/>
      </c>
      <c r="Y112">
        <f>HYPERLINK("https://klasma.github.io/Logging_0480/kartor_geotiff/A 35122-2023 georefererad karta.tif", "A 35122-2023")</f>
        <v/>
      </c>
      <c r="AA112">
        <f>HYPERLINK("https://klasma.github.io/Logging_0480/klagomål/A 35122-2023 FSC-klagomål.docx", "A 35122-2023")</f>
        <v/>
      </c>
      <c r="AB112">
        <f>HYPERLINK("https://klasma.github.io/Logging_0480/klagomålsmail/A 35122-2023 FSC-klagomål mail.docx", "A 35122-2023")</f>
        <v/>
      </c>
      <c r="AC112">
        <f>HYPERLINK("https://klasma.github.io/Logging_0480/tillsyn/A 35122-2023 tillsynsbegäran.docx", "A 35122-2023")</f>
        <v/>
      </c>
      <c r="AD112">
        <f>HYPERLINK("https://klasma.github.io/Logging_0480/tillsynsmail/A 35122-2023 tillsynsbegäran mail.docx", "A 35122-2023")</f>
        <v/>
      </c>
    </row>
    <row r="113" ht="15" customHeight="1">
      <c r="A113" t="inlineStr">
        <is>
          <t>A 21129-2024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46256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Liljekonvalj</t>
        </is>
      </c>
      <c r="W113">
        <f>HYPERLINK("https://klasma.github.io/Logging_0480/artfynd/A 21129-2024 artfynd.xlsx", "A 21129-2024")</f>
        <v/>
      </c>
      <c r="X113">
        <f>HYPERLINK("https://klasma.github.io/Logging_0480/kartor/A 21129-2024 karta.png", "A 21129-2024")</f>
        <v/>
      </c>
      <c r="Y113">
        <f>HYPERLINK("https://klasma.github.io/Logging_0480/kartor_geotiff/A 21129-2024 georefererad karta.tif", "A 21129-2024")</f>
        <v/>
      </c>
      <c r="AA113">
        <f>HYPERLINK("https://klasma.github.io/Logging_0480/klagomål/A 21129-2024 FSC-klagomål.docx", "A 21129-2024")</f>
        <v/>
      </c>
      <c r="AB113">
        <f>HYPERLINK("https://klasma.github.io/Logging_0480/klagomålsmail/A 21129-2024 FSC-klagomål mail.docx", "A 21129-2024")</f>
        <v/>
      </c>
      <c r="AC113">
        <f>HYPERLINK("https://klasma.github.io/Logging_0480/tillsyn/A 21129-2024 tillsynsbegäran.docx", "A 21129-2024")</f>
        <v/>
      </c>
      <c r="AD113">
        <f>HYPERLINK("https://klasma.github.io/Logging_0480/tillsynsmail/A 21129-2024 tillsynsbegäran mail.docx", "A 21129-2024")</f>
        <v/>
      </c>
    </row>
    <row r="114" ht="15" customHeight="1">
      <c r="A114" t="inlineStr">
        <is>
          <t>A 21021-2026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46145</v>
      </c>
      <c r="E114" s="1" t="n">
        <v>46256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HYPERLINK("https://klasma.github.io/Logging_0480/artfynd/A 21021-2026 artfynd.xlsx", "A 21021-2026")</f>
        <v/>
      </c>
      <c r="X114">
        <f>HYPERLINK("https://klasma.github.io/Logging_0480/kartor/A 21021-2026 karta.png", "A 21021-2026")</f>
        <v/>
      </c>
      <c r="Y114">
        <f>HYPERLINK("https://klasma.github.io/Logging_0480/kartor_geotiff/A 21021-2026 georefererad karta.tif", "A 21021-2026")</f>
        <v/>
      </c>
      <c r="AA114">
        <f>HYPERLINK("https://klasma.github.io/Logging_0480/klagomål/A 21021-2026 FSC-klagomål.docx", "A 21021-2026")</f>
        <v/>
      </c>
      <c r="AB114">
        <f>HYPERLINK("https://klasma.github.io/Logging_0480/klagomålsmail/A 21021-2026 FSC-klagomål mail.docx", "A 21021-2026")</f>
        <v/>
      </c>
      <c r="AC114">
        <f>HYPERLINK("https://klasma.github.io/Logging_0480/tillsyn/A 21021-2026 tillsynsbegäran.docx", "A 21021-2026")</f>
        <v/>
      </c>
      <c r="AD114">
        <f>HYPERLINK("https://klasma.github.io/Logging_0480/tillsynsmail/A 21021-2026 tillsynsbegäran mail.docx", "A 21021-2026")</f>
        <v/>
      </c>
    </row>
    <row r="115" ht="15" customHeight="1">
      <c r="A115" t="inlineStr">
        <is>
          <t>A 22495-2026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46155</v>
      </c>
      <c r="E115" s="1" t="n">
        <v>46256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Holmen skog AB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Vedticka</t>
        </is>
      </c>
      <c r="W115">
        <f>HYPERLINK("https://klasma.github.io/Logging_0480/artfynd/A 22495-2026 artfynd.xlsx", "A 22495-2026")</f>
        <v/>
      </c>
      <c r="X115">
        <f>HYPERLINK("https://klasma.github.io/Logging_0480/kartor/A 22495-2026 karta.png", "A 22495-2026")</f>
        <v/>
      </c>
      <c r="Y115">
        <f>HYPERLINK("https://klasma.github.io/Logging_0480/kartor_geotiff/A 22495-2026 georefererad karta.tif", "A 22495-2026")</f>
        <v/>
      </c>
      <c r="AA115">
        <f>HYPERLINK("https://klasma.github.io/Logging_0480/klagomål/A 22495-2026 FSC-klagomål.docx", "A 22495-2026")</f>
        <v/>
      </c>
      <c r="AB115">
        <f>HYPERLINK("https://klasma.github.io/Logging_0480/klagomålsmail/A 22495-2026 FSC-klagomål mail.docx", "A 22495-2026")</f>
        <v/>
      </c>
      <c r="AC115">
        <f>HYPERLINK("https://klasma.github.io/Logging_0480/tillsyn/A 22495-2026 tillsynsbegäran.docx", "A 22495-2026")</f>
        <v/>
      </c>
      <c r="AD115">
        <f>HYPERLINK("https://klasma.github.io/Logging_0480/tillsynsmail/A 22495-2026 tillsynsbegäran mail.docx", "A 22495-2026")</f>
        <v/>
      </c>
    </row>
    <row r="116" ht="15" customHeight="1">
      <c r="A116" t="inlineStr">
        <is>
          <t>A 56080-2024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46256</v>
      </c>
      <c r="F116" t="inlineStr">
        <is>
          <t>SÖDERMANLANDS LÄN</t>
        </is>
      </c>
      <c r="G116" t="inlineStr">
        <is>
          <t>NYKÖPING</t>
        </is>
      </c>
      <c r="I116" t="n">
        <v>5.5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Ärtsångare</t>
        </is>
      </c>
      <c r="W116">
        <f>HYPERLINK("https://klasma.github.io/Logging_0480/artfynd/A 56080-2024 artfynd.xlsx", "A 56080-2024")</f>
        <v/>
      </c>
      <c r="X116">
        <f>HYPERLINK("https://klasma.github.io/Logging_0480/kartor/A 56080-2024 karta.png", "A 56080-2024")</f>
        <v/>
      </c>
      <c r="Y116">
        <f>HYPERLINK("https://klasma.github.io/Logging_0480/kartor_geotiff/A 56080-2024 georefererad karta.tif", "A 56080-2024")</f>
        <v/>
      </c>
      <c r="AA116">
        <f>HYPERLINK("https://klasma.github.io/Logging_0480/klagomål/A 56080-2024 FSC-klagomål.docx", "A 56080-2024")</f>
        <v/>
      </c>
      <c r="AB116">
        <f>HYPERLINK("https://klasma.github.io/Logging_0480/klagomålsmail/A 56080-2024 FSC-klagomål mail.docx", "A 56080-2024")</f>
        <v/>
      </c>
      <c r="AC116">
        <f>HYPERLINK("https://klasma.github.io/Logging_0480/tillsyn/A 56080-2024 tillsynsbegäran.docx", "A 56080-2024")</f>
        <v/>
      </c>
      <c r="AD116">
        <f>HYPERLINK("https://klasma.github.io/Logging_0480/tillsynsmail/A 56080-2024 tillsynsbegäran mail.docx", "A 56080-2024")</f>
        <v/>
      </c>
    </row>
    <row r="117" ht="15" customHeight="1">
      <c r="A117" t="inlineStr">
        <is>
          <t>S 447-2021</t>
        </is>
      </c>
      <c r="B117" t="inlineStr">
        <is>
          <t>samrådsanmälan</t>
        </is>
      </c>
      <c r="C117" t="inlineStr">
        <is>
          <t>Åtgärd i nyckelbiotop</t>
        </is>
      </c>
      <c r="D117" s="1" t="n">
        <v>44260</v>
      </c>
      <c r="E117" s="1" t="n">
        <v>46256</v>
      </c>
      <c r="F117" t="inlineStr">
        <is>
          <t>SÖDERMANLANDS LÄN</t>
        </is>
      </c>
      <c r="G117" t="inlineStr">
        <is>
          <t>NYKÖPING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HYPERLINK("https://klasma.github.io/Logging_0480/artfynd/S 447-2021 artfynd.xlsx", "S 447-2021")</f>
        <v/>
      </c>
      <c r="X117">
        <f>HYPERLINK("https://klasma.github.io/Logging_0480/kartor/S 447-2021 karta.png", "S 447-2021")</f>
        <v/>
      </c>
      <c r="Y117">
        <f>HYPERLINK("https://klasma.github.io/Logging_0480/kartor_geotiff/S 447-2021 georefererad karta.tif", "S 447-2021")</f>
        <v/>
      </c>
      <c r="AA117">
        <f>HYPERLINK("https://klasma.github.io/Logging_0480/klagomål/S 447-2021 FSC-klagomål.docx", "S 447-2021")</f>
        <v/>
      </c>
      <c r="AB117">
        <f>HYPERLINK("https://klasma.github.io/Logging_0480/klagomålsmail/S 447-2021 FSC-klagomål mail.docx", "S 447-2021")</f>
        <v/>
      </c>
      <c r="AC117">
        <f>HYPERLINK("https://klasma.github.io/Logging_0480/tillsyn/S 447-2021 tillsynsbegäran.docx", "S 447-2021")</f>
        <v/>
      </c>
      <c r="AD117">
        <f>HYPERLINK("https://klasma.github.io/Logging_0480/tillsynsmail/S 447-2021 tillsynsbegäran mail.docx", "S 447-2021")</f>
        <v/>
      </c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46256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44870</v>
      </c>
      <c r="E119" s="1" t="n">
        <v>46256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46256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46256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46256</v>
      </c>
      <c r="F122" t="inlineStr">
        <is>
          <t>SÖDERMANLANDS LÄN</t>
        </is>
      </c>
      <c r="G122" t="inlineStr">
        <is>
          <t>NYKÖPING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46256</v>
      </c>
      <c r="F123" t="inlineStr">
        <is>
          <t>SÖDERMANLANDS LÄN</t>
        </is>
      </c>
      <c r="G123" t="inlineStr">
        <is>
          <t>NYKÖPING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44510</v>
      </c>
      <c r="E124" s="1" t="n">
        <v>46256</v>
      </c>
      <c r="F124" t="inlineStr">
        <is>
          <t>SÖDERMANLANDS LÄN</t>
        </is>
      </c>
      <c r="G124" t="inlineStr">
        <is>
          <t>NYKÖPING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59776-2021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46256</v>
      </c>
      <c r="F125" t="inlineStr">
        <is>
          <t>SÖDERMANLANDS LÄN</t>
        </is>
      </c>
      <c r="G125" t="inlineStr">
        <is>
          <t>NYKÖPING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44466</v>
      </c>
      <c r="E126" s="1" t="n">
        <v>46256</v>
      </c>
      <c r="F126" t="inlineStr">
        <is>
          <t>SÖDERMANLANDS LÄN</t>
        </is>
      </c>
      <c r="G126" t="inlineStr">
        <is>
          <t>NYKÖPING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46256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46256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46256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46256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46256</v>
      </c>
      <c r="F131" t="inlineStr">
        <is>
          <t>SÖDERMANLANDS LÄN</t>
        </is>
      </c>
      <c r="G131" t="inlineStr">
        <is>
          <t>NYKÖPING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46256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46256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46256</v>
      </c>
      <c r="F134" t="inlineStr">
        <is>
          <t>SÖDERMANLANDS LÄN</t>
        </is>
      </c>
      <c r="G134" t="inlineStr">
        <is>
          <t>NYKÖPING</t>
        </is>
      </c>
      <c r="I134" t="n">
        <v>14.6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46256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46256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46256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46256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46256</v>
      </c>
      <c r="F139" t="inlineStr">
        <is>
          <t>SÖDERMANLANDS LÄN</t>
        </is>
      </c>
      <c r="G139" t="inlineStr">
        <is>
          <t>NYKÖPING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46256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46256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46256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46256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46256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46256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44430</v>
      </c>
      <c r="E146" s="1" t="n">
        <v>46256</v>
      </c>
      <c r="F146" t="inlineStr">
        <is>
          <t>SÖDERMANLANDS LÄN</t>
        </is>
      </c>
      <c r="G146" t="inlineStr">
        <is>
          <t>NYKÖPING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46256</v>
      </c>
      <c r="F147" t="inlineStr">
        <is>
          <t>SÖDERMANLANDS LÄN</t>
        </is>
      </c>
      <c r="G147" t="inlineStr">
        <is>
          <t>NYKÖPING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46256</v>
      </c>
      <c r="F148" t="inlineStr">
        <is>
          <t>SÖDERMANLANDS LÄN</t>
        </is>
      </c>
      <c r="G148" t="inlineStr">
        <is>
          <t>NYKÖPING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46256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46256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46256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46256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46256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46256</v>
      </c>
      <c r="F154" t="inlineStr">
        <is>
          <t>SÖDERMANLANDS LÄN</t>
        </is>
      </c>
      <c r="G154" t="inlineStr">
        <is>
          <t>NYKÖPING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46256</v>
      </c>
      <c r="F155" t="inlineStr">
        <is>
          <t>SÖDERMANLANDS LÄN</t>
        </is>
      </c>
      <c r="G155" t="inlineStr">
        <is>
          <t>NYKÖPING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46256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46256</v>
      </c>
      <c r="F157" t="inlineStr">
        <is>
          <t>SÖDERMANLANDS LÄN</t>
        </is>
      </c>
      <c r="G157" t="inlineStr">
        <is>
          <t>NYKÖPING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46256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46256</v>
      </c>
      <c r="F159" t="inlineStr">
        <is>
          <t>SÖDERMANLANDS LÄN</t>
        </is>
      </c>
      <c r="G159" t="inlineStr">
        <is>
          <t>NYKÖPING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46256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46256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44454</v>
      </c>
      <c r="E162" s="1" t="n">
        <v>46256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46838-2021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44446</v>
      </c>
      <c r="E163" s="1" t="n">
        <v>46256</v>
      </c>
      <c r="F163" t="inlineStr">
        <is>
          <t>SÖDERMANLANDS LÄN</t>
        </is>
      </c>
      <c r="G163" t="inlineStr">
        <is>
          <t>NYKÖPING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46256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15466-2022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44662</v>
      </c>
      <c r="E165" s="1" t="n">
        <v>46256</v>
      </c>
      <c r="F165" t="inlineStr">
        <is>
          <t>SÖDERMANLANDS LÄN</t>
        </is>
      </c>
      <c r="G165" t="inlineStr">
        <is>
          <t>NYKÖPING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46256</v>
      </c>
      <c r="F166" t="inlineStr">
        <is>
          <t>SÖDERMANLANDS LÄN</t>
        </is>
      </c>
      <c r="G166" t="inlineStr">
        <is>
          <t>NYKÖPING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46256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46256</v>
      </c>
      <c r="F168" t="inlineStr">
        <is>
          <t>SÖDERMANLANDS LÄN</t>
        </is>
      </c>
      <c r="G168" t="inlineStr">
        <is>
          <t>NYKÖPING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44784</v>
      </c>
      <c r="E169" s="1" t="n">
        <v>46256</v>
      </c>
      <c r="F169" t="inlineStr">
        <is>
          <t>SÖDERMANLANDS LÄN</t>
        </is>
      </c>
      <c r="G169" t="inlineStr">
        <is>
          <t>NYKÖPING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28503-2022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46256</v>
      </c>
      <c r="F170" t="inlineStr">
        <is>
          <t>SÖDERMANLANDS LÄN</t>
        </is>
      </c>
      <c r="G170" t="inlineStr">
        <is>
          <t>NYKÖPING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46256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44733</v>
      </c>
      <c r="E172" s="1" t="n">
        <v>46256</v>
      </c>
      <c r="F172" t="inlineStr">
        <is>
          <t>SÖDERMANLANDS LÄN</t>
        </is>
      </c>
      <c r="G172" t="inlineStr">
        <is>
          <t>NYKÖPING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44733</v>
      </c>
      <c r="E173" s="1" t="n">
        <v>46256</v>
      </c>
      <c r="F173" t="inlineStr">
        <is>
          <t>SÖDERMANLANDS LÄN</t>
        </is>
      </c>
      <c r="G173" t="inlineStr">
        <is>
          <t>NYKÖPING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46256</v>
      </c>
      <c r="F174" t="inlineStr">
        <is>
          <t>SÖDERMANLANDS LÄN</t>
        </is>
      </c>
      <c r="G174" t="inlineStr">
        <is>
          <t>NYKÖPING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44733</v>
      </c>
      <c r="E175" s="1" t="n">
        <v>46256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46256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44614</v>
      </c>
      <c r="E177" s="1" t="n">
        <v>46256</v>
      </c>
      <c r="F177" t="inlineStr">
        <is>
          <t>SÖDERMANLANDS LÄN</t>
        </is>
      </c>
      <c r="G177" t="inlineStr">
        <is>
          <t>NYKÖPING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44440</v>
      </c>
      <c r="E178" s="1" t="n">
        <v>46256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46256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46256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46256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46256</v>
      </c>
      <c r="F182" t="inlineStr">
        <is>
          <t>SÖDERMANLANDS LÄN</t>
        </is>
      </c>
      <c r="G182" t="inlineStr">
        <is>
          <t>NYKÖPING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46256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44679</v>
      </c>
      <c r="E184" s="1" t="n">
        <v>46256</v>
      </c>
      <c r="F184" t="inlineStr">
        <is>
          <t>SÖDERMANLANDS LÄN</t>
        </is>
      </c>
      <c r="G184" t="inlineStr">
        <is>
          <t>NYKÖPING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46256</v>
      </c>
      <c r="F185" t="inlineStr">
        <is>
          <t>SÖDERMANLANDS LÄN</t>
        </is>
      </c>
      <c r="G185" t="inlineStr">
        <is>
          <t>NYKÖPING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46256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46256</v>
      </c>
      <c r="F187" t="inlineStr">
        <is>
          <t>SÖDERMANLANDS LÄN</t>
        </is>
      </c>
      <c r="G187" t="inlineStr">
        <is>
          <t>NYKÖPING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46256</v>
      </c>
      <c r="F188" t="inlineStr">
        <is>
          <t>SÖDERMANLANDS LÄN</t>
        </is>
      </c>
      <c r="G188" t="inlineStr">
        <is>
          <t>NYKÖPING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46256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44539</v>
      </c>
      <c r="E190" s="1" t="n">
        <v>46256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44658</v>
      </c>
      <c r="E191" s="1" t="n">
        <v>46256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Allmännings- och besparingsskogar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66939-2021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46256</v>
      </c>
      <c r="F192" t="inlineStr">
        <is>
          <t>SÖDERMANLANDS LÄN</t>
        </is>
      </c>
      <c r="G192" t="inlineStr">
        <is>
          <t>NYKÖPING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46256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46256</v>
      </c>
      <c r="F194" t="inlineStr">
        <is>
          <t>SÖDERMANLANDS LÄN</t>
        </is>
      </c>
      <c r="G194" t="inlineStr">
        <is>
          <t>NYKÖPING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44652</v>
      </c>
      <c r="E195" s="1" t="n">
        <v>46256</v>
      </c>
      <c r="F195" t="inlineStr">
        <is>
          <t>SÖDERMANLANDS LÄN</t>
        </is>
      </c>
      <c r="G195" t="inlineStr">
        <is>
          <t>NYKÖPING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46256</v>
      </c>
      <c r="F196" t="inlineStr">
        <is>
          <t>SÖDERMANLANDS LÄN</t>
        </is>
      </c>
      <c r="G196" t="inlineStr">
        <is>
          <t>NYKÖPING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46256</v>
      </c>
      <c r="F197" t="inlineStr">
        <is>
          <t>SÖDERMANLANDS LÄN</t>
        </is>
      </c>
      <c r="G197" t="inlineStr">
        <is>
          <t>NYKÖPING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69252-2021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46256</v>
      </c>
      <c r="F198" t="inlineStr">
        <is>
          <t>SÖDERMANLANDS LÄN</t>
        </is>
      </c>
      <c r="G198" t="inlineStr">
        <is>
          <t>NYKÖPING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44440</v>
      </c>
      <c r="E199" s="1" t="n">
        <v>46256</v>
      </c>
      <c r="F199" t="inlineStr">
        <is>
          <t>SÖDERMANLANDS LÄN</t>
        </is>
      </c>
      <c r="G199" t="inlineStr">
        <is>
          <t>NYKÖPING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46256</v>
      </c>
      <c r="F200" t="inlineStr">
        <is>
          <t>SÖDERMANLANDS LÄN</t>
        </is>
      </c>
      <c r="G200" t="inlineStr">
        <is>
          <t>NYKÖPING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46256</v>
      </c>
      <c r="F201" t="inlineStr">
        <is>
          <t>SÖDERMANLANDS LÄN</t>
        </is>
      </c>
      <c r="G201" t="inlineStr">
        <is>
          <t>NYKÖPING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44748</v>
      </c>
      <c r="E202" s="1" t="n">
        <v>46256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44839</v>
      </c>
      <c r="E203" s="1" t="n">
        <v>46256</v>
      </c>
      <c r="F203" t="inlineStr">
        <is>
          <t>SÖDERMANLANDS LÄN</t>
        </is>
      </c>
      <c r="G203" t="inlineStr">
        <is>
          <t>NYKÖPING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44908-2022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46256</v>
      </c>
      <c r="F204" t="inlineStr">
        <is>
          <t>SÖDERMANLANDS LÄN</t>
        </is>
      </c>
      <c r="G204" t="inlineStr">
        <is>
          <t>NYKÖPING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46256</v>
      </c>
      <c r="F205" t="inlineStr">
        <is>
          <t>SÖDERMANLANDS LÄN</t>
        </is>
      </c>
      <c r="G205" t="inlineStr">
        <is>
          <t>NYKÖPING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46256</v>
      </c>
      <c r="F206" t="inlineStr">
        <is>
          <t>SÖDERMANLANDS LÄN</t>
        </is>
      </c>
      <c r="G206" t="inlineStr">
        <is>
          <t>NYKÖPING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46256</v>
      </c>
      <c r="F207" t="inlineStr">
        <is>
          <t>SÖDERMANLANDS LÄN</t>
        </is>
      </c>
      <c r="G207" t="inlineStr">
        <is>
          <t>NYKÖPING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45239</v>
      </c>
      <c r="E208" s="1" t="n">
        <v>46256</v>
      </c>
      <c r="F208" t="inlineStr">
        <is>
          <t>SÖDERMANLANDS LÄN</t>
        </is>
      </c>
      <c r="G208" t="inlineStr">
        <is>
          <t>NYKÖPING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46256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Kyrkan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67825-2021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44525</v>
      </c>
      <c r="E210" s="1" t="n">
        <v>46256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46256</v>
      </c>
      <c r="F211" t="inlineStr">
        <is>
          <t>SÖDERMANLANDS LÄN</t>
        </is>
      </c>
      <c r="G211" t="inlineStr">
        <is>
          <t>NYKÖPING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52535-2021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44466</v>
      </c>
      <c r="E212" s="1" t="n">
        <v>46256</v>
      </c>
      <c r="F212" t="inlineStr">
        <is>
          <t>SÖDERMANLANDS LÄN</t>
        </is>
      </c>
      <c r="G212" t="inlineStr">
        <is>
          <t>NYKÖPING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44709</v>
      </c>
      <c r="E213" s="1" t="n">
        <v>46256</v>
      </c>
      <c r="F213" t="inlineStr">
        <is>
          <t>SÖDERMANLANDS LÄN</t>
        </is>
      </c>
      <c r="G213" t="inlineStr">
        <is>
          <t>NYKÖPING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44709</v>
      </c>
      <c r="E214" s="1" t="n">
        <v>46256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44967</v>
      </c>
      <c r="E215" s="1" t="n">
        <v>46256</v>
      </c>
      <c r="F215" t="inlineStr">
        <is>
          <t>SÖDERMANLANDS LÄN</t>
        </is>
      </c>
      <c r="G215" t="inlineStr">
        <is>
          <t>NYKÖPING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46256</v>
      </c>
      <c r="F216" t="inlineStr">
        <is>
          <t>SÖDERMANLANDS LÄN</t>
        </is>
      </c>
      <c r="G216" t="inlineStr">
        <is>
          <t>NYKÖPING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44433</v>
      </c>
      <c r="E217" s="1" t="n">
        <v>46256</v>
      </c>
      <c r="F217" t="inlineStr">
        <is>
          <t>SÖDERMANLANDS LÄN</t>
        </is>
      </c>
      <c r="G217" t="inlineStr">
        <is>
          <t>NYKÖPING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46256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46256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46256</v>
      </c>
      <c r="F220" t="inlineStr">
        <is>
          <t>SÖDERMANLANDS LÄN</t>
        </is>
      </c>
      <c r="G220" t="inlineStr">
        <is>
          <t>NYKÖPING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44713</v>
      </c>
      <c r="E221" s="1" t="n">
        <v>46256</v>
      </c>
      <c r="F221" t="inlineStr">
        <is>
          <t>SÖDERMANLANDS LÄN</t>
        </is>
      </c>
      <c r="G221" t="inlineStr">
        <is>
          <t>NYKÖPING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46256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44446</v>
      </c>
      <c r="E223" s="1" t="n">
        <v>46256</v>
      </c>
      <c r="F223" t="inlineStr">
        <is>
          <t>SÖDERMANLANDS LÄN</t>
        </is>
      </c>
      <c r="G223" t="inlineStr">
        <is>
          <t>NYKÖPING</t>
        </is>
      </c>
      <c r="I223" t="n">
        <v>30.2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55272-2021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44475</v>
      </c>
      <c r="E224" s="1" t="n">
        <v>46256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34218-2024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45524</v>
      </c>
      <c r="E225" s="1" t="n">
        <v>46256</v>
      </c>
      <c r="F225" t="inlineStr">
        <is>
          <t>SÖDERMANLANDS LÄN</t>
        </is>
      </c>
      <c r="G225" t="inlineStr">
        <is>
          <t>NYKÖPING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44627</v>
      </c>
      <c r="E226" s="1" t="n">
        <v>46256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46256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45733</v>
      </c>
      <c r="E228" s="1" t="n">
        <v>46256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46256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46256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46256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68401-2021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44529</v>
      </c>
      <c r="E232" s="1" t="n">
        <v>46256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Övriga Aktiebolag</t>
        </is>
      </c>
      <c r="I232" t="n">
        <v>16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44853</v>
      </c>
      <c r="E233" s="1" t="n">
        <v>46256</v>
      </c>
      <c r="F233" t="inlineStr">
        <is>
          <t>SÖDERMANLANDS LÄN</t>
        </is>
      </c>
      <c r="G233" t="inlineStr">
        <is>
          <t>NYKÖPING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52045-2021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44463</v>
      </c>
      <c r="E234" s="1" t="n">
        <v>46256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52055-2021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44462</v>
      </c>
      <c r="E235" s="1" t="n">
        <v>46256</v>
      </c>
      <c r="F235" t="inlineStr">
        <is>
          <t>SÖDERMANLANDS LÄN</t>
        </is>
      </c>
      <c r="G235" t="inlineStr">
        <is>
          <t>NYKÖPING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44880</v>
      </c>
      <c r="E236" s="1" t="n">
        <v>46256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46256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44491</v>
      </c>
      <c r="E238" s="1" t="n">
        <v>46256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46256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46256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46256</v>
      </c>
      <c r="F241" t="inlineStr">
        <is>
          <t>SÖDERMANLANDS LÄN</t>
        </is>
      </c>
      <c r="G241" t="inlineStr">
        <is>
          <t>NYKÖPING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65109-2021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46256</v>
      </c>
      <c r="F242" t="inlineStr">
        <is>
          <t>SÖDERMANLANDS LÄN</t>
        </is>
      </c>
      <c r="G242" t="inlineStr">
        <is>
          <t>NYKÖPING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70092-2021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46256</v>
      </c>
      <c r="F243" t="inlineStr">
        <is>
          <t>SÖDERMANLANDS LÄN</t>
        </is>
      </c>
      <c r="G243" t="inlineStr">
        <is>
          <t>NYKÖPING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39068-2025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46256</v>
      </c>
      <c r="F244" t="inlineStr">
        <is>
          <t>SÖDERMANLANDS LÄN</t>
        </is>
      </c>
      <c r="G244" t="inlineStr">
        <is>
          <t>NYKÖPING</t>
        </is>
      </c>
      <c r="I244" t="n">
        <v>15.2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46256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46256</v>
      </c>
      <c r="F246" t="inlineStr">
        <is>
          <t>SÖDERMANLANDS LÄN</t>
        </is>
      </c>
      <c r="G246" t="inlineStr">
        <is>
          <t>NYKÖPING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46256</v>
      </c>
      <c r="F247" t="inlineStr">
        <is>
          <t>SÖDERMANLANDS LÄN</t>
        </is>
      </c>
      <c r="G247" t="inlineStr">
        <is>
          <t>NYKÖPING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43880-2023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46256</v>
      </c>
      <c r="F248" t="inlineStr">
        <is>
          <t>SÖDERMANLANDS LÄN</t>
        </is>
      </c>
      <c r="G248" t="inlineStr">
        <is>
          <t>NYKÖPING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46256</v>
      </c>
      <c r="F249" t="inlineStr">
        <is>
          <t>SÖDERMANLANDS LÄN</t>
        </is>
      </c>
      <c r="G249" t="inlineStr">
        <is>
          <t>NYKÖPING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46256</v>
      </c>
      <c r="F250" t="inlineStr">
        <is>
          <t>SÖDERMANLANDS LÄN</t>
        </is>
      </c>
      <c r="G250" t="inlineStr">
        <is>
          <t>NYKÖPING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44774</v>
      </c>
      <c r="E251" s="1" t="n">
        <v>46256</v>
      </c>
      <c r="F251" t="inlineStr">
        <is>
          <t>SÖDERMANLANDS LÄN</t>
        </is>
      </c>
      <c r="G251" t="inlineStr">
        <is>
          <t>NYKÖPING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46256</v>
      </c>
      <c r="F252" t="inlineStr">
        <is>
          <t>SÖDERMANLANDS LÄN</t>
        </is>
      </c>
      <c r="G252" t="inlineStr">
        <is>
          <t>NYKÖPING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45370</v>
      </c>
      <c r="E253" s="1" t="n">
        <v>46256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45424</v>
      </c>
      <c r="E254" s="1" t="n">
        <v>46256</v>
      </c>
      <c r="F254" t="inlineStr">
        <is>
          <t>SÖDERMANLANDS LÄN</t>
        </is>
      </c>
      <c r="G254" t="inlineStr">
        <is>
          <t>NYKÖPING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45854</v>
      </c>
      <c r="E255" s="1" t="n">
        <v>46256</v>
      </c>
      <c r="F255" t="inlineStr">
        <is>
          <t>SÖDERMANLANDS LÄN</t>
        </is>
      </c>
      <c r="G255" t="inlineStr">
        <is>
          <t>NYKÖPING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46256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Kommuner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44784</v>
      </c>
      <c r="E257" s="1" t="n">
        <v>46256</v>
      </c>
      <c r="F257" t="inlineStr">
        <is>
          <t>SÖDERMANLANDS LÄN</t>
        </is>
      </c>
      <c r="G257" t="inlineStr">
        <is>
          <t>NYKÖPING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73877-2021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44553</v>
      </c>
      <c r="E258" s="1" t="n">
        <v>46256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46256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Aktiebolag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64099-2021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46256</v>
      </c>
      <c r="F260" t="inlineStr">
        <is>
          <t>SÖDERMANLANDS LÄN</t>
        </is>
      </c>
      <c r="G260" t="inlineStr">
        <is>
          <t>NYKÖPING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46256</v>
      </c>
      <c r="F261" t="inlineStr">
        <is>
          <t>SÖDERMANLANDS LÄN</t>
        </is>
      </c>
      <c r="G261" t="inlineStr">
        <is>
          <t>NYKÖPING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46256</v>
      </c>
      <c r="F262" t="inlineStr">
        <is>
          <t>SÖDERMANLANDS LÄN</t>
        </is>
      </c>
      <c r="G262" t="inlineStr">
        <is>
          <t>NYKÖPING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46256</v>
      </c>
      <c r="F263" t="inlineStr">
        <is>
          <t>SÖDERMANLANDS LÄN</t>
        </is>
      </c>
      <c r="G263" t="inlineStr">
        <is>
          <t>NYKÖPING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46256</v>
      </c>
      <c r="F264" t="inlineStr">
        <is>
          <t>SÖDERMANLANDS LÄN</t>
        </is>
      </c>
      <c r="G264" t="inlineStr">
        <is>
          <t>NYKÖPING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44881</v>
      </c>
      <c r="E265" s="1" t="n">
        <v>46256</v>
      </c>
      <c r="F265" t="inlineStr">
        <is>
          <t>SÖDERMANLANDS LÄN</t>
        </is>
      </c>
      <c r="G265" t="inlineStr">
        <is>
          <t>NYKÖPING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44579</v>
      </c>
      <c r="E266" s="1" t="n">
        <v>46256</v>
      </c>
      <c r="F266" t="inlineStr">
        <is>
          <t>SÖDERMANLANDS LÄN</t>
        </is>
      </c>
      <c r="G266" t="inlineStr">
        <is>
          <t>NYKÖPING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41099-2022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44825</v>
      </c>
      <c r="E267" s="1" t="n">
        <v>46256</v>
      </c>
      <c r="F267" t="inlineStr">
        <is>
          <t>SÖDERMANLANDS LÄN</t>
        </is>
      </c>
      <c r="G267" t="inlineStr">
        <is>
          <t>NYKÖPING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68500-2021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46256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44988</v>
      </c>
      <c r="E269" s="1" t="n">
        <v>46256</v>
      </c>
      <c r="F269" t="inlineStr">
        <is>
          <t>SÖDERMANLANDS LÄN</t>
        </is>
      </c>
      <c r="G269" t="inlineStr">
        <is>
          <t>NYKÖPING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35020-2023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45143</v>
      </c>
      <c r="E270" s="1" t="n">
        <v>46256</v>
      </c>
      <c r="F270" t="inlineStr">
        <is>
          <t>SÖDERMANLANDS LÄN</t>
        </is>
      </c>
      <c r="G270" t="inlineStr">
        <is>
          <t>NYKÖPING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46256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46256</v>
      </c>
      <c r="F272" t="inlineStr">
        <is>
          <t>SÖDERMANLANDS LÄN</t>
        </is>
      </c>
      <c r="G272" t="inlineStr">
        <is>
          <t>NYKÖPING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46256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46256</v>
      </c>
      <c r="F274" t="inlineStr">
        <is>
          <t>SÖDERMANLANDS LÄN</t>
        </is>
      </c>
      <c r="G274" t="inlineStr">
        <is>
          <t>NYKÖPING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43581-2022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46256</v>
      </c>
      <c r="F275" t="inlineStr">
        <is>
          <t>SÖDERMANLANDS LÄN</t>
        </is>
      </c>
      <c r="G275" t="inlineStr">
        <is>
          <t>NYKÖPING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45216</v>
      </c>
      <c r="E276" s="1" t="n">
        <v>46256</v>
      </c>
      <c r="F276" t="inlineStr">
        <is>
          <t>SÖDERMANLANDS LÄN</t>
        </is>
      </c>
      <c r="G276" t="inlineStr">
        <is>
          <t>NYKÖPING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45378</v>
      </c>
      <c r="E277" s="1" t="n">
        <v>46256</v>
      </c>
      <c r="F277" t="inlineStr">
        <is>
          <t>SÖDERMANLANDS LÄN</t>
        </is>
      </c>
      <c r="G277" t="inlineStr">
        <is>
          <t>NYKÖPING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44607</v>
      </c>
      <c r="E278" s="1" t="n">
        <v>46256</v>
      </c>
      <c r="F278" t="inlineStr">
        <is>
          <t>SÖDERMANLANDS LÄN</t>
        </is>
      </c>
      <c r="G278" t="inlineStr">
        <is>
          <t>NYKÖPING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44620</v>
      </c>
      <c r="E279" s="1" t="n">
        <v>46256</v>
      </c>
      <c r="F279" t="inlineStr">
        <is>
          <t>SÖDERMANLANDS LÄN</t>
        </is>
      </c>
      <c r="G279" t="inlineStr">
        <is>
          <t>NYKÖPING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46256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46256</v>
      </c>
      <c r="F281" t="inlineStr">
        <is>
          <t>SÖDERMANLANDS LÄN</t>
        </is>
      </c>
      <c r="G281" t="inlineStr">
        <is>
          <t>NYKÖPING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44995</v>
      </c>
      <c r="E282" s="1" t="n">
        <v>46256</v>
      </c>
      <c r="F282" t="inlineStr">
        <is>
          <t>SÖDERMANLANDS LÄN</t>
        </is>
      </c>
      <c r="G282" t="inlineStr">
        <is>
          <t>NYKÖPING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46256</v>
      </c>
      <c r="F283" t="inlineStr">
        <is>
          <t>SÖDERMANLANDS LÄN</t>
        </is>
      </c>
      <c r="G283" t="inlineStr">
        <is>
          <t>NYKÖPING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46256</v>
      </c>
      <c r="F284" t="inlineStr">
        <is>
          <t>SÖDERMANLANDS LÄN</t>
        </is>
      </c>
      <c r="G284" t="inlineStr">
        <is>
          <t>NYKÖPING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44582</v>
      </c>
      <c r="E285" s="1" t="n">
        <v>46256</v>
      </c>
      <c r="F285" t="inlineStr">
        <is>
          <t>SÖDERMANLANDS LÄN</t>
        </is>
      </c>
      <c r="G285" t="inlineStr">
        <is>
          <t>NYKÖPING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46256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44846</v>
      </c>
      <c r="E287" s="1" t="n">
        <v>46256</v>
      </c>
      <c r="F287" t="inlineStr">
        <is>
          <t>SÖDERMANLANDS LÄN</t>
        </is>
      </c>
      <c r="G287" t="inlineStr">
        <is>
          <t>NYKÖPING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31034-2025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45831</v>
      </c>
      <c r="E288" s="1" t="n">
        <v>46256</v>
      </c>
      <c r="F288" t="inlineStr">
        <is>
          <t>SÖDERMANLANDS LÄN</t>
        </is>
      </c>
      <c r="G288" t="inlineStr">
        <is>
          <t>NYKÖPING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46256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46256</v>
      </c>
      <c r="F290" t="inlineStr">
        <is>
          <t>SÖDERMANLANDS LÄN</t>
        </is>
      </c>
      <c r="G290" t="inlineStr">
        <is>
          <t>NYKÖPING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44634</v>
      </c>
      <c r="E291" s="1" t="n">
        <v>46256</v>
      </c>
      <c r="F291" t="inlineStr">
        <is>
          <t>SÖDERMANLANDS LÄN</t>
        </is>
      </c>
      <c r="G291" t="inlineStr">
        <is>
          <t>NYKÖPING</t>
        </is>
      </c>
      <c r="I291" t="n">
        <v>11.4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46256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22972-2023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46256</v>
      </c>
      <c r="F293" t="inlineStr">
        <is>
          <t>SÖDERMANLANDS LÄN</t>
        </is>
      </c>
      <c r="G293" t="inlineStr">
        <is>
          <t>NYKÖPING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44191-2022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44839</v>
      </c>
      <c r="E294" s="1" t="n">
        <v>46256</v>
      </c>
      <c r="F294" t="inlineStr">
        <is>
          <t>SÖDERMANLANDS LÄN</t>
        </is>
      </c>
      <c r="G294" t="inlineStr">
        <is>
          <t>NYKÖPING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49223-2022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46256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Övriga statliga verk och myndigheter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45037</v>
      </c>
      <c r="E296" s="1" t="n">
        <v>46256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49494-2021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46256</v>
      </c>
      <c r="F297" t="inlineStr">
        <is>
          <t>SÖDERMANLANDS LÄN</t>
        </is>
      </c>
      <c r="G297" t="inlineStr">
        <is>
          <t>NYKÖPING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46256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44957</v>
      </c>
      <c r="E299" s="1" t="n">
        <v>46256</v>
      </c>
      <c r="F299" t="inlineStr">
        <is>
          <t>SÖDERMANLANDS LÄN</t>
        </is>
      </c>
      <c r="G299" t="inlineStr">
        <is>
          <t>NYKÖPING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45672</v>
      </c>
      <c r="E300" s="1" t="n">
        <v>46256</v>
      </c>
      <c r="F300" t="inlineStr">
        <is>
          <t>SÖDERMANLANDS LÄN</t>
        </is>
      </c>
      <c r="G300" t="inlineStr">
        <is>
          <t>NYKÖPING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46256</v>
      </c>
      <c r="F301" t="inlineStr">
        <is>
          <t>SÖDERMANLANDS LÄN</t>
        </is>
      </c>
      <c r="G301" t="inlineStr">
        <is>
          <t>NYKÖPING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44236-2025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46256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45419</v>
      </c>
      <c r="E303" s="1" t="n">
        <v>46256</v>
      </c>
      <c r="F303" t="inlineStr">
        <is>
          <t>SÖDERMANLANDS LÄN</t>
        </is>
      </c>
      <c r="G303" t="inlineStr">
        <is>
          <t>NYKÖPING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46256</v>
      </c>
      <c r="F304" t="inlineStr">
        <is>
          <t>SÖDERMANLANDS LÄN</t>
        </is>
      </c>
      <c r="G304" t="inlineStr">
        <is>
          <t>NYKÖPING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46256</v>
      </c>
      <c r="F305" t="inlineStr">
        <is>
          <t>SÖDERMANLANDS LÄN</t>
        </is>
      </c>
      <c r="G305" t="inlineStr">
        <is>
          <t>NYKÖPING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31922-2025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45834</v>
      </c>
      <c r="E306" s="1" t="n">
        <v>46256</v>
      </c>
      <c r="F306" t="inlineStr">
        <is>
          <t>SÖDERMANLANDS LÄN</t>
        </is>
      </c>
      <c r="G306" t="inlineStr">
        <is>
          <t>NYKÖPING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45044</v>
      </c>
      <c r="E307" s="1" t="n">
        <v>46256</v>
      </c>
      <c r="F307" t="inlineStr">
        <is>
          <t>SÖDERMANLANDS LÄN</t>
        </is>
      </c>
      <c r="G307" t="inlineStr">
        <is>
          <t>NYKÖPING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45424</v>
      </c>
      <c r="E308" s="1" t="n">
        <v>46256</v>
      </c>
      <c r="F308" t="inlineStr">
        <is>
          <t>SÖDERMANLANDS LÄN</t>
        </is>
      </c>
      <c r="G308" t="inlineStr">
        <is>
          <t>NYKÖPING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46256</v>
      </c>
      <c r="F309" t="inlineStr">
        <is>
          <t>SÖDERMANLANDS LÄN</t>
        </is>
      </c>
      <c r="G309" t="inlineStr">
        <is>
          <t>NYKÖPING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45919</v>
      </c>
      <c r="E310" s="1" t="n">
        <v>46256</v>
      </c>
      <c r="F310" t="inlineStr">
        <is>
          <t>SÖDERMANLANDS LÄN</t>
        </is>
      </c>
      <c r="G310" t="inlineStr">
        <is>
          <t>NYKÖPING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45092</v>
      </c>
      <c r="E311" s="1" t="n">
        <v>46256</v>
      </c>
      <c r="F311" t="inlineStr">
        <is>
          <t>SÖDERMANLANDS LÄN</t>
        </is>
      </c>
      <c r="G311" t="inlineStr">
        <is>
          <t>NYKÖPING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46256</v>
      </c>
      <c r="F312" t="inlineStr">
        <is>
          <t>SÖDERMANLANDS LÄN</t>
        </is>
      </c>
      <c r="G312" t="inlineStr">
        <is>
          <t>NYKÖPING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25796-2022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44733</v>
      </c>
      <c r="E313" s="1" t="n">
        <v>46256</v>
      </c>
      <c r="F313" t="inlineStr">
        <is>
          <t>SÖDERMANLANDS LÄN</t>
        </is>
      </c>
      <c r="G313" t="inlineStr">
        <is>
          <t>NYKÖPING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46256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44977</v>
      </c>
      <c r="E315" s="1" t="n">
        <v>46256</v>
      </c>
      <c r="F315" t="inlineStr">
        <is>
          <t>SÖDERMANLANDS LÄN</t>
        </is>
      </c>
      <c r="G315" t="inlineStr">
        <is>
          <t>NYKÖPING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46256</v>
      </c>
      <c r="F316" t="inlineStr">
        <is>
          <t>SÖDERMANLANDS LÄN</t>
        </is>
      </c>
      <c r="G316" t="inlineStr">
        <is>
          <t>NYKÖPING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45443</v>
      </c>
      <c r="E317" s="1" t="n">
        <v>46256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46256</v>
      </c>
      <c r="F318" t="inlineStr">
        <is>
          <t>SÖDERMANLANDS LÄN</t>
        </is>
      </c>
      <c r="G318" t="inlineStr">
        <is>
          <t>NYKÖPING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46256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Kommuner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45027</v>
      </c>
      <c r="E320" s="1" t="n">
        <v>46256</v>
      </c>
      <c r="F320" t="inlineStr">
        <is>
          <t>SÖDERMANLANDS LÄN</t>
        </is>
      </c>
      <c r="G320" t="inlineStr">
        <is>
          <t>NYKÖPING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44990</v>
      </c>
      <c r="E321" s="1" t="n">
        <v>46256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Allmännings- och besparingsskogar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45761</v>
      </c>
      <c r="E322" s="1" t="n">
        <v>46256</v>
      </c>
      <c r="F322" t="inlineStr">
        <is>
          <t>SÖDERMANLANDS LÄN</t>
        </is>
      </c>
      <c r="G322" t="inlineStr">
        <is>
          <t>NYKÖPING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45343</v>
      </c>
      <c r="E323" s="1" t="n">
        <v>46256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44968</v>
      </c>
      <c r="E324" s="1" t="n">
        <v>46256</v>
      </c>
      <c r="F324" t="inlineStr">
        <is>
          <t>SÖDERMANLANDS LÄN</t>
        </is>
      </c>
      <c r="G324" t="inlineStr">
        <is>
          <t>NYKÖPING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45855</v>
      </c>
      <c r="E325" s="1" t="n">
        <v>46256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46256</v>
      </c>
      <c r="F326" t="inlineStr">
        <is>
          <t>SÖDERMANLANDS LÄN</t>
        </is>
      </c>
      <c r="G326" t="inlineStr">
        <is>
          <t>NYKÖPING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44943</v>
      </c>
      <c r="E327" s="1" t="n">
        <v>46256</v>
      </c>
      <c r="F327" t="inlineStr">
        <is>
          <t>SÖDERMANLANDS LÄN</t>
        </is>
      </c>
      <c r="G327" t="inlineStr">
        <is>
          <t>NYKÖPING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31923-2025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45834</v>
      </c>
      <c r="E328" s="1" t="n">
        <v>46256</v>
      </c>
      <c r="F328" t="inlineStr">
        <is>
          <t>SÖDERMANLANDS LÄN</t>
        </is>
      </c>
      <c r="G328" t="inlineStr">
        <is>
          <t>NYKÖPING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46256</v>
      </c>
      <c r="F329" t="inlineStr">
        <is>
          <t>SÖDERMANLANDS LÄN</t>
        </is>
      </c>
      <c r="G329" t="inlineStr">
        <is>
          <t>NYKÖPING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44650</v>
      </c>
      <c r="E330" s="1" t="n">
        <v>46256</v>
      </c>
      <c r="F330" t="inlineStr">
        <is>
          <t>SÖDERMANLANDS LÄN</t>
        </is>
      </c>
      <c r="G330" t="inlineStr">
        <is>
          <t>NYKÖPING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26993-2022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44740</v>
      </c>
      <c r="E331" s="1" t="n">
        <v>46256</v>
      </c>
      <c r="F331" t="inlineStr">
        <is>
          <t>SÖDERMANLANDS LÄN</t>
        </is>
      </c>
      <c r="G331" t="inlineStr">
        <is>
          <t>NYKÖPING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45364</v>
      </c>
      <c r="E332" s="1" t="n">
        <v>46256</v>
      </c>
      <c r="F332" t="inlineStr">
        <is>
          <t>SÖDERMANLANDS LÄN</t>
        </is>
      </c>
      <c r="G332" t="inlineStr">
        <is>
          <t>NYKÖPING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45410</v>
      </c>
      <c r="E333" s="1" t="n">
        <v>46256</v>
      </c>
      <c r="F333" t="inlineStr">
        <is>
          <t>SÖDERMANLANDS LÄN</t>
        </is>
      </c>
      <c r="G333" t="inlineStr">
        <is>
          <t>NYKÖPING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42856-2021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44430</v>
      </c>
      <c r="E334" s="1" t="n">
        <v>46256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46256</v>
      </c>
      <c r="F335" t="inlineStr">
        <is>
          <t>SÖDERMANLANDS LÄN</t>
        </is>
      </c>
      <c r="G335" t="inlineStr">
        <is>
          <t>NYKÖPING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44844</v>
      </c>
      <c r="E336" s="1" t="n">
        <v>46256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45855</v>
      </c>
      <c r="E337" s="1" t="n">
        <v>46256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45146</v>
      </c>
      <c r="E338" s="1" t="n">
        <v>46256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46256</v>
      </c>
      <c r="F339" t="inlineStr">
        <is>
          <t>SÖDERMANLANDS LÄN</t>
        </is>
      </c>
      <c r="G339" t="inlineStr">
        <is>
          <t>NYKÖPING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71115-2021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44537</v>
      </c>
      <c r="E340" s="1" t="n">
        <v>46256</v>
      </c>
      <c r="F340" t="inlineStr">
        <is>
          <t>SÖDERMANLANDS LÄN</t>
        </is>
      </c>
      <c r="G340" t="inlineStr">
        <is>
          <t>NYKÖPING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46256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46256</v>
      </c>
      <c r="F342" t="inlineStr">
        <is>
          <t>SÖDERMANLANDS LÄN</t>
        </is>
      </c>
      <c r="G342" t="inlineStr">
        <is>
          <t>NYKÖPING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45393</v>
      </c>
      <c r="E343" s="1" t="n">
        <v>46256</v>
      </c>
      <c r="F343" t="inlineStr">
        <is>
          <t>SÖDERMANLANDS LÄN</t>
        </is>
      </c>
      <c r="G343" t="inlineStr">
        <is>
          <t>NYKÖPING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46256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32594-2022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44783</v>
      </c>
      <c r="E345" s="1" t="n">
        <v>46256</v>
      </c>
      <c r="F345" t="inlineStr">
        <is>
          <t>SÖDERMANLANDS LÄN</t>
        </is>
      </c>
      <c r="G345" t="inlineStr">
        <is>
          <t>NYKÖPING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46256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Övriga Aktiebolag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46256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Övriga Aktiebolag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43585-2022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44837</v>
      </c>
      <c r="E348" s="1" t="n">
        <v>46256</v>
      </c>
      <c r="F348" t="inlineStr">
        <is>
          <t>SÖDERMANLANDS LÄN</t>
        </is>
      </c>
      <c r="G348" t="inlineStr">
        <is>
          <t>NYKÖPING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46256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56928-2023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46256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Övriga Aktiebolag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45352</v>
      </c>
      <c r="E351" s="1" t="n">
        <v>46256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12149-2023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46256</v>
      </c>
      <c r="F352" t="inlineStr">
        <is>
          <t>SÖDERMANLANDS LÄN</t>
        </is>
      </c>
      <c r="G352" t="inlineStr">
        <is>
          <t>NYKÖPING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44837</v>
      </c>
      <c r="E353" s="1" t="n">
        <v>46256</v>
      </c>
      <c r="F353" t="inlineStr">
        <is>
          <t>SÖDERMANLANDS LÄN</t>
        </is>
      </c>
      <c r="G353" t="inlineStr">
        <is>
          <t>NYKÖPING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43657-2022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44837</v>
      </c>
      <c r="E354" s="1" t="n">
        <v>46256</v>
      </c>
      <c r="F354" t="inlineStr">
        <is>
          <t>SÖDERMANLANDS LÄN</t>
        </is>
      </c>
      <c r="G354" t="inlineStr">
        <is>
          <t>NYKÖPING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44988</v>
      </c>
      <c r="E355" s="1" t="n">
        <v>46256</v>
      </c>
      <c r="F355" t="inlineStr">
        <is>
          <t>SÖDERMANLANDS LÄN</t>
        </is>
      </c>
      <c r="G355" t="inlineStr">
        <is>
          <t>NYKÖPING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45202</v>
      </c>
      <c r="E356" s="1" t="n">
        <v>46256</v>
      </c>
      <c r="F356" t="inlineStr">
        <is>
          <t>SÖDERMANLANDS LÄN</t>
        </is>
      </c>
      <c r="G356" t="inlineStr">
        <is>
          <t>NYKÖPING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68401-2021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44529</v>
      </c>
      <c r="E357" s="1" t="n">
        <v>46256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Övriga Aktiebolag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46256</v>
      </c>
      <c r="F358" t="inlineStr">
        <is>
          <t>SÖDERMANLANDS LÄN</t>
        </is>
      </c>
      <c r="G358" t="inlineStr">
        <is>
          <t>NYKÖPING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45271</v>
      </c>
      <c r="E359" s="1" t="n">
        <v>46256</v>
      </c>
      <c r="F359" t="inlineStr">
        <is>
          <t>SÖDERMANLANDS LÄN</t>
        </is>
      </c>
      <c r="G359" t="inlineStr">
        <is>
          <t>NYKÖPING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45721</v>
      </c>
      <c r="E360" s="1" t="n">
        <v>46256</v>
      </c>
      <c r="F360" t="inlineStr">
        <is>
          <t>SÖDERMANLANDS LÄN</t>
        </is>
      </c>
      <c r="G360" t="inlineStr">
        <is>
          <t>NYKÖPING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52373-2023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46256</v>
      </c>
      <c r="F361" t="inlineStr">
        <is>
          <t>SÖDERMANLANDS LÄN</t>
        </is>
      </c>
      <c r="G361" t="inlineStr">
        <is>
          <t>NYKÖPING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52374-2023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45224</v>
      </c>
      <c r="E362" s="1" t="n">
        <v>46256</v>
      </c>
      <c r="F362" t="inlineStr">
        <is>
          <t>SÖDERMANLANDS LÄN</t>
        </is>
      </c>
      <c r="G362" t="inlineStr">
        <is>
          <t>NYKÖPING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67736-2021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44525</v>
      </c>
      <c r="E363" s="1" t="n">
        <v>46256</v>
      </c>
      <c r="F363" t="inlineStr">
        <is>
          <t>SÖDERMANLANDS LÄN</t>
        </is>
      </c>
      <c r="G363" t="inlineStr">
        <is>
          <t>NYKÖPING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46256</v>
      </c>
      <c r="F364" t="inlineStr">
        <is>
          <t>SÖDERMANLANDS LÄN</t>
        </is>
      </c>
      <c r="G364" t="inlineStr">
        <is>
          <t>NYKÖPING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45349</v>
      </c>
      <c r="E365" s="1" t="n">
        <v>46256</v>
      </c>
      <c r="F365" t="inlineStr">
        <is>
          <t>SÖDERMANLANDS LÄN</t>
        </is>
      </c>
      <c r="G365" t="inlineStr">
        <is>
          <t>NYKÖPING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46256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Kommuner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49613-2025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46256</v>
      </c>
      <c r="F367" t="inlineStr">
        <is>
          <t>SÖDERMANLANDS LÄN</t>
        </is>
      </c>
      <c r="G367" t="inlineStr">
        <is>
          <t>NYKÖPING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72117-2021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44543</v>
      </c>
      <c r="E368" s="1" t="n">
        <v>46256</v>
      </c>
      <c r="F368" t="inlineStr">
        <is>
          <t>SÖDERMANLANDS LÄN</t>
        </is>
      </c>
      <c r="G368" t="inlineStr">
        <is>
          <t>NYKÖPING</t>
        </is>
      </c>
      <c r="I368" t="n">
        <v>14.9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68041-2021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44525</v>
      </c>
      <c r="E369" s="1" t="n">
        <v>46256</v>
      </c>
      <c r="F369" t="inlineStr">
        <is>
          <t>SÖDERMANLANDS LÄN</t>
        </is>
      </c>
      <c r="G369" t="inlineStr">
        <is>
          <t>NYKÖPING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45384</v>
      </c>
      <c r="E370" s="1" t="n">
        <v>46256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46256</v>
      </c>
      <c r="F371" t="inlineStr">
        <is>
          <t>SÖDERMANLANDS LÄN</t>
        </is>
      </c>
      <c r="G371" t="inlineStr">
        <is>
          <t>NYKÖPING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44957</v>
      </c>
      <c r="E372" s="1" t="n">
        <v>46256</v>
      </c>
      <c r="F372" t="inlineStr">
        <is>
          <t>SÖDERMANLANDS LÄN</t>
        </is>
      </c>
      <c r="G372" t="inlineStr">
        <is>
          <t>NYKÖPING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45540</v>
      </c>
      <c r="E373" s="1" t="n">
        <v>46256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46256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41137-2022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44825</v>
      </c>
      <c r="E375" s="1" t="n">
        <v>46256</v>
      </c>
      <c r="F375" t="inlineStr">
        <is>
          <t>SÖDERMANLANDS LÄN</t>
        </is>
      </c>
      <c r="G375" t="inlineStr">
        <is>
          <t>NYKÖPING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6519-2023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44965</v>
      </c>
      <c r="E376" s="1" t="n">
        <v>46256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44578</v>
      </c>
      <c r="E377" s="1" t="n">
        <v>46256</v>
      </c>
      <c r="F377" t="inlineStr">
        <is>
          <t>SÖDERMANLANDS LÄN</t>
        </is>
      </c>
      <c r="G377" t="inlineStr">
        <is>
          <t>NYKÖPING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46256</v>
      </c>
      <c r="F378" t="inlineStr">
        <is>
          <t>SÖDERMANLANDS LÄN</t>
        </is>
      </c>
      <c r="G378" t="inlineStr">
        <is>
          <t>NYKÖPING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46256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Kyrkan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46256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Kyrkan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45900</v>
      </c>
      <c r="E381" s="1" t="n">
        <v>46256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46256</v>
      </c>
      <c r="F382" t="inlineStr">
        <is>
          <t>SÖDERMANLANDS LÄN</t>
        </is>
      </c>
      <c r="G382" t="inlineStr">
        <is>
          <t>NYKÖPING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46256</v>
      </c>
      <c r="F383" t="inlineStr">
        <is>
          <t>SÖDERMANLANDS LÄN</t>
        </is>
      </c>
      <c r="G383" t="inlineStr">
        <is>
          <t>NYKÖPING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51241-2024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46256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Sveaskog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46256</v>
      </c>
      <c r="F385" t="inlineStr">
        <is>
          <t>SÖDERMANLANDS LÄN</t>
        </is>
      </c>
      <c r="G385" t="inlineStr">
        <is>
          <t>NYKÖPING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55312-2021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44475</v>
      </c>
      <c r="E386" s="1" t="n">
        <v>46256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46256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Kommuner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46256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44445</v>
      </c>
      <c r="E389" s="1" t="n">
        <v>46256</v>
      </c>
      <c r="F389" t="inlineStr">
        <is>
          <t>SÖDERMANLANDS LÄN</t>
        </is>
      </c>
      <c r="G389" t="inlineStr">
        <is>
          <t>NYKÖPING</t>
        </is>
      </c>
      <c r="I389" t="n">
        <v>19.1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38149-2024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45545</v>
      </c>
      <c r="E390" s="1" t="n">
        <v>46256</v>
      </c>
      <c r="F390" t="inlineStr">
        <is>
          <t>SÖDERMANLANDS LÄN</t>
        </is>
      </c>
      <c r="G390" t="inlineStr">
        <is>
          <t>NYKÖPING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46256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52572-2025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46256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52585-2025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46256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46256</v>
      </c>
      <c r="F394" t="inlineStr">
        <is>
          <t>SÖDERMANLANDS LÄN</t>
        </is>
      </c>
      <c r="G394" t="inlineStr">
        <is>
          <t>NYKÖPING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45798</v>
      </c>
      <c r="E395" s="1" t="n">
        <v>46256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45842</v>
      </c>
      <c r="E396" s="1" t="n">
        <v>46256</v>
      </c>
      <c r="F396" t="inlineStr">
        <is>
          <t>SÖDERMANLANDS LÄN</t>
        </is>
      </c>
      <c r="G396" t="inlineStr">
        <is>
          <t>NYKÖPING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45161</v>
      </c>
      <c r="E397" s="1" t="n">
        <v>46256</v>
      </c>
      <c r="F397" t="inlineStr">
        <is>
          <t>SÖDERMANLANDS LÄN</t>
        </is>
      </c>
      <c r="G397" t="inlineStr">
        <is>
          <t>NYKÖPING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48709-2022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44859</v>
      </c>
      <c r="E398" s="1" t="n">
        <v>46256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53413-2022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44879</v>
      </c>
      <c r="E399" s="1" t="n">
        <v>46256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45604</v>
      </c>
      <c r="E400" s="1" t="n">
        <v>46256</v>
      </c>
      <c r="F400" t="inlineStr">
        <is>
          <t>SÖDERMANLANDS LÄN</t>
        </is>
      </c>
      <c r="G400" t="inlineStr">
        <is>
          <t>NYKÖPING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46256</v>
      </c>
      <c r="F401" t="inlineStr">
        <is>
          <t>SÖDERMANLANDS LÄN</t>
        </is>
      </c>
      <c r="G401" t="inlineStr">
        <is>
          <t>NYKÖPING</t>
        </is>
      </c>
      <c r="I401" t="n">
        <v>17.8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46256</v>
      </c>
      <c r="F402" t="inlineStr">
        <is>
          <t>SÖDERMANLANDS LÄN</t>
        </is>
      </c>
      <c r="G402" t="inlineStr">
        <is>
          <t>NYKÖPING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44623</v>
      </c>
      <c r="E403" s="1" t="n">
        <v>46256</v>
      </c>
      <c r="F403" t="inlineStr">
        <is>
          <t>SÖDERMANLANDS LÄN</t>
        </is>
      </c>
      <c r="G403" t="inlineStr">
        <is>
          <t>NYKÖPING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45842</v>
      </c>
      <c r="E404" s="1" t="n">
        <v>46256</v>
      </c>
      <c r="F404" t="inlineStr">
        <is>
          <t>SÖDERMANLANDS LÄN</t>
        </is>
      </c>
      <c r="G404" t="inlineStr">
        <is>
          <t>NYKÖPING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33767-2025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46256</v>
      </c>
      <c r="F405" t="inlineStr">
        <is>
          <t>SÖDERMANLANDS LÄN</t>
        </is>
      </c>
      <c r="G405" t="inlineStr">
        <is>
          <t>NYKÖPING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45335</v>
      </c>
      <c r="E406" s="1" t="n">
        <v>46256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13863-2022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44649</v>
      </c>
      <c r="E407" s="1" t="n">
        <v>46256</v>
      </c>
      <c r="F407" t="inlineStr">
        <is>
          <t>SÖDERMANLANDS LÄN</t>
        </is>
      </c>
      <c r="G407" t="inlineStr">
        <is>
          <t>NYKÖPING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27975-2022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44744</v>
      </c>
      <c r="E408" s="1" t="n">
        <v>46256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45315</v>
      </c>
      <c r="E409" s="1" t="n">
        <v>46256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Kyrkan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45844</v>
      </c>
      <c r="E410" s="1" t="n">
        <v>46256</v>
      </c>
      <c r="F410" t="inlineStr">
        <is>
          <t>SÖDERMANLANDS LÄN</t>
        </is>
      </c>
      <c r="G410" t="inlineStr">
        <is>
          <t>NYKÖPING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17315-2024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45414</v>
      </c>
      <c r="E411" s="1" t="n">
        <v>46256</v>
      </c>
      <c r="F411" t="inlineStr">
        <is>
          <t>SÖDERMANLANDS LÄN</t>
        </is>
      </c>
      <c r="G411" t="inlineStr">
        <is>
          <t>NYKÖPING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46256</v>
      </c>
      <c r="F412" t="inlineStr">
        <is>
          <t>SÖDERMANLANDS LÄN</t>
        </is>
      </c>
      <c r="G412" t="inlineStr">
        <is>
          <t>NYKÖPING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51244-2024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46256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46256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45145</v>
      </c>
      <c r="E415" s="1" t="n">
        <v>46256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52546-2023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45218</v>
      </c>
      <c r="E416" s="1" t="n">
        <v>46256</v>
      </c>
      <c r="F416" t="inlineStr">
        <is>
          <t>SÖDERMANLANDS LÄN</t>
        </is>
      </c>
      <c r="G416" t="inlineStr">
        <is>
          <t>NYKÖPING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46256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45160</v>
      </c>
      <c r="E418" s="1" t="n">
        <v>46256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Kommuner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55311-2025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45970</v>
      </c>
      <c r="E419" s="1" t="n">
        <v>46256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9469-2022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44616</v>
      </c>
      <c r="E420" s="1" t="n">
        <v>46256</v>
      </c>
      <c r="F420" t="inlineStr">
        <is>
          <t>SÖDERMANLANDS LÄN</t>
        </is>
      </c>
      <c r="G420" t="inlineStr">
        <is>
          <t>NYKÖPING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45033</v>
      </c>
      <c r="E421" s="1" t="n">
        <v>46256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16.5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44645</v>
      </c>
      <c r="E422" s="1" t="n">
        <v>46256</v>
      </c>
      <c r="F422" t="inlineStr">
        <is>
          <t>SÖDERMANLANDS LÄN</t>
        </is>
      </c>
      <c r="G422" t="inlineStr">
        <is>
          <t>NYKÖPING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53335-2023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45229</v>
      </c>
      <c r="E423" s="1" t="n">
        <v>46256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53374-2021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44468</v>
      </c>
      <c r="E424" s="1" t="n">
        <v>46256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45630</v>
      </c>
      <c r="E425" s="1" t="n">
        <v>46256</v>
      </c>
      <c r="F425" t="inlineStr">
        <is>
          <t>SÖDERMANLANDS LÄN</t>
        </is>
      </c>
      <c r="G425" t="inlineStr">
        <is>
          <t>NYKÖPING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20131-2022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46256</v>
      </c>
      <c r="F426" t="inlineStr">
        <is>
          <t>SÖDERMANLANDS LÄN</t>
        </is>
      </c>
      <c r="G426" t="inlineStr">
        <is>
          <t>NYKÖPING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46256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46256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46256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46256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24631-2022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44727</v>
      </c>
      <c r="E431" s="1" t="n">
        <v>46256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72985-2021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44549</v>
      </c>
      <c r="E432" s="1" t="n">
        <v>46256</v>
      </c>
      <c r="F432" t="inlineStr">
        <is>
          <t>SÖDERMANLANDS LÄN</t>
        </is>
      </c>
      <c r="G432" t="inlineStr">
        <is>
          <t>NYKÖPING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45029</v>
      </c>
      <c r="E433" s="1" t="n">
        <v>46256</v>
      </c>
      <c r="F433" t="inlineStr">
        <is>
          <t>SÖDERMANLANDS LÄN</t>
        </is>
      </c>
      <c r="G433" t="inlineStr">
        <is>
          <t>NYKÖPING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46256</v>
      </c>
      <c r="F434" t="inlineStr">
        <is>
          <t>SÖDERMANLANDS LÄN</t>
        </is>
      </c>
      <c r="G434" t="inlineStr">
        <is>
          <t>NYKÖPING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63882-2023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46256</v>
      </c>
      <c r="F435" t="inlineStr">
        <is>
          <t>SÖDERMANLANDS LÄN</t>
        </is>
      </c>
      <c r="G435" t="inlineStr">
        <is>
          <t>NYKÖPING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45061</v>
      </c>
      <c r="E436" s="1" t="n">
        <v>46256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46256</v>
      </c>
      <c r="F437" t="inlineStr">
        <is>
          <t>SÖDERMANLANDS LÄN</t>
        </is>
      </c>
      <c r="G437" t="inlineStr">
        <is>
          <t>NYKÖPING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45518</v>
      </c>
      <c r="E438" s="1" t="n">
        <v>46256</v>
      </c>
      <c r="F438" t="inlineStr">
        <is>
          <t>SÖDERMANLANDS LÄN</t>
        </is>
      </c>
      <c r="G438" t="inlineStr">
        <is>
          <t>NYKÖPING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44579</v>
      </c>
      <c r="E439" s="1" t="n">
        <v>46256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59159-2022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44896</v>
      </c>
      <c r="E440" s="1" t="n">
        <v>46256</v>
      </c>
      <c r="F440" t="inlineStr">
        <is>
          <t>SÖDERMANLANDS LÄN</t>
        </is>
      </c>
      <c r="G440" t="inlineStr">
        <is>
          <t>NYKÖPING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46256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45461</v>
      </c>
      <c r="E442" s="1" t="n">
        <v>46256</v>
      </c>
      <c r="F442" t="inlineStr">
        <is>
          <t>SÖDERMANLANDS LÄN</t>
        </is>
      </c>
      <c r="G442" t="inlineStr">
        <is>
          <t>NYKÖPING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65923-2021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44517</v>
      </c>
      <c r="E443" s="1" t="n">
        <v>46256</v>
      </c>
      <c r="F443" t="inlineStr">
        <is>
          <t>SÖDERMANLANDS LÄN</t>
        </is>
      </c>
      <c r="G443" t="inlineStr">
        <is>
          <t>NYKÖPING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57937-2025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46256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46256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46256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Kommuner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45149</v>
      </c>
      <c r="E447" s="1" t="n">
        <v>46256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Kommuner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46256</v>
      </c>
      <c r="F448" t="inlineStr">
        <is>
          <t>SÖDERMANLANDS LÄN</t>
        </is>
      </c>
      <c r="G448" t="inlineStr">
        <is>
          <t>NYKÖPING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46256</v>
      </c>
      <c r="F449" t="inlineStr">
        <is>
          <t>SÖDERMANLANDS LÄN</t>
        </is>
      </c>
      <c r="G449" t="inlineStr">
        <is>
          <t>NYKÖPING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17832-2024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45418</v>
      </c>
      <c r="E450" s="1" t="n">
        <v>46256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Kommuner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51243-2024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46256</v>
      </c>
      <c r="F451" t="inlineStr">
        <is>
          <t>SÖDERMANLANDS LÄN</t>
        </is>
      </c>
      <c r="G451" t="inlineStr">
        <is>
          <t>NYKÖPING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55506-2021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44475</v>
      </c>
      <c r="E452" s="1" t="n">
        <v>46256</v>
      </c>
      <c r="F452" t="inlineStr">
        <is>
          <t>SÖDERMANLANDS LÄN</t>
        </is>
      </c>
      <c r="G452" t="inlineStr">
        <is>
          <t>NYKÖPING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44830</v>
      </c>
      <c r="E453" s="1" t="n">
        <v>46256</v>
      </c>
      <c r="F453" t="inlineStr">
        <is>
          <t>SÖDERMANLANDS LÄN</t>
        </is>
      </c>
      <c r="G453" t="inlineStr">
        <is>
          <t>NYKÖPING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46256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13763-2025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46256</v>
      </c>
      <c r="F455" t="inlineStr">
        <is>
          <t>SÖDERMANLANDS LÄN</t>
        </is>
      </c>
      <c r="G455" t="inlineStr">
        <is>
          <t>NYKÖPING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52068-2023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45216</v>
      </c>
      <c r="E456" s="1" t="n">
        <v>46256</v>
      </c>
      <c r="F456" t="inlineStr">
        <is>
          <t>SÖDERMANLANDS LÄN</t>
        </is>
      </c>
      <c r="G456" t="inlineStr">
        <is>
          <t>NYKÖPING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44579</v>
      </c>
      <c r="E457" s="1" t="n">
        <v>46256</v>
      </c>
      <c r="F457" t="inlineStr">
        <is>
          <t>SÖDERMANLANDS LÄN</t>
        </is>
      </c>
      <c r="G457" t="inlineStr">
        <is>
          <t>NYKÖPING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14930-2024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45398</v>
      </c>
      <c r="E458" s="1" t="n">
        <v>46256</v>
      </c>
      <c r="F458" t="inlineStr">
        <is>
          <t>SÖDERMANLANDS LÄN</t>
        </is>
      </c>
      <c r="G458" t="inlineStr">
        <is>
          <t>NYKÖPING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35019-2023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45143</v>
      </c>
      <c r="E459" s="1" t="n">
        <v>46256</v>
      </c>
      <c r="F459" t="inlineStr">
        <is>
          <t>SÖDERMANLANDS LÄN</t>
        </is>
      </c>
      <c r="G459" t="inlineStr">
        <is>
          <t>NYKÖPING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46256</v>
      </c>
      <c r="F460" t="inlineStr">
        <is>
          <t>SÖDERMANLANDS LÄN</t>
        </is>
      </c>
      <c r="G460" t="inlineStr">
        <is>
          <t>NYKÖPING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44976</v>
      </c>
      <c r="E461" s="1" t="n">
        <v>46256</v>
      </c>
      <c r="F461" t="inlineStr">
        <is>
          <t>SÖDERMANLANDS LÄN</t>
        </is>
      </c>
      <c r="G461" t="inlineStr">
        <is>
          <t>NYKÖPING</t>
        </is>
      </c>
      <c r="I461" t="n">
        <v>11.1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50776-2022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44867</v>
      </c>
      <c r="E462" s="1" t="n">
        <v>46256</v>
      </c>
      <c r="F462" t="inlineStr">
        <is>
          <t>SÖDERMANLANDS LÄN</t>
        </is>
      </c>
      <c r="G462" t="inlineStr">
        <is>
          <t>NYKÖPING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46256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46256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61618-2022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44916</v>
      </c>
      <c r="E465" s="1" t="n">
        <v>46256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46256</v>
      </c>
      <c r="F466" t="inlineStr">
        <is>
          <t>SÖDERMANLANDS LÄN</t>
        </is>
      </c>
      <c r="G466" t="inlineStr">
        <is>
          <t>NYKÖPING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46256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Kommuner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46256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46256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18604-2023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45043</v>
      </c>
      <c r="E470" s="1" t="n">
        <v>46256</v>
      </c>
      <c r="F470" t="inlineStr">
        <is>
          <t>SÖDERMANLANDS LÄN</t>
        </is>
      </c>
      <c r="G470" t="inlineStr">
        <is>
          <t>NYKÖPING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59917-2025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46256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46256</v>
      </c>
      <c r="F472" t="inlineStr">
        <is>
          <t>SÖDERMANLANDS LÄN</t>
        </is>
      </c>
      <c r="G472" t="inlineStr">
        <is>
          <t>NYKÖPING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45329</v>
      </c>
      <c r="E473" s="1" t="n">
        <v>46256</v>
      </c>
      <c r="F473" t="inlineStr">
        <is>
          <t>SÖDERMANLANDS LÄN</t>
        </is>
      </c>
      <c r="G473" t="inlineStr">
        <is>
          <t>NYKÖPING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9386-2024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45359</v>
      </c>
      <c r="E474" s="1" t="n">
        <v>46256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46256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Allmännings- och besparingsskogar</t>
        </is>
      </c>
      <c r="I475" t="n">
        <v>13.5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46256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45348</v>
      </c>
      <c r="E477" s="1" t="n">
        <v>46256</v>
      </c>
      <c r="F477" t="inlineStr">
        <is>
          <t>SÖDERMANLANDS LÄN</t>
        </is>
      </c>
      <c r="G477" t="inlineStr">
        <is>
          <t>NYKÖPING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45999</v>
      </c>
      <c r="E478" s="1" t="n">
        <v>46256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Allmännings- och besparingsskogar</t>
        </is>
      </c>
      <c r="I478" t="n">
        <v>10.6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45327</v>
      </c>
      <c r="E479" s="1" t="n">
        <v>46256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38155-2022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44812</v>
      </c>
      <c r="E480" s="1" t="n">
        <v>46256</v>
      </c>
      <c r="F480" t="inlineStr">
        <is>
          <t>SÖDERMANLANDS LÄN</t>
        </is>
      </c>
      <c r="G480" t="inlineStr">
        <is>
          <t>NYKÖPING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46256</v>
      </c>
      <c r="F481" t="inlineStr">
        <is>
          <t>SÖDERMANLANDS LÄN</t>
        </is>
      </c>
      <c r="G481" t="inlineStr">
        <is>
          <t>NYKÖPING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46256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43359-2021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44432</v>
      </c>
      <c r="E483" s="1" t="n">
        <v>46256</v>
      </c>
      <c r="F483" t="inlineStr">
        <is>
          <t>SÖDERMANLANDS LÄN</t>
        </is>
      </c>
      <c r="G483" t="inlineStr">
        <is>
          <t>NYKÖPING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46256</v>
      </c>
      <c r="F484" t="inlineStr">
        <is>
          <t>SÖDERMANLANDS LÄN</t>
        </is>
      </c>
      <c r="G484" t="inlineStr">
        <is>
          <t>NYKÖPING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64159-2021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44510</v>
      </c>
      <c r="E485" s="1" t="n">
        <v>46256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46256</v>
      </c>
      <c r="F486" t="inlineStr">
        <is>
          <t>SÖDERMANLANDS LÄN</t>
        </is>
      </c>
      <c r="G486" t="inlineStr">
        <is>
          <t>NYKÖPING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17234-2022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44678</v>
      </c>
      <c r="E487" s="1" t="n">
        <v>46256</v>
      </c>
      <c r="F487" t="inlineStr">
        <is>
          <t>SÖDERMANLANDS LÄN</t>
        </is>
      </c>
      <c r="G487" t="inlineStr">
        <is>
          <t>NYKÖPING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38317-2022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44812</v>
      </c>
      <c r="E488" s="1" t="n">
        <v>46256</v>
      </c>
      <c r="F488" t="inlineStr">
        <is>
          <t>SÖDERMANLANDS LÄN</t>
        </is>
      </c>
      <c r="G488" t="inlineStr">
        <is>
          <t>NYKÖPING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12887-2025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46256</v>
      </c>
      <c r="F489" t="inlineStr">
        <is>
          <t>SÖDERMANLANDS LÄN</t>
        </is>
      </c>
      <c r="G489" t="inlineStr">
        <is>
          <t>NYKÖPING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45630</v>
      </c>
      <c r="E490" s="1" t="n">
        <v>46256</v>
      </c>
      <c r="F490" t="inlineStr">
        <is>
          <t>SÖDERMANLANDS LÄN</t>
        </is>
      </c>
      <c r="G490" t="inlineStr">
        <is>
          <t>NYKÖPING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45008</v>
      </c>
      <c r="E491" s="1" t="n">
        <v>46256</v>
      </c>
      <c r="F491" t="inlineStr">
        <is>
          <t>SÖDERMANLANDS LÄN</t>
        </is>
      </c>
      <c r="G491" t="inlineStr">
        <is>
          <t>NYKÖPING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46003</v>
      </c>
      <c r="E492" s="1" t="n">
        <v>46256</v>
      </c>
      <c r="F492" t="inlineStr">
        <is>
          <t>SÖDERMANLANDS LÄN</t>
        </is>
      </c>
      <c r="G492" t="inlineStr">
        <is>
          <t>NYKÖPING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44579</v>
      </c>
      <c r="E493" s="1" t="n">
        <v>46256</v>
      </c>
      <c r="F493" t="inlineStr">
        <is>
          <t>SÖDERMANLANDS LÄN</t>
        </is>
      </c>
      <c r="G493" t="inlineStr">
        <is>
          <t>NYKÖPING</t>
        </is>
      </c>
      <c r="I493" t="n">
        <v>10.8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45860</v>
      </c>
      <c r="E494" s="1" t="n">
        <v>46256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45705</v>
      </c>
      <c r="E495" s="1" t="n">
        <v>46256</v>
      </c>
      <c r="F495" t="inlineStr">
        <is>
          <t>SÖDERMANLANDS LÄN</t>
        </is>
      </c>
      <c r="G495" t="inlineStr">
        <is>
          <t>NYKÖPING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46256</v>
      </c>
      <c r="F496" t="inlineStr">
        <is>
          <t>SÖDERMANLANDS LÄN</t>
        </is>
      </c>
      <c r="G496" t="inlineStr">
        <is>
          <t>NYKÖPING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43306-2023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45183</v>
      </c>
      <c r="E497" s="1" t="n">
        <v>46256</v>
      </c>
      <c r="F497" t="inlineStr">
        <is>
          <t>SÖDERMANLANDS LÄN</t>
        </is>
      </c>
      <c r="G497" t="inlineStr">
        <is>
          <t>NYKÖPING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46256</v>
      </c>
      <c r="F498" t="inlineStr">
        <is>
          <t>SÖDERMANLANDS LÄN</t>
        </is>
      </c>
      <c r="G498" t="inlineStr">
        <is>
          <t>NYKÖPING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62492-2025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46007</v>
      </c>
      <c r="E499" s="1" t="n">
        <v>46256</v>
      </c>
      <c r="F499" t="inlineStr">
        <is>
          <t>SÖDERMANLANDS LÄN</t>
        </is>
      </c>
      <c r="G499" t="inlineStr">
        <is>
          <t>NYKÖPING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46256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46256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46256</v>
      </c>
      <c r="F502" t="inlineStr">
        <is>
          <t>SÖDERMANLANDS LÄN</t>
        </is>
      </c>
      <c r="G502" t="inlineStr">
        <is>
          <t>NYKÖPING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44783</v>
      </c>
      <c r="E503" s="1" t="n">
        <v>46256</v>
      </c>
      <c r="F503" t="inlineStr">
        <is>
          <t>SÖDERMANLANDS LÄN</t>
        </is>
      </c>
      <c r="G503" t="inlineStr">
        <is>
          <t>NYKÖPING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48484-2022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44858</v>
      </c>
      <c r="E504" s="1" t="n">
        <v>46256</v>
      </c>
      <c r="F504" t="inlineStr">
        <is>
          <t>SÖDERMANLANDS LÄN</t>
        </is>
      </c>
      <c r="G504" t="inlineStr">
        <is>
          <t>NYKÖPING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45379</v>
      </c>
      <c r="E505" s="1" t="n">
        <v>46256</v>
      </c>
      <c r="F505" t="inlineStr">
        <is>
          <t>SÖDERMANLANDS LÄN</t>
        </is>
      </c>
      <c r="G505" t="inlineStr">
        <is>
          <t>NYKÖPING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44810</v>
      </c>
      <c r="E506" s="1" t="n">
        <v>46256</v>
      </c>
      <c r="F506" t="inlineStr">
        <is>
          <t>SÖDERMANLANDS LÄN</t>
        </is>
      </c>
      <c r="G506" t="inlineStr">
        <is>
          <t>NYKÖPING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44942</v>
      </c>
      <c r="E507" s="1" t="n">
        <v>46256</v>
      </c>
      <c r="F507" t="inlineStr">
        <is>
          <t>SÖDERMANLANDS LÄN</t>
        </is>
      </c>
      <c r="G507" t="inlineStr">
        <is>
          <t>NYKÖPING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46256</v>
      </c>
      <c r="F508" t="inlineStr">
        <is>
          <t>SÖDERMANLANDS LÄN</t>
        </is>
      </c>
      <c r="G508" t="inlineStr">
        <is>
          <t>NYKÖPING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45056</v>
      </c>
      <c r="E509" s="1" t="n">
        <v>46256</v>
      </c>
      <c r="F509" t="inlineStr">
        <is>
          <t>SÖDERMANLANDS LÄN</t>
        </is>
      </c>
      <c r="G509" t="inlineStr">
        <is>
          <t>NYKÖPING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63322-2025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46256</v>
      </c>
      <c r="F510" t="inlineStr">
        <is>
          <t>SÖDERMANLANDS LÄN</t>
        </is>
      </c>
      <c r="G510" t="inlineStr">
        <is>
          <t>NYKÖPING</t>
        </is>
      </c>
      <c r="I510" t="n">
        <v>21.2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46256</v>
      </c>
      <c r="F511" t="inlineStr">
        <is>
          <t>SÖDERMANLANDS LÄN</t>
        </is>
      </c>
      <c r="G511" t="inlineStr">
        <is>
          <t>NYKÖPING</t>
        </is>
      </c>
      <c r="I511" t="n">
        <v>7.9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42858-2021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44430</v>
      </c>
      <c r="E512" s="1" t="n">
        <v>46256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9842-2022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44620</v>
      </c>
      <c r="E513" s="1" t="n">
        <v>46256</v>
      </c>
      <c r="F513" t="inlineStr">
        <is>
          <t>SÖDERMANLANDS LÄN</t>
        </is>
      </c>
      <c r="G513" t="inlineStr">
        <is>
          <t>NYKÖPING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44944</v>
      </c>
      <c r="E514" s="1" t="n">
        <v>46256</v>
      </c>
      <c r="F514" t="inlineStr">
        <is>
          <t>SÖDERMANLANDS LÄN</t>
        </is>
      </c>
      <c r="G514" t="inlineStr">
        <is>
          <t>NYKÖPING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44911</v>
      </c>
      <c r="E515" s="1" t="n">
        <v>46256</v>
      </c>
      <c r="F515" t="inlineStr">
        <is>
          <t>SÖDERMANLANDS LÄN</t>
        </is>
      </c>
      <c r="G515" t="inlineStr">
        <is>
          <t>NYKÖPING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45005</v>
      </c>
      <c r="E516" s="1" t="n">
        <v>46256</v>
      </c>
      <c r="F516" t="inlineStr">
        <is>
          <t>SÖDERMANLANDS LÄN</t>
        </is>
      </c>
      <c r="G516" t="inlineStr">
        <is>
          <t>NYKÖPING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12800-2023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46256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69244-2021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44530</v>
      </c>
      <c r="E518" s="1" t="n">
        <v>46256</v>
      </c>
      <c r="F518" t="inlineStr">
        <is>
          <t>SÖDERMANLANDS LÄN</t>
        </is>
      </c>
      <c r="G518" t="inlineStr">
        <is>
          <t>NYKÖPING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45730</v>
      </c>
      <c r="E519" s="1" t="n">
        <v>46256</v>
      </c>
      <c r="F519" t="inlineStr">
        <is>
          <t>SÖDERMANLANDS LÄN</t>
        </is>
      </c>
      <c r="G519" t="inlineStr">
        <is>
          <t>NYKÖPING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46256</v>
      </c>
      <c r="F520" t="inlineStr">
        <is>
          <t>SÖDERMANLANDS LÄN</t>
        </is>
      </c>
      <c r="G520" t="inlineStr">
        <is>
          <t>NYKÖPING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46256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37907-2022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44811</v>
      </c>
      <c r="E522" s="1" t="n">
        <v>46256</v>
      </c>
      <c r="F522" t="inlineStr">
        <is>
          <t>SÖDERMANLANDS LÄN</t>
        </is>
      </c>
      <c r="G522" t="inlineStr">
        <is>
          <t>NYKÖPING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37911-2022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44810</v>
      </c>
      <c r="E523" s="1" t="n">
        <v>46256</v>
      </c>
      <c r="F523" t="inlineStr">
        <is>
          <t>SÖDERMANLANDS LÄN</t>
        </is>
      </c>
      <c r="G523" t="inlineStr">
        <is>
          <t>NYKÖPING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46256</v>
      </c>
      <c r="F524" t="inlineStr">
        <is>
          <t>SÖDERMANLANDS LÄN</t>
        </is>
      </c>
      <c r="G524" t="inlineStr">
        <is>
          <t>NYKÖPING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46256</v>
      </c>
      <c r="F525" t="inlineStr">
        <is>
          <t>SÖDERMANLANDS LÄN</t>
        </is>
      </c>
      <c r="G525" t="inlineStr">
        <is>
          <t>NYKÖPING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31392-2022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44774</v>
      </c>
      <c r="E526" s="1" t="n">
        <v>46256</v>
      </c>
      <c r="F526" t="inlineStr">
        <is>
          <t>SÖDERMANLANDS LÄN</t>
        </is>
      </c>
      <c r="G526" t="inlineStr">
        <is>
          <t>NYKÖPING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46256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46256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44790</v>
      </c>
      <c r="E529" s="1" t="n">
        <v>46256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39120-2022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44817</v>
      </c>
      <c r="E530" s="1" t="n">
        <v>46256</v>
      </c>
      <c r="F530" t="inlineStr">
        <is>
          <t>SÖDERMANLANDS LÄN</t>
        </is>
      </c>
      <c r="G530" t="inlineStr">
        <is>
          <t>NYKÖPING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42249-2022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44830</v>
      </c>
      <c r="E531" s="1" t="n">
        <v>46256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46256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46256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44965</v>
      </c>
      <c r="E534" s="1" t="n">
        <v>46256</v>
      </c>
      <c r="F534" t="inlineStr">
        <is>
          <t>SÖDERMANLANDS LÄN</t>
        </is>
      </c>
      <c r="G534" t="inlineStr">
        <is>
          <t>NYKÖPING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45069</v>
      </c>
      <c r="E535" s="1" t="n">
        <v>46256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46256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46256</v>
      </c>
      <c r="F537" t="inlineStr">
        <is>
          <t>SÖDERMANLANDS LÄN</t>
        </is>
      </c>
      <c r="G537" t="inlineStr">
        <is>
          <t>NYKÖPING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27563-2024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45474</v>
      </c>
      <c r="E538" s="1" t="n">
        <v>46256</v>
      </c>
      <c r="F538" t="inlineStr">
        <is>
          <t>SÖDERMANLANDS LÄN</t>
        </is>
      </c>
      <c r="G538" t="inlineStr">
        <is>
          <t>NYKÖPING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56228-2024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45624</v>
      </c>
      <c r="E539" s="1" t="n">
        <v>46256</v>
      </c>
      <c r="F539" t="inlineStr">
        <is>
          <t>SÖDERMANLANDS LÄN</t>
        </is>
      </c>
      <c r="G539" t="inlineStr">
        <is>
          <t>NYKÖPING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46036</v>
      </c>
      <c r="E540" s="1" t="n">
        <v>46256</v>
      </c>
      <c r="F540" t="inlineStr">
        <is>
          <t>SÖDERMANLANDS LÄN</t>
        </is>
      </c>
      <c r="G540" t="inlineStr">
        <is>
          <t>NYKÖPING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2223-2026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46256</v>
      </c>
      <c r="F541" t="inlineStr">
        <is>
          <t>SÖDERMANLANDS LÄN</t>
        </is>
      </c>
      <c r="G541" t="inlineStr">
        <is>
          <t>NYKÖPING</t>
        </is>
      </c>
      <c r="I541" t="n">
        <v>11.7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46256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44992</v>
      </c>
      <c r="E543" s="1" t="n">
        <v>46256</v>
      </c>
      <c r="F543" t="inlineStr">
        <is>
          <t>SÖDERMANLANDS LÄN</t>
        </is>
      </c>
      <c r="G543" t="inlineStr">
        <is>
          <t>NYKÖPING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12139-2025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45729</v>
      </c>
      <c r="E544" s="1" t="n">
        <v>46256</v>
      </c>
      <c r="F544" t="inlineStr">
        <is>
          <t>SÖDERMANLANDS LÄN</t>
        </is>
      </c>
      <c r="G544" t="inlineStr">
        <is>
          <t>NYKÖPING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12140-2025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45729</v>
      </c>
      <c r="E545" s="1" t="n">
        <v>46256</v>
      </c>
      <c r="F545" t="inlineStr">
        <is>
          <t>SÖDERMANLANDS LÄN</t>
        </is>
      </c>
      <c r="G545" t="inlineStr">
        <is>
          <t>NYKÖPING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46256</v>
      </c>
      <c r="F546" t="inlineStr">
        <is>
          <t>SÖDERMANLANDS LÄN</t>
        </is>
      </c>
      <c r="G546" t="inlineStr">
        <is>
          <t>NYKÖPING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44798</v>
      </c>
      <c r="E547" s="1" t="n">
        <v>46256</v>
      </c>
      <c r="F547" t="inlineStr">
        <is>
          <t>SÖDERMANLANDS LÄN</t>
        </is>
      </c>
      <c r="G547" t="inlineStr">
        <is>
          <t>NYKÖPING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24798-2022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44728</v>
      </c>
      <c r="E548" s="1" t="n">
        <v>46256</v>
      </c>
      <c r="F548" t="inlineStr">
        <is>
          <t>SÖDERMANLANDS LÄN</t>
        </is>
      </c>
      <c r="G548" t="inlineStr">
        <is>
          <t>NYKÖPING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44890</v>
      </c>
      <c r="E549" s="1" t="n">
        <v>46256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Övriga Aktiebolag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2598-2025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45674</v>
      </c>
      <c r="E550" s="1" t="n">
        <v>46256</v>
      </c>
      <c r="F550" t="inlineStr">
        <is>
          <t>SÖDERMANLANDS LÄN</t>
        </is>
      </c>
      <c r="G550" t="inlineStr">
        <is>
          <t>NYKÖPING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35532-2022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44799</v>
      </c>
      <c r="E551" s="1" t="n">
        <v>46256</v>
      </c>
      <c r="F551" t="inlineStr">
        <is>
          <t>SÖDERMANLANDS LÄN</t>
        </is>
      </c>
      <c r="G551" t="inlineStr">
        <is>
          <t>NYKÖPING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46041</v>
      </c>
      <c r="E552" s="1" t="n">
        <v>46256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46256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44881</v>
      </c>
      <c r="E554" s="1" t="n">
        <v>46256</v>
      </c>
      <c r="F554" t="inlineStr">
        <is>
          <t>SÖDERMANLANDS LÄN</t>
        </is>
      </c>
      <c r="G554" t="inlineStr">
        <is>
          <t>NYKÖPING</t>
        </is>
      </c>
      <c r="I554" t="n">
        <v>16.2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43952-2022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44838</v>
      </c>
      <c r="E555" s="1" t="n">
        <v>46256</v>
      </c>
      <c r="F555" t="inlineStr">
        <is>
          <t>SÖDERMANLANDS LÄN</t>
        </is>
      </c>
      <c r="G555" t="inlineStr">
        <is>
          <t>NYKÖPING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36015-2023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46256</v>
      </c>
      <c r="F556" t="inlineStr">
        <is>
          <t>SÖDERMANLANDS LÄN</t>
        </is>
      </c>
      <c r="G556" t="inlineStr">
        <is>
          <t>NYKÖPING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68024-2021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44525</v>
      </c>
      <c r="E557" s="1" t="n">
        <v>46256</v>
      </c>
      <c r="F557" t="inlineStr">
        <is>
          <t>SÖDERMANLANDS LÄN</t>
        </is>
      </c>
      <c r="G557" t="inlineStr">
        <is>
          <t>NYKÖPING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68030-2021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44525</v>
      </c>
      <c r="E558" s="1" t="n">
        <v>46256</v>
      </c>
      <c r="F558" t="inlineStr">
        <is>
          <t>SÖDERMANLANDS LÄN</t>
        </is>
      </c>
      <c r="G558" t="inlineStr">
        <is>
          <t>NYKÖPING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45926-2022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44846</v>
      </c>
      <c r="E559" s="1" t="n">
        <v>46256</v>
      </c>
      <c r="F559" t="inlineStr">
        <is>
          <t>SÖDERMANLANDS LÄN</t>
        </is>
      </c>
      <c r="G559" t="inlineStr">
        <is>
          <t>NYKÖPING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46049</v>
      </c>
      <c r="E560" s="1" t="n">
        <v>46256</v>
      </c>
      <c r="F560" t="inlineStr">
        <is>
          <t>SÖDERMANLANDS LÄN</t>
        </is>
      </c>
      <c r="G560" t="inlineStr">
        <is>
          <t>NYKÖPING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51699-2023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45222</v>
      </c>
      <c r="E561" s="1" t="n">
        <v>46256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46049</v>
      </c>
      <c r="E562" s="1" t="n">
        <v>46256</v>
      </c>
      <c r="F562" t="inlineStr">
        <is>
          <t>SÖDERMANLANDS LÄN</t>
        </is>
      </c>
      <c r="G562" t="inlineStr">
        <is>
          <t>NYKÖPING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46049</v>
      </c>
      <c r="E563" s="1" t="n">
        <v>46256</v>
      </c>
      <c r="F563" t="inlineStr">
        <is>
          <t>SÖDERMANLANDS LÄN</t>
        </is>
      </c>
      <c r="G563" t="inlineStr">
        <is>
          <t>NYKÖPING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46049</v>
      </c>
      <c r="E564" s="1" t="n">
        <v>46256</v>
      </c>
      <c r="F564" t="inlineStr">
        <is>
          <t>SÖDERMANLANDS LÄN</t>
        </is>
      </c>
      <c r="G564" t="inlineStr">
        <is>
          <t>NYKÖPING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46256</v>
      </c>
      <c r="F565" t="inlineStr">
        <is>
          <t>SÖDERMANLANDS LÄN</t>
        </is>
      </c>
      <c r="G565" t="inlineStr">
        <is>
          <t>NYKÖPING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44960</v>
      </c>
      <c r="E566" s="1" t="n">
        <v>46256</v>
      </c>
      <c r="F566" t="inlineStr">
        <is>
          <t>SÖDERMANLANDS LÄN</t>
        </is>
      </c>
      <c r="G566" t="inlineStr">
        <is>
          <t>NYKÖPING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44960</v>
      </c>
      <c r="E567" s="1" t="n">
        <v>46256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44575</v>
      </c>
      <c r="E568" s="1" t="n">
        <v>46256</v>
      </c>
      <c r="F568" t="inlineStr">
        <is>
          <t>SÖDERMANLANDS LÄN</t>
        </is>
      </c>
      <c r="G568" t="inlineStr">
        <is>
          <t>NYKÖPING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45721</v>
      </c>
      <c r="E569" s="1" t="n">
        <v>46256</v>
      </c>
      <c r="F569" t="inlineStr">
        <is>
          <t>SÖDERMANLANDS LÄN</t>
        </is>
      </c>
      <c r="G569" t="inlineStr">
        <is>
          <t>NYKÖPING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46256</v>
      </c>
      <c r="F570" t="inlineStr">
        <is>
          <t>SÖDERMANLANDS LÄN</t>
        </is>
      </c>
      <c r="G570" t="inlineStr">
        <is>
          <t>NYKÖPING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46256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Kyrkan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46256</v>
      </c>
      <c r="F572" t="inlineStr">
        <is>
          <t>SÖDERMANLANDS LÄN</t>
        </is>
      </c>
      <c r="G572" t="inlineStr">
        <is>
          <t>NYKÖPING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38394-2024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45546</v>
      </c>
      <c r="E573" s="1" t="n">
        <v>46256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46256</v>
      </c>
      <c r="F574" t="inlineStr">
        <is>
          <t>SÖDERMANLANDS LÄN</t>
        </is>
      </c>
      <c r="G574" t="inlineStr">
        <is>
          <t>NYKÖPING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17460-2026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46120</v>
      </c>
      <c r="E575" s="1" t="n">
        <v>46256</v>
      </c>
      <c r="F575" t="inlineStr">
        <is>
          <t>SÖDERMANLANDS LÄN</t>
        </is>
      </c>
      <c r="G575" t="inlineStr">
        <is>
          <t>NYKÖPING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46169</v>
      </c>
      <c r="E576" s="1" t="n">
        <v>46256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Kyrkan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46256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35458-2023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45146</v>
      </c>
      <c r="E578" s="1" t="n">
        <v>46256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46256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46256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Kommuner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44938</v>
      </c>
      <c r="E581" s="1" t="n">
        <v>46256</v>
      </c>
      <c r="F581" t="inlineStr">
        <is>
          <t>SÖDERMANLANDS LÄN</t>
        </is>
      </c>
      <c r="G581" t="inlineStr">
        <is>
          <t>NYKÖPING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46256</v>
      </c>
      <c r="F582" t="inlineStr">
        <is>
          <t>SÖDERMANLANDS LÄN</t>
        </is>
      </c>
      <c r="G582" t="inlineStr">
        <is>
          <t>NYKÖPING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58650-2025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45986</v>
      </c>
      <c r="E583" s="1" t="n">
        <v>46256</v>
      </c>
      <c r="F583" t="inlineStr">
        <is>
          <t>SÖDERMANLANDS LÄN</t>
        </is>
      </c>
      <c r="G583" t="inlineStr">
        <is>
          <t>NYKÖPING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46256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45855</v>
      </c>
      <c r="E585" s="1" t="n">
        <v>46256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45330</v>
      </c>
      <c r="E586" s="1" t="n">
        <v>46256</v>
      </c>
      <c r="F586" t="inlineStr">
        <is>
          <t>SÖDERMANLANDS LÄN</t>
        </is>
      </c>
      <c r="G586" t="inlineStr">
        <is>
          <t>NYKÖPING</t>
        </is>
      </c>
      <c r="I586" t="n">
        <v>10.9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58653-2025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46256</v>
      </c>
      <c r="F587" t="inlineStr">
        <is>
          <t>SÖDERMANLANDS LÄN</t>
        </is>
      </c>
      <c r="G587" t="inlineStr">
        <is>
          <t>NYKÖPING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46256</v>
      </c>
      <c r="F588" t="inlineStr">
        <is>
          <t>SÖDERMANLANDS LÄN</t>
        </is>
      </c>
      <c r="G588" t="inlineStr">
        <is>
          <t>NYKÖPING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23114-2023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45075</v>
      </c>
      <c r="E589" s="1" t="n">
        <v>46256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Sveaskog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46256</v>
      </c>
      <c r="F590" t="inlineStr">
        <is>
          <t>SÖDERMANLANDS LÄN</t>
        </is>
      </c>
      <c r="G590" t="inlineStr">
        <is>
          <t>NYKÖPING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24280-2022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44725</v>
      </c>
      <c r="E591" s="1" t="n">
        <v>46256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7253-2022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44606</v>
      </c>
      <c r="E592" s="1" t="n">
        <v>46256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Allmännings- och besparingsskogar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67857-2021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44525</v>
      </c>
      <c r="E593" s="1" t="n">
        <v>46256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Sveaskog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45110</v>
      </c>
      <c r="E594" s="1" t="n">
        <v>46256</v>
      </c>
      <c r="F594" t="inlineStr">
        <is>
          <t>SÖDERMANLANDS LÄN</t>
        </is>
      </c>
      <c r="G594" t="inlineStr">
        <is>
          <t>NYKÖPING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46256</v>
      </c>
      <c r="F595" t="inlineStr">
        <is>
          <t>SÖDERMANLANDS LÄN</t>
        </is>
      </c>
      <c r="G595" t="inlineStr">
        <is>
          <t>NYKÖPING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46176</v>
      </c>
      <c r="E596" s="1" t="n">
        <v>46256</v>
      </c>
      <c r="F596" t="inlineStr">
        <is>
          <t>SÖDERMANLANDS LÄN</t>
        </is>
      </c>
      <c r="G596" t="inlineStr">
        <is>
          <t>NYKÖPING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45733</v>
      </c>
      <c r="E597" s="1" t="n">
        <v>46256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18827-2022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44690</v>
      </c>
      <c r="E598" s="1" t="n">
        <v>46256</v>
      </c>
      <c r="F598" t="inlineStr">
        <is>
          <t>SÖDERMANLANDS LÄN</t>
        </is>
      </c>
      <c r="G598" t="inlineStr">
        <is>
          <t>NYKÖPING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44575</v>
      </c>
      <c r="E599" s="1" t="n">
        <v>46256</v>
      </c>
      <c r="F599" t="inlineStr">
        <is>
          <t>SÖDERMANLANDS LÄN</t>
        </is>
      </c>
      <c r="G599" t="inlineStr">
        <is>
          <t>NYKÖPING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44582</v>
      </c>
      <c r="E600" s="1" t="n">
        <v>46256</v>
      </c>
      <c r="F600" t="inlineStr">
        <is>
          <t>SÖDERMANLANDS LÄN</t>
        </is>
      </c>
      <c r="G600" t="inlineStr">
        <is>
          <t>NYKÖPING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53569-2022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44879</v>
      </c>
      <c r="E601" s="1" t="n">
        <v>46256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Övriga Aktiebolag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46256</v>
      </c>
      <c r="F602" t="inlineStr">
        <is>
          <t>SÖDERMANLANDS LÄN</t>
        </is>
      </c>
      <c r="G602" t="inlineStr">
        <is>
          <t>NYKÖPING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46256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27206-2023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45096</v>
      </c>
      <c r="E604" s="1" t="n">
        <v>46256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Övriga Aktiebolag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46222</v>
      </c>
      <c r="E605" s="1" t="n">
        <v>46256</v>
      </c>
      <c r="F605" t="inlineStr">
        <is>
          <t>SÖDERMANLANDS LÄN</t>
        </is>
      </c>
      <c r="G605" t="inlineStr">
        <is>
          <t>NYKÖPING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44958</v>
      </c>
      <c r="E606" s="1" t="n">
        <v>46256</v>
      </c>
      <c r="F606" t="inlineStr">
        <is>
          <t>SÖDERMANLANDS LÄN</t>
        </is>
      </c>
      <c r="G606" t="inlineStr">
        <is>
          <t>NYKÖPING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46256</v>
      </c>
      <c r="F607" t="inlineStr">
        <is>
          <t>SÖDERMANLANDS LÄN</t>
        </is>
      </c>
      <c r="G607" t="inlineStr">
        <is>
          <t>NYKÖPING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46256</v>
      </c>
      <c r="F608" t="inlineStr">
        <is>
          <t>SÖDERMANLANDS LÄN</t>
        </is>
      </c>
      <c r="G608" t="inlineStr">
        <is>
          <t>NYKÖPING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44946</v>
      </c>
      <c r="E609" s="1" t="n">
        <v>46256</v>
      </c>
      <c r="F609" t="inlineStr">
        <is>
          <t>SÖDERMANLANDS LÄN</t>
        </is>
      </c>
      <c r="G609" t="inlineStr">
        <is>
          <t>NYKÖPING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46256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44494</v>
      </c>
      <c r="E611" s="1" t="n">
        <v>46256</v>
      </c>
      <c r="F611" t="inlineStr">
        <is>
          <t>SÖDERMANLANDS LÄN</t>
        </is>
      </c>
      <c r="G611" t="inlineStr">
        <is>
          <t>NYKÖPING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44473-2021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44435</v>
      </c>
      <c r="E612" s="1" t="n">
        <v>46256</v>
      </c>
      <c r="F612" t="inlineStr">
        <is>
          <t>SÖDERMANLANDS LÄN</t>
        </is>
      </c>
      <c r="G612" t="inlineStr">
        <is>
          <t>NYKÖPING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30855-2023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45110</v>
      </c>
      <c r="E613" s="1" t="n">
        <v>46256</v>
      </c>
      <c r="F613" t="inlineStr">
        <is>
          <t>SÖDERMANLANDS LÄN</t>
        </is>
      </c>
      <c r="G613" t="inlineStr">
        <is>
          <t>NYKÖPING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42971-2021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44430</v>
      </c>
      <c r="E614" s="1" t="n">
        <v>46256</v>
      </c>
      <c r="F614" t="inlineStr">
        <is>
          <t>SÖDERMANLANDS LÄN</t>
        </is>
      </c>
      <c r="G614" t="inlineStr">
        <is>
          <t>NYKÖPING</t>
        </is>
      </c>
      <c r="I614" t="n">
        <v>9.4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46256</v>
      </c>
      <c r="F615" t="inlineStr">
        <is>
          <t>SÖDERMANLANDS LÄN</t>
        </is>
      </c>
      <c r="G615" t="inlineStr">
        <is>
          <t>NYKÖPING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50156-2021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44456</v>
      </c>
      <c r="E616" s="1" t="n">
        <v>46256</v>
      </c>
      <c r="F616" t="inlineStr">
        <is>
          <t>SÖDERMANLANDS LÄN</t>
        </is>
      </c>
      <c r="G616" t="inlineStr">
        <is>
          <t>NYKÖPING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45170</v>
      </c>
      <c r="E617" s="1" t="n">
        <v>46256</v>
      </c>
      <c r="F617" t="inlineStr">
        <is>
          <t>SÖDERMANLANDS LÄN</t>
        </is>
      </c>
      <c r="G617" t="inlineStr">
        <is>
          <t>NYKÖPING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58281-2022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44901</v>
      </c>
      <c r="E618" s="1" t="n">
        <v>46256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46256</v>
      </c>
      <c r="F619" t="inlineStr">
        <is>
          <t>SÖDERMANLANDS LÄN</t>
        </is>
      </c>
      <c r="G619" t="inlineStr">
        <is>
          <t>NYKÖPING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45762</v>
      </c>
      <c r="E620" s="1" t="n">
        <v>46256</v>
      </c>
      <c r="F620" t="inlineStr">
        <is>
          <t>SÖDERMANLANDS LÄN</t>
        </is>
      </c>
      <c r="G620" t="inlineStr">
        <is>
          <t>NYKÖPING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46131</v>
      </c>
      <c r="E621" s="1" t="n">
        <v>46256</v>
      </c>
      <c r="F621" t="inlineStr">
        <is>
          <t>SÖDERMANLANDS LÄN</t>
        </is>
      </c>
      <c r="G621" t="inlineStr">
        <is>
          <t>NYKÖPING</t>
        </is>
      </c>
      <c r="I621" t="n">
        <v>12.4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46256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Sveaskog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13858-2022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44649</v>
      </c>
      <c r="E623" s="1" t="n">
        <v>46256</v>
      </c>
      <c r="F623" t="inlineStr">
        <is>
          <t>SÖDERMANLANDS LÄN</t>
        </is>
      </c>
      <c r="G623" t="inlineStr">
        <is>
          <t>NYKÖPING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58493-2025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46256</v>
      </c>
      <c r="F624" t="inlineStr">
        <is>
          <t>SÖDERMANLANDS LÄN</t>
        </is>
      </c>
      <c r="G624" t="inlineStr">
        <is>
          <t>NYKÖPING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51725-2021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44462</v>
      </c>
      <c r="E625" s="1" t="n">
        <v>46256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Sveaskog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2668-2023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44944</v>
      </c>
      <c r="E626" s="1" t="n">
        <v>46256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Sveaskog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33653-2024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45520</v>
      </c>
      <c r="E627" s="1" t="n">
        <v>46256</v>
      </c>
      <c r="F627" t="inlineStr">
        <is>
          <t>SÖDERMANLANDS LÄN</t>
        </is>
      </c>
      <c r="G627" t="inlineStr">
        <is>
          <t>NYKÖPING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46256</v>
      </c>
      <c r="F628" t="inlineStr">
        <is>
          <t>SÖDERMANLANDS LÄN</t>
        </is>
      </c>
      <c r="G628" t="inlineStr">
        <is>
          <t>NYKÖPING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46256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61007-2021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44497</v>
      </c>
      <c r="E630" s="1" t="n">
        <v>46256</v>
      </c>
      <c r="F630" t="inlineStr">
        <is>
          <t>SÖDERMANLANDS LÄN</t>
        </is>
      </c>
      <c r="G630" t="inlineStr">
        <is>
          <t>NYKÖPING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26686-2026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46256</v>
      </c>
      <c r="F631" t="inlineStr">
        <is>
          <t>SÖDERMANLANDS LÄN</t>
        </is>
      </c>
      <c r="G631" t="inlineStr">
        <is>
          <t>NYKÖPING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46256</v>
      </c>
      <c r="F632" t="inlineStr">
        <is>
          <t>SÖDERMANLANDS LÄN</t>
        </is>
      </c>
      <c r="G632" t="inlineStr">
        <is>
          <t>NYKÖPING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60512-2021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44496</v>
      </c>
      <c r="E633" s="1" t="n">
        <v>46256</v>
      </c>
      <c r="F633" t="inlineStr">
        <is>
          <t>SÖDERMANLANDS LÄN</t>
        </is>
      </c>
      <c r="G633" t="inlineStr">
        <is>
          <t>NYKÖPING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46228</v>
      </c>
      <c r="E634" s="1" t="n">
        <v>46256</v>
      </c>
      <c r="F634" t="inlineStr">
        <is>
          <t>SÖDERMANLANDS LÄN</t>
        </is>
      </c>
      <c r="G634" t="inlineStr">
        <is>
          <t>NYKÖPING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46256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31424-2022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44774</v>
      </c>
      <c r="E636" s="1" t="n">
        <v>46256</v>
      </c>
      <c r="F636" t="inlineStr">
        <is>
          <t>SÖDERMANLANDS LÄN</t>
        </is>
      </c>
      <c r="G636" t="inlineStr">
        <is>
          <t>NYKÖPING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42368-2024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45564</v>
      </c>
      <c r="E637" s="1" t="n">
        <v>46256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23207-2024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45452</v>
      </c>
      <c r="E638" s="1" t="n">
        <v>46256</v>
      </c>
      <c r="F638" t="inlineStr">
        <is>
          <t>SÖDERMANLANDS LÄN</t>
        </is>
      </c>
      <c r="G638" t="inlineStr">
        <is>
          <t>NYKÖPING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46256</v>
      </c>
      <c r="F639" t="inlineStr">
        <is>
          <t>SÖDERMANLANDS LÄN</t>
        </is>
      </c>
      <c r="G639" t="inlineStr">
        <is>
          <t>NYKÖPING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46256</v>
      </c>
      <c r="F640" t="inlineStr">
        <is>
          <t>SÖDERMANLANDS LÄN</t>
        </is>
      </c>
      <c r="G640" t="inlineStr">
        <is>
          <t>NYKÖPING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46256</v>
      </c>
      <c r="F641" t="inlineStr">
        <is>
          <t>SÖDERMANLANDS LÄN</t>
        </is>
      </c>
      <c r="G641" t="inlineStr">
        <is>
          <t>NYKÖPING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4182-2025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45685</v>
      </c>
      <c r="E642" s="1" t="n">
        <v>46256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4124-2025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45685</v>
      </c>
      <c r="E643" s="1" t="n">
        <v>46256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46256</v>
      </c>
      <c r="F644" t="inlineStr">
        <is>
          <t>SÖDERMANLANDS LÄN</t>
        </is>
      </c>
      <c r="G644" t="inlineStr">
        <is>
          <t>NYKÖPING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45441</v>
      </c>
      <c r="E645" s="1" t="n">
        <v>46256</v>
      </c>
      <c r="F645" t="inlineStr">
        <is>
          <t>SÖDERMANLANDS LÄN</t>
        </is>
      </c>
      <c r="G645" t="inlineStr">
        <is>
          <t>NYKÖPING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36573-2024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45537</v>
      </c>
      <c r="E646" s="1" t="n">
        <v>46256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Kommuner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14402-2026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46256</v>
      </c>
      <c r="F647" t="inlineStr">
        <is>
          <t>SÖDERMANLANDS LÄN</t>
        </is>
      </c>
      <c r="G647" t="inlineStr">
        <is>
          <t>NYKÖPING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45667</v>
      </c>
      <c r="E648" s="1" t="n">
        <v>46256</v>
      </c>
      <c r="F648" t="inlineStr">
        <is>
          <t>SÖDERMANLANDS LÄN</t>
        </is>
      </c>
      <c r="G648" t="inlineStr">
        <is>
          <t>NYKÖPING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46256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14384-2026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46256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32837-2022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44784</v>
      </c>
      <c r="E651" s="1" t="n">
        <v>46256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46234</v>
      </c>
      <c r="E652" s="1" t="n">
        <v>46256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45098</v>
      </c>
      <c r="E653" s="1" t="n">
        <v>46256</v>
      </c>
      <c r="F653" t="inlineStr">
        <is>
          <t>SÖDERMANLANDS LÄN</t>
        </is>
      </c>
      <c r="G653" t="inlineStr">
        <is>
          <t>NYKÖPING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32295-2026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46256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Sveaskog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46256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18918-2023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45044</v>
      </c>
      <c r="E656" s="1" t="n">
        <v>46256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45044</v>
      </c>
      <c r="E657" s="1" t="n">
        <v>46256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24497-2025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45798</v>
      </c>
      <c r="E658" s="1" t="n">
        <v>46256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13027-2024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45385</v>
      </c>
      <c r="E659" s="1" t="n">
        <v>46256</v>
      </c>
      <c r="F659" t="inlineStr">
        <is>
          <t>SÖDERMANLANDS LÄN</t>
        </is>
      </c>
      <c r="G659" t="inlineStr">
        <is>
          <t>NYKÖPING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21142-2023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45062</v>
      </c>
      <c r="E660" s="1" t="n">
        <v>46256</v>
      </c>
      <c r="F660" t="inlineStr">
        <is>
          <t>SÖDERMANLANDS LÄN</t>
        </is>
      </c>
      <c r="G660" t="inlineStr">
        <is>
          <t>NYKÖPING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65231-2023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45289</v>
      </c>
      <c r="E661" s="1" t="n">
        <v>46256</v>
      </c>
      <c r="F661" t="inlineStr">
        <is>
          <t>SÖDERMANLANDS LÄN</t>
        </is>
      </c>
      <c r="G661" t="inlineStr">
        <is>
          <t>NYKÖPING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70749-2021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44536</v>
      </c>
      <c r="E662" s="1" t="n">
        <v>46256</v>
      </c>
      <c r="F662" t="inlineStr">
        <is>
          <t>SÖDERMANLANDS LÄN</t>
        </is>
      </c>
      <c r="G662" t="inlineStr">
        <is>
          <t>NYKÖPING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46256</v>
      </c>
      <c r="F663" t="inlineStr">
        <is>
          <t>SÖDERMANLANDS LÄN</t>
        </is>
      </c>
      <c r="G663" t="inlineStr">
        <is>
          <t>NYKÖPING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29487-2026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46256</v>
      </c>
      <c r="F664" t="inlineStr">
        <is>
          <t>SÖDERMANLANDS LÄN</t>
        </is>
      </c>
      <c r="G664" t="inlineStr">
        <is>
          <t>NYKÖPING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51530-2022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44869</v>
      </c>
      <c r="E665" s="1" t="n">
        <v>46256</v>
      </c>
      <c r="F665" t="inlineStr">
        <is>
          <t>SÖDERMANLANDS LÄN</t>
        </is>
      </c>
      <c r="G665" t="inlineStr">
        <is>
          <t>NYKÖPING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46256</v>
      </c>
      <c r="F666" t="inlineStr">
        <is>
          <t>SÖDERMANLANDS LÄN</t>
        </is>
      </c>
      <c r="G666" t="inlineStr">
        <is>
          <t>NYKÖPING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72679-2021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44546</v>
      </c>
      <c r="E667" s="1" t="n">
        <v>46256</v>
      </c>
      <c r="F667" t="inlineStr">
        <is>
          <t>SÖDERMANLANDS LÄN</t>
        </is>
      </c>
      <c r="G667" t="inlineStr">
        <is>
          <t>NYKÖPING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46256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46256</v>
      </c>
      <c r="F669" t="inlineStr">
        <is>
          <t>SÖDERMANLANDS LÄN</t>
        </is>
      </c>
      <c r="G669" t="inlineStr">
        <is>
          <t>NYKÖPING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56491-2022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44893</v>
      </c>
      <c r="E670" s="1" t="n">
        <v>46256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10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46022-2025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45924</v>
      </c>
      <c r="E671" s="1" t="n">
        <v>46256</v>
      </c>
      <c r="F671" t="inlineStr">
        <is>
          <t>SÖDERMANLANDS LÄN</t>
        </is>
      </c>
      <c r="G671" t="inlineStr">
        <is>
          <t>NYKÖPING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8299-2024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45350</v>
      </c>
      <c r="E672" s="1" t="n">
        <v>46256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46256</v>
      </c>
      <c r="F673" t="inlineStr">
        <is>
          <t>SÖDERMANLANDS LÄN</t>
        </is>
      </c>
      <c r="G673" t="inlineStr">
        <is>
          <t>NYKÖPING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8340-2023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44976</v>
      </c>
      <c r="E674" s="1" t="n">
        <v>46256</v>
      </c>
      <c r="F674" t="inlineStr">
        <is>
          <t>SÖDERMANLANDS LÄN</t>
        </is>
      </c>
      <c r="G674" t="inlineStr">
        <is>
          <t>NYKÖPING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58685-2025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45986</v>
      </c>
      <c r="E675" s="1" t="n">
        <v>46256</v>
      </c>
      <c r="F675" t="inlineStr">
        <is>
          <t>SÖDERMANLANDS LÄN</t>
        </is>
      </c>
      <c r="G675" t="inlineStr">
        <is>
          <t>NYKÖPING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46737-2025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45926</v>
      </c>
      <c r="E676" s="1" t="n">
        <v>46256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50698-2024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46256</v>
      </c>
      <c r="F677" t="inlineStr">
        <is>
          <t>SÖDERMANLANDS LÄN</t>
        </is>
      </c>
      <c r="G677" t="inlineStr">
        <is>
          <t>NYKÖPING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46256</v>
      </c>
      <c r="F678" t="inlineStr">
        <is>
          <t>SÖDERMANLANDS LÄN</t>
        </is>
      </c>
      <c r="G678" t="inlineStr">
        <is>
          <t>NYKÖPING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48459-2021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44452</v>
      </c>
      <c r="E679" s="1" t="n">
        <v>46256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3353-2022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44585</v>
      </c>
      <c r="E680" s="1" t="n">
        <v>46256</v>
      </c>
      <c r="F680" t="inlineStr">
        <is>
          <t>SÖDERMANLANDS LÄN</t>
        </is>
      </c>
      <c r="G680" t="inlineStr">
        <is>
          <t>NYKÖPING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18080-2026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46125</v>
      </c>
      <c r="E681" s="1" t="n">
        <v>46256</v>
      </c>
      <c r="F681" t="inlineStr">
        <is>
          <t>SÖDERMANLANDS LÄN</t>
        </is>
      </c>
      <c r="G681" t="inlineStr">
        <is>
          <t>NYKÖPING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27915-2023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45098</v>
      </c>
      <c r="E682" s="1" t="n">
        <v>46256</v>
      </c>
      <c r="F682" t="inlineStr">
        <is>
          <t>SÖDERMANLANDS LÄN</t>
        </is>
      </c>
      <c r="G682" t="inlineStr">
        <is>
          <t>NYKÖPING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45098</v>
      </c>
      <c r="E683" s="1" t="n">
        <v>46256</v>
      </c>
      <c r="F683" t="inlineStr">
        <is>
          <t>SÖDERMANLANDS LÄN</t>
        </is>
      </c>
      <c r="G683" t="inlineStr">
        <is>
          <t>NYKÖPING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33095-2026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46245</v>
      </c>
      <c r="E684" s="1" t="n">
        <v>46256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5521-2023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44960</v>
      </c>
      <c r="E685" s="1" t="n">
        <v>46256</v>
      </c>
      <c r="F685" t="inlineStr">
        <is>
          <t>SÖDERMANLANDS LÄN</t>
        </is>
      </c>
      <c r="G685" t="inlineStr">
        <is>
          <t>NYKÖPING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10981-2024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45370</v>
      </c>
      <c r="E686" s="1" t="n">
        <v>46256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30198-2022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44757</v>
      </c>
      <c r="E687" s="1" t="n">
        <v>46256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33020-2026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46244</v>
      </c>
      <c r="E688" s="1" t="n">
        <v>46256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42525-2023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45181</v>
      </c>
      <c r="E689" s="1" t="n">
        <v>46256</v>
      </c>
      <c r="F689" t="inlineStr">
        <is>
          <t>SÖDERMANLANDS LÄN</t>
        </is>
      </c>
      <c r="G689" t="inlineStr">
        <is>
          <t>NYKÖPING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45329</v>
      </c>
      <c r="E690" s="1" t="n">
        <v>46256</v>
      </c>
      <c r="F690" t="inlineStr">
        <is>
          <t>SÖDERMANLANDS LÄN</t>
        </is>
      </c>
      <c r="G690" t="inlineStr">
        <is>
          <t>NYKÖPING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46245</v>
      </c>
      <c r="E691" s="1" t="n">
        <v>46256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46245</v>
      </c>
      <c r="E692" s="1" t="n">
        <v>46256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19807-2026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46135</v>
      </c>
      <c r="E693" s="1" t="n">
        <v>46256</v>
      </c>
      <c r="F693" t="inlineStr">
        <is>
          <t>SÖDERMANLANDS LÄN</t>
        </is>
      </c>
      <c r="G693" t="inlineStr">
        <is>
          <t>NYKÖPING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52551-2023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45218</v>
      </c>
      <c r="E694" s="1" t="n">
        <v>46256</v>
      </c>
      <c r="F694" t="inlineStr">
        <is>
          <t>SÖDERMANLANDS LÄN</t>
        </is>
      </c>
      <c r="G694" t="inlineStr">
        <is>
          <t>NYKÖPING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41132-2024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45559</v>
      </c>
      <c r="E695" s="1" t="n">
        <v>46256</v>
      </c>
      <c r="F695" t="inlineStr">
        <is>
          <t>SÖDERMANLANDS LÄN</t>
        </is>
      </c>
      <c r="G695" t="inlineStr">
        <is>
          <t>NYKÖPING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51259-2024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45603</v>
      </c>
      <c r="E696" s="1" t="n">
        <v>46256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54065-2025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45964</v>
      </c>
      <c r="E697" s="1" t="n">
        <v>46256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48819-2021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44452</v>
      </c>
      <c r="E698" s="1" t="n">
        <v>46256</v>
      </c>
      <c r="F698" t="inlineStr">
        <is>
          <t>SÖDERMANLANDS LÄN</t>
        </is>
      </c>
      <c r="G698" t="inlineStr">
        <is>
          <t>NYKÖPING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8324-2024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45350</v>
      </c>
      <c r="E699" s="1" t="n">
        <v>46256</v>
      </c>
      <c r="F699" t="inlineStr">
        <is>
          <t>SÖDERMANLANDS LÄN</t>
        </is>
      </c>
      <c r="G699" t="inlineStr">
        <is>
          <t>NYKÖPING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46247</v>
      </c>
      <c r="E700" s="1" t="n">
        <v>46256</v>
      </c>
      <c r="F700" t="inlineStr">
        <is>
          <t>SÖDERMANLANDS LÄN</t>
        </is>
      </c>
      <c r="G700" t="inlineStr">
        <is>
          <t>NYKÖPING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18551-2024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45425</v>
      </c>
      <c r="E701" s="1" t="n">
        <v>46256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Kommuner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3475-2023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44949</v>
      </c>
      <c r="E702" s="1" t="n">
        <v>46256</v>
      </c>
      <c r="F702" t="inlineStr">
        <is>
          <t>SÖDERMANLANDS LÄN</t>
        </is>
      </c>
      <c r="G702" t="inlineStr">
        <is>
          <t>NYKÖPING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56322-2023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45243</v>
      </c>
      <c r="E703" s="1" t="n">
        <v>46256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Kommuner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21917-2022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44711</v>
      </c>
      <c r="E704" s="1" t="n">
        <v>46256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32875-2022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44784</v>
      </c>
      <c r="E705" s="1" t="n">
        <v>46256</v>
      </c>
      <c r="F705" t="inlineStr">
        <is>
          <t>SÖDERMANLANDS LÄN</t>
        </is>
      </c>
      <c r="G705" t="inlineStr">
        <is>
          <t>NYKÖPING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51689-2021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44462</v>
      </c>
      <c r="E706" s="1" t="n">
        <v>46256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72666-2021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44546</v>
      </c>
      <c r="E707" s="1" t="n">
        <v>46256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46256</v>
      </c>
      <c r="F708" t="inlineStr">
        <is>
          <t>SÖDERMANLANDS LÄN</t>
        </is>
      </c>
      <c r="G708" t="inlineStr">
        <is>
          <t>NYKÖPING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44812</v>
      </c>
      <c r="E709" s="1" t="n">
        <v>46256</v>
      </c>
      <c r="F709" t="inlineStr">
        <is>
          <t>SÖDERMANLANDS LÄN</t>
        </is>
      </c>
      <c r="G709" t="inlineStr">
        <is>
          <t>NYKÖPING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55983-2021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44477</v>
      </c>
      <c r="E710" s="1" t="n">
        <v>46256</v>
      </c>
      <c r="F710" t="inlineStr">
        <is>
          <t>SÖDERMANLANDS LÄN</t>
        </is>
      </c>
      <c r="G710" t="inlineStr">
        <is>
          <t>NYKÖPING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58654-2025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46256</v>
      </c>
      <c r="F711" t="inlineStr">
        <is>
          <t>SÖDERMANLANDS LÄN</t>
        </is>
      </c>
      <c r="G711" t="inlineStr">
        <is>
          <t>NYKÖPING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46256</v>
      </c>
      <c r="F712" t="inlineStr">
        <is>
          <t>SÖDERMANLANDS LÄN</t>
        </is>
      </c>
      <c r="G712" t="inlineStr">
        <is>
          <t>NYKÖPING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44575</v>
      </c>
      <c r="E713" s="1" t="n">
        <v>46256</v>
      </c>
      <c r="F713" t="inlineStr">
        <is>
          <t>SÖDERMANLANDS LÄN</t>
        </is>
      </c>
      <c r="G713" t="inlineStr">
        <is>
          <t>NYKÖPING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28644-2025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45819</v>
      </c>
      <c r="E714" s="1" t="n">
        <v>46256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Sveaskog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45132</v>
      </c>
      <c r="E715" s="1" t="n">
        <v>46256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33670-2023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45132</v>
      </c>
      <c r="E716" s="1" t="n">
        <v>46256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33494-2026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46247</v>
      </c>
      <c r="E717" s="1" t="n">
        <v>46256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45826</v>
      </c>
      <c r="E718" s="1" t="n">
        <v>46256</v>
      </c>
      <c r="F718" t="inlineStr">
        <is>
          <t>SÖDERMANLANDS LÄN</t>
        </is>
      </c>
      <c r="G718" t="inlineStr">
        <is>
          <t>NYKÖPING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44579</v>
      </c>
      <c r="E719" s="1" t="n">
        <v>46256</v>
      </c>
      <c r="F719" t="inlineStr">
        <is>
          <t>SÖDERMANLANDS LÄN</t>
        </is>
      </c>
      <c r="G719" t="inlineStr">
        <is>
          <t>NYKÖPING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52258-2023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45224</v>
      </c>
      <c r="E720" s="1" t="n">
        <v>46256</v>
      </c>
      <c r="F720" t="inlineStr">
        <is>
          <t>SÖDERMANLANDS LÄN</t>
        </is>
      </c>
      <c r="G720" t="inlineStr">
        <is>
          <t>NYKÖPING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34049-2026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46252</v>
      </c>
      <c r="E721" s="1" t="n">
        <v>46256</v>
      </c>
      <c r="F721" t="inlineStr">
        <is>
          <t>SÖDERMANLANDS LÄN</t>
        </is>
      </c>
      <c r="G721" t="inlineStr">
        <is>
          <t>NYKÖPING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46256</v>
      </c>
      <c r="F722" t="inlineStr">
        <is>
          <t>SÖDERMANLANDS LÄN</t>
        </is>
      </c>
      <c r="G722" t="inlineStr">
        <is>
          <t>NYKÖPING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45062</v>
      </c>
      <c r="E723" s="1" t="n">
        <v>46256</v>
      </c>
      <c r="F723" t="inlineStr">
        <is>
          <t>SÖDERMANLANDS LÄN</t>
        </is>
      </c>
      <c r="G723" t="inlineStr">
        <is>
          <t>NYKÖPING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45306</v>
      </c>
      <c r="E724" s="1" t="n">
        <v>46256</v>
      </c>
      <c r="F724" t="inlineStr">
        <is>
          <t>SÖDERMANLANDS LÄN</t>
        </is>
      </c>
      <c r="G724" t="inlineStr">
        <is>
          <t>NYKÖPING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41165-2024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46256</v>
      </c>
      <c r="F725" t="inlineStr">
        <is>
          <t>SÖDERMANLANDS LÄN</t>
        </is>
      </c>
      <c r="G725" t="inlineStr">
        <is>
          <t>NYKÖPING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34161-2026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46253</v>
      </c>
      <c r="E726" s="1" t="n">
        <v>46256</v>
      </c>
      <c r="F726" t="inlineStr">
        <is>
          <t>SÖDERMANLANDS LÄN</t>
        </is>
      </c>
      <c r="G726" t="inlineStr">
        <is>
          <t>NYKÖPING</t>
        </is>
      </c>
      <c r="I726" t="n">
        <v>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28664-2025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45819</v>
      </c>
      <c r="E727" s="1" t="n">
        <v>46256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60210-2022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44910</v>
      </c>
      <c r="E728" s="1" t="n">
        <v>46256</v>
      </c>
      <c r="F728" t="inlineStr">
        <is>
          <t>SÖDERMANLANDS LÄN</t>
        </is>
      </c>
      <c r="G728" t="inlineStr">
        <is>
          <t>NYKÖPING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46240</v>
      </c>
      <c r="E729" s="1" t="n">
        <v>46256</v>
      </c>
      <c r="F729" t="inlineStr">
        <is>
          <t>SÖDERMANLANDS LÄN</t>
        </is>
      </c>
      <c r="G729" t="inlineStr">
        <is>
          <t>NYKÖPING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51410-2022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44869</v>
      </c>
      <c r="E730" s="1" t="n">
        <v>46256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61008-2023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45261</v>
      </c>
      <c r="E731" s="1" t="n">
        <v>46256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44938</v>
      </c>
      <c r="E732" s="1" t="n">
        <v>46256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30695-2026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46211</v>
      </c>
      <c r="E733" s="1" t="n">
        <v>46256</v>
      </c>
      <c r="F733" t="inlineStr">
        <is>
          <t>SÖDERMANLANDS LÄN</t>
        </is>
      </c>
      <c r="G733" t="inlineStr">
        <is>
          <t>NYKÖPING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7807-2025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45706</v>
      </c>
      <c r="E734" s="1" t="n">
        <v>46256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Kyrkan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14848-2024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45398</v>
      </c>
      <c r="E735" s="1" t="n">
        <v>46256</v>
      </c>
      <c r="F735" t="inlineStr">
        <is>
          <t>SÖDERMANLANDS LÄN</t>
        </is>
      </c>
      <c r="G735" t="inlineStr">
        <is>
          <t>NYKÖPING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44575</v>
      </c>
      <c r="E736" s="1" t="n">
        <v>46256</v>
      </c>
      <c r="F736" t="inlineStr">
        <is>
          <t>SÖDERMANLANDS LÄN</t>
        </is>
      </c>
      <c r="G736" t="inlineStr">
        <is>
          <t>NYKÖPING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47390-2025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45930</v>
      </c>
      <c r="E737" s="1" t="n">
        <v>46256</v>
      </c>
      <c r="F737" t="inlineStr">
        <is>
          <t>SÖDERMANLANDS LÄN</t>
        </is>
      </c>
      <c r="G737" t="inlineStr">
        <is>
          <t>NYKÖPING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34169-2026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46253</v>
      </c>
      <c r="E738" s="1" t="n">
        <v>46256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Kyrkan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57028-2024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45628</v>
      </c>
      <c r="E739" s="1" t="n">
        <v>46256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46256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2255-2024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45310</v>
      </c>
      <c r="E741" s="1" t="n">
        <v>46256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14370-2022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44652</v>
      </c>
      <c r="E742" s="1" t="n">
        <v>46256</v>
      </c>
      <c r="F742" t="inlineStr">
        <is>
          <t>SÖDERMANLANDS LÄN</t>
        </is>
      </c>
      <c r="G742" t="inlineStr">
        <is>
          <t>NYKÖPING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44950</v>
      </c>
      <c r="E743" s="1" t="n">
        <v>46256</v>
      </c>
      <c r="F743" t="inlineStr">
        <is>
          <t>SÖDERMANLANDS LÄN</t>
        </is>
      </c>
      <c r="G743" t="inlineStr">
        <is>
          <t>NYKÖPING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8407-2023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44977</v>
      </c>
      <c r="E744" s="1" t="n">
        <v>46256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Övriga Aktiebolag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46256</v>
      </c>
      <c r="F745" t="inlineStr">
        <is>
          <t>SÖDERMANLANDS LÄN</t>
        </is>
      </c>
      <c r="G745" t="inlineStr">
        <is>
          <t>NYKÖPING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44932</v>
      </c>
      <c r="E746" s="1" t="n">
        <v>46256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46256</v>
      </c>
      <c r="F747" t="inlineStr">
        <is>
          <t>SÖDERMANLANDS LÄN</t>
        </is>
      </c>
      <c r="G747" t="inlineStr">
        <is>
          <t>NYKÖPING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41241-2023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45173</v>
      </c>
      <c r="E748" s="1" t="n">
        <v>46256</v>
      </c>
      <c r="F748" t="inlineStr">
        <is>
          <t>SÖDERMANLANDS LÄN</t>
        </is>
      </c>
      <c r="G748" t="inlineStr">
        <is>
          <t>NYKÖPING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53800-2022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44880</v>
      </c>
      <c r="E749" s="1" t="n">
        <v>46256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Övriga Aktiebolag</t>
        </is>
      </c>
      <c r="I749" t="n">
        <v>7.4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18123-2023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45040</v>
      </c>
      <c r="E750" s="1" t="n">
        <v>46256</v>
      </c>
      <c r="F750" t="inlineStr">
        <is>
          <t>SÖDERMANLANDS LÄN</t>
        </is>
      </c>
      <c r="G750" t="inlineStr">
        <is>
          <t>NYKÖPING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24197-2022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44725</v>
      </c>
      <c r="E751" s="1" t="n">
        <v>46256</v>
      </c>
      <c r="F751" t="inlineStr">
        <is>
          <t>SÖDERMANLANDS LÄN</t>
        </is>
      </c>
      <c r="G751" t="inlineStr">
        <is>
          <t>NYKÖPING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32928-2022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44784</v>
      </c>
      <c r="E752" s="1" t="n">
        <v>46256</v>
      </c>
      <c r="F752" t="inlineStr">
        <is>
          <t>SÖDERMANLANDS LÄN</t>
        </is>
      </c>
      <c r="G752" t="inlineStr">
        <is>
          <t>NYKÖPING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46058</v>
      </c>
      <c r="E753" s="1" t="n">
        <v>46256</v>
      </c>
      <c r="F753" t="inlineStr">
        <is>
          <t>SÖDERMANLANDS LÄN</t>
        </is>
      </c>
      <c r="G753" t="inlineStr">
        <is>
          <t>NYKÖPING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16457-2023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45029</v>
      </c>
      <c r="E754" s="1" t="n">
        <v>46256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45288</v>
      </c>
      <c r="E755" s="1" t="n">
        <v>46256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49223-2022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44858</v>
      </c>
      <c r="E756" s="1" t="n">
        <v>46256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Övriga statliga verk och myndigheter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7036-2023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44968</v>
      </c>
      <c r="E757" s="1" t="n">
        <v>46256</v>
      </c>
      <c r="F757" t="inlineStr">
        <is>
          <t>SÖDERMANLANDS LÄN</t>
        </is>
      </c>
      <c r="G757" t="inlineStr">
        <is>
          <t>NYKÖPING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38054-2023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45160</v>
      </c>
      <c r="E758" s="1" t="n">
        <v>46256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Kommuner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45160</v>
      </c>
      <c r="E759" s="1" t="n">
        <v>46256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Kommuner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4479-2025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45686</v>
      </c>
      <c r="E760" s="1" t="n">
        <v>46256</v>
      </c>
      <c r="F760" t="inlineStr">
        <is>
          <t>SÖDERMANLANDS LÄN</t>
        </is>
      </c>
      <c r="G760" t="inlineStr">
        <is>
          <t>NYKÖPING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11554-2025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45727</v>
      </c>
      <c r="E761" s="1" t="n">
        <v>46256</v>
      </c>
      <c r="F761" t="inlineStr">
        <is>
          <t>SÖDERMANLANDS LÄN</t>
        </is>
      </c>
      <c r="G761" t="inlineStr">
        <is>
          <t>NYKÖPING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10287-2024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45365</v>
      </c>
      <c r="E762" s="1" t="n">
        <v>46256</v>
      </c>
      <c r="F762" t="inlineStr">
        <is>
          <t>SÖDERMANLANDS LÄN</t>
        </is>
      </c>
      <c r="G762" t="inlineStr">
        <is>
          <t>NYKÖPING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21022-2026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46145</v>
      </c>
      <c r="E763" s="1" t="n">
        <v>46256</v>
      </c>
      <c r="F763" t="inlineStr">
        <is>
          <t>SÖDERMANLANDS LÄN</t>
        </is>
      </c>
      <c r="G763" t="inlineStr">
        <is>
          <t>NYKÖPING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21020-2026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46145</v>
      </c>
      <c r="E764" s="1" t="n">
        <v>46256</v>
      </c>
      <c r="F764" t="inlineStr">
        <is>
          <t>SÖDERMANLANDS LÄN</t>
        </is>
      </c>
      <c r="G764" t="inlineStr">
        <is>
          <t>NYKÖPING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1638-2024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45306</v>
      </c>
      <c r="E765" s="1" t="n">
        <v>46256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Kommuner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65172-2023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45288</v>
      </c>
      <c r="E766" s="1" t="n">
        <v>46256</v>
      </c>
      <c r="F766" t="inlineStr">
        <is>
          <t>SÖDERMANLANDS LÄN</t>
        </is>
      </c>
      <c r="G766" t="inlineStr">
        <is>
          <t>NYKÖPING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38922-2024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45547</v>
      </c>
      <c r="E767" s="1" t="n">
        <v>46256</v>
      </c>
      <c r="F767" t="inlineStr">
        <is>
          <t>SÖDERMANLANDS LÄN</t>
        </is>
      </c>
      <c r="G767" t="inlineStr">
        <is>
          <t>NYKÖPING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46256</v>
      </c>
      <c r="F768" t="inlineStr">
        <is>
          <t>SÖDERMANLANDS LÄN</t>
        </is>
      </c>
      <c r="G768" t="inlineStr">
        <is>
          <t>NYKÖPING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46149</v>
      </c>
      <c r="E769" s="1" t="n">
        <v>46256</v>
      </c>
      <c r="F769" t="inlineStr">
        <is>
          <t>SÖDERMANLANDS LÄN</t>
        </is>
      </c>
      <c r="G769" t="inlineStr">
        <is>
          <t>NYKÖPING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46256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9074-2026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46256</v>
      </c>
      <c r="F771" t="inlineStr">
        <is>
          <t>SÖDERMANLANDS LÄN</t>
        </is>
      </c>
      <c r="G771" t="inlineStr">
        <is>
          <t>NYKÖPING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44581</v>
      </c>
      <c r="E772" s="1" t="n">
        <v>46256</v>
      </c>
      <c r="F772" t="inlineStr">
        <is>
          <t>SÖDERMANLANDS LÄN</t>
        </is>
      </c>
      <c r="G772" t="inlineStr">
        <is>
          <t>NYKÖPING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36000-2023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45148</v>
      </c>
      <c r="E773" s="1" t="n">
        <v>46256</v>
      </c>
      <c r="F773" t="inlineStr">
        <is>
          <t>SÖDERMANLANDS LÄN</t>
        </is>
      </c>
      <c r="G773" t="inlineStr">
        <is>
          <t>NYKÖPING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8787-2025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45712</v>
      </c>
      <c r="E774" s="1" t="n">
        <v>46256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24285-2022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44725</v>
      </c>
      <c r="E775" s="1" t="n">
        <v>46256</v>
      </c>
      <c r="F775" t="inlineStr">
        <is>
          <t>SÖDERMANLANDS LÄN</t>
        </is>
      </c>
      <c r="G775" t="inlineStr">
        <is>
          <t>NYKÖPING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6491-2023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44966</v>
      </c>
      <c r="E776" s="1" t="n">
        <v>46256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Övriga Aktiebolag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71555-2021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44540</v>
      </c>
      <c r="E777" s="1" t="n">
        <v>46256</v>
      </c>
      <c r="F777" t="inlineStr">
        <is>
          <t>SÖDERMANLANDS LÄN</t>
        </is>
      </c>
      <c r="G777" t="inlineStr">
        <is>
          <t>NYKÖPING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45856-2021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44433</v>
      </c>
      <c r="E778" s="1" t="n">
        <v>46256</v>
      </c>
      <c r="F778" t="inlineStr">
        <is>
          <t>SÖDERMANLANDS LÄN</t>
        </is>
      </c>
      <c r="G778" t="inlineStr">
        <is>
          <t>NYKÖPING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17372-2023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45034</v>
      </c>
      <c r="E779" s="1" t="n">
        <v>46256</v>
      </c>
      <c r="F779" t="inlineStr">
        <is>
          <t>SÖDERMANLANDS LÄN</t>
        </is>
      </c>
      <c r="G779" t="inlineStr">
        <is>
          <t>NYKÖPING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42251-2022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44830</v>
      </c>
      <c r="E780" s="1" t="n">
        <v>46256</v>
      </c>
      <c r="F780" t="inlineStr">
        <is>
          <t>SÖDERMANLANDS LÄN</t>
        </is>
      </c>
      <c r="G780" t="inlineStr">
        <is>
          <t>NYKÖPING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22475-2026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46155</v>
      </c>
      <c r="E781" s="1" t="n">
        <v>46256</v>
      </c>
      <c r="F781" t="inlineStr">
        <is>
          <t>SÖDERMANLANDS LÄN</t>
        </is>
      </c>
      <c r="G781" t="inlineStr">
        <is>
          <t>NYKÖPING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36714-2023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46256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58857-2021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44489</v>
      </c>
      <c r="E783" s="1" t="n">
        <v>46256</v>
      </c>
      <c r="F783" t="inlineStr">
        <is>
          <t>SÖDERMANLANDS LÄN</t>
        </is>
      </c>
      <c r="G783" t="inlineStr">
        <is>
          <t>NYKÖPING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45775</v>
      </c>
      <c r="E784" s="1" t="n">
        <v>46256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Kommuner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8378-2024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45351</v>
      </c>
      <c r="E785" s="1" t="n">
        <v>46256</v>
      </c>
      <c r="F785" t="inlineStr">
        <is>
          <t>SÖDERMANLANDS LÄN</t>
        </is>
      </c>
      <c r="G785" t="inlineStr">
        <is>
          <t>NYKÖPING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49902-2025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45940</v>
      </c>
      <c r="E786" s="1" t="n">
        <v>46256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Sveaskog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44824-2023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45190</v>
      </c>
      <c r="E787" s="1" t="n">
        <v>46256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Holmen skog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7045-2023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44968</v>
      </c>
      <c r="E788" s="1" t="n">
        <v>46256</v>
      </c>
      <c r="F788" t="inlineStr">
        <is>
          <t>SÖDERMANLANDS LÄN</t>
        </is>
      </c>
      <c r="G788" t="inlineStr">
        <is>
          <t>NYKÖPING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23063-2026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46256</v>
      </c>
      <c r="F789" t="inlineStr">
        <is>
          <t>SÖDERMANLANDS LÄN</t>
        </is>
      </c>
      <c r="G789" t="inlineStr">
        <is>
          <t>NYKÖPING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11755-2026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46084</v>
      </c>
      <c r="E790" s="1" t="n">
        <v>46256</v>
      </c>
      <c r="F790" t="inlineStr">
        <is>
          <t>SÖDERMANLANDS LÄN</t>
        </is>
      </c>
      <c r="G790" t="inlineStr">
        <is>
          <t>NYKÖPING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58553-2024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46256</v>
      </c>
      <c r="F791" t="inlineStr">
        <is>
          <t>SÖDERMANLANDS LÄN</t>
        </is>
      </c>
      <c r="G791" t="inlineStr">
        <is>
          <t>NYKÖPING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34203-2024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45524</v>
      </c>
      <c r="E792" s="1" t="n">
        <v>46256</v>
      </c>
      <c r="F792" t="inlineStr">
        <is>
          <t>SÖDERMANLANDS LÄN</t>
        </is>
      </c>
      <c r="G792" t="inlineStr">
        <is>
          <t>NYKÖPING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59148-2024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46256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42977-2021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44430</v>
      </c>
      <c r="E794" s="1" t="n">
        <v>46256</v>
      </c>
      <c r="F794" t="inlineStr">
        <is>
          <t>SÖDERMANLANDS LÄN</t>
        </is>
      </c>
      <c r="G794" t="inlineStr">
        <is>
          <t>NYKÖPING</t>
        </is>
      </c>
      <c r="I794" t="n">
        <v>25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9836-2026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46072</v>
      </c>
      <c r="E795" s="1" t="n">
        <v>46256</v>
      </c>
      <c r="F795" t="inlineStr">
        <is>
          <t>SÖDERMANLANDS LÄN</t>
        </is>
      </c>
      <c r="G795" t="inlineStr">
        <is>
          <t>NYKÖPING</t>
        </is>
      </c>
      <c r="I795" t="n">
        <v>10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11757-2026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46084</v>
      </c>
      <c r="E796" s="1" t="n">
        <v>46256</v>
      </c>
      <c r="F796" t="inlineStr">
        <is>
          <t>SÖDERMANLANDS LÄN</t>
        </is>
      </c>
      <c r="G796" t="inlineStr">
        <is>
          <t>NYKÖPING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56851-2025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45978</v>
      </c>
      <c r="E797" s="1" t="n">
        <v>46256</v>
      </c>
      <c r="F797" t="inlineStr">
        <is>
          <t>SÖDERMANLANDS LÄN</t>
        </is>
      </c>
      <c r="G797" t="inlineStr">
        <is>
          <t>NYKÖPING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56770-2025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45978</v>
      </c>
      <c r="E798" s="1" t="n">
        <v>46256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Holmen skog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23637-2026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46163</v>
      </c>
      <c r="E799" s="1" t="n">
        <v>46256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Kyrkan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56845-2025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45978</v>
      </c>
      <c r="E800" s="1" t="n">
        <v>46256</v>
      </c>
      <c r="F800" t="inlineStr">
        <is>
          <t>SÖDERMANLANDS LÄN</t>
        </is>
      </c>
      <c r="G800" t="inlineStr">
        <is>
          <t>NYKÖPING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53071-2024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46256</v>
      </c>
      <c r="F801" t="inlineStr">
        <is>
          <t>SÖDERMANLANDS LÄN</t>
        </is>
      </c>
      <c r="G801" t="inlineStr">
        <is>
          <t>NYKÖPING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1999-2020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44092</v>
      </c>
      <c r="E802" s="1" t="n">
        <v>46256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Kommuner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1573-2020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44013</v>
      </c>
      <c r="E803" s="1" t="n">
        <v>46256</v>
      </c>
      <c r="F803" t="inlineStr">
        <is>
          <t>SÖDERMANLANDS LÄN</t>
        </is>
      </c>
      <c r="G803" t="inlineStr">
        <is>
          <t>NYKÖPING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3783-2023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45223</v>
      </c>
      <c r="E804" s="1" t="n">
        <v>46256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Sveaskog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2311-2022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44684</v>
      </c>
      <c r="E805" s="1" t="n">
        <v>46256</v>
      </c>
      <c r="F805" t="inlineStr">
        <is>
          <t>SÖDERMANLANDS LÄN</t>
        </is>
      </c>
      <c r="G805" t="inlineStr">
        <is>
          <t>NYKÖPING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220-2023</t>
        </is>
      </c>
      <c r="B806" t="inlineStr">
        <is>
          <t>samrådsanmälan</t>
        </is>
      </c>
      <c r="C806" t="inlineStr">
        <is>
          <t>Stubbskörd</t>
        </is>
      </c>
      <c r="D806" s="1" t="n">
        <v>44949</v>
      </c>
      <c r="E806" s="1" t="n">
        <v>46256</v>
      </c>
      <c r="F806" t="inlineStr">
        <is>
          <t>SÖDERMANLANDS LÄN</t>
        </is>
      </c>
      <c r="G806" t="inlineStr">
        <is>
          <t>NYKÖPING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3579-2022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44735</v>
      </c>
      <c r="E807" s="1" t="n">
        <v>46256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Sveaskog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1224-2023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45029</v>
      </c>
      <c r="E808" s="1" t="n">
        <v>46256</v>
      </c>
      <c r="F808" t="inlineStr">
        <is>
          <t>SÖDERMANLANDS LÄN</t>
        </is>
      </c>
      <c r="G808" t="inlineStr">
        <is>
          <t>NYKÖPING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633-2025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45714</v>
      </c>
      <c r="E809" s="1" t="n">
        <v>46256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39.6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3071-2024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45517</v>
      </c>
      <c r="E810" s="1" t="n">
        <v>46256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Sveaskog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2818-2025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45939</v>
      </c>
      <c r="E811" s="1" t="n">
        <v>46256</v>
      </c>
      <c r="F811" t="inlineStr">
        <is>
          <t>SÖDERMANLANDS LÄN</t>
        </is>
      </c>
      <c r="G811" t="inlineStr">
        <is>
          <t>NYKÖPING</t>
        </is>
      </c>
      <c r="H811" t="inlineStr">
        <is>
          <t>Sveaskog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46050</v>
      </c>
      <c r="E812" s="1" t="n">
        <v>46256</v>
      </c>
      <c r="F812" t="inlineStr">
        <is>
          <t>SÖDERMANLANDS LÄN</t>
        </is>
      </c>
      <c r="G812" t="inlineStr">
        <is>
          <t>NYKÖPING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641-2026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46090</v>
      </c>
      <c r="E813" s="1" t="n">
        <v>46256</v>
      </c>
      <c r="F813" t="inlineStr">
        <is>
          <t>SÖDERMANLANDS LÄN</t>
        </is>
      </c>
      <c r="G813" t="inlineStr">
        <is>
          <t>NYKÖPING</t>
        </is>
      </c>
      <c r="I813" t="n">
        <v>46.2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2026-08-22T01:47:35Z</dcterms:created>
  <dcterms:modified xmlns:dcterms="http://purl.org/dc/terms/" xmlns:xsi="http://www.w3.org/2001/XMLSchema-instance" xsi:type="dcterms:W3CDTF">2026-08-22T01:47:36Z</dcterms:modified>
</cp:coreProperties>
</file>