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45712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45712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45712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45712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45712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45712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45712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45712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45712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45712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45712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45712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45712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45712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45712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45712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45712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45712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45712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45712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45712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45712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45712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45712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45712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45712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45712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45712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45712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45712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45712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45712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45712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45712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45712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30155-2021</t>
        </is>
      </c>
      <c r="B59" s="1" t="n">
        <v>44363</v>
      </c>
      <c r="C59" s="1" t="n">
        <v>45712</v>
      </c>
      <c r="D59" t="inlineStr">
        <is>
          <t>SÖDERMANLANDS LÄN</t>
        </is>
      </c>
      <c r="E59" t="inlineStr">
        <is>
          <t>NYKÖPING</t>
        </is>
      </c>
      <c r="G59" t="n">
        <v>8.5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Havsörn
Spillkråka</t>
        </is>
      </c>
      <c r="S59">
        <f>HYPERLINK("https://klasma.github.io/Logging_0480/artfynd/A 30155-2021 artfynd.xlsx", "A 30155-2021")</f>
        <v/>
      </c>
      <c r="T59">
        <f>HYPERLINK("https://klasma.github.io/Logging_0480/kartor/A 30155-2021 karta.png", "A 30155-2021")</f>
        <v/>
      </c>
      <c r="V59">
        <f>HYPERLINK("https://klasma.github.io/Logging_0480/klagomål/A 30155-2021 FSC-klagomål.docx", "A 30155-2021")</f>
        <v/>
      </c>
      <c r="W59">
        <f>HYPERLINK("https://klasma.github.io/Logging_0480/klagomålsmail/A 30155-2021 FSC-klagomål mail.docx", "A 30155-2021")</f>
        <v/>
      </c>
      <c r="X59">
        <f>HYPERLINK("https://klasma.github.io/Logging_0480/tillsyn/A 30155-2021 tillsynsbegäran.docx", "A 30155-2021")</f>
        <v/>
      </c>
      <c r="Y59">
        <f>HYPERLINK("https://klasma.github.io/Logging_0480/tillsynsmail/A 30155-2021 tillsynsbegäran mail.docx", "A 30155-2021")</f>
        <v/>
      </c>
      <c r="Z59">
        <f>HYPERLINK("https://klasma.github.io/Logging_0480/fåglar/A 30155-2021 prioriterade fågelarter.docx", "A 30155-2021")</f>
        <v/>
      </c>
    </row>
    <row r="60" ht="15" customHeight="1">
      <c r="A60" t="inlineStr">
        <is>
          <t>A 38366-2021</t>
        </is>
      </c>
      <c r="B60" s="1" t="n">
        <v>44406</v>
      </c>
      <c r="C60" s="1" t="n">
        <v>45712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Berguv
Skogsklocka</t>
        </is>
      </c>
      <c r="S60">
        <f>HYPERLINK("https://klasma.github.io/Logging_0480/artfynd/A 38366-2021 artfynd.xlsx", "A 38366-2021")</f>
        <v/>
      </c>
      <c r="T60">
        <f>HYPERLINK("https://klasma.github.io/Logging_0480/kartor/A 38366-2021 karta.png", "A 38366-2021")</f>
        <v/>
      </c>
      <c r="V60">
        <f>HYPERLINK("https://klasma.github.io/Logging_0480/klagomål/A 38366-2021 FSC-klagomål.docx", "A 38366-2021")</f>
        <v/>
      </c>
      <c r="W60">
        <f>HYPERLINK("https://klasma.github.io/Logging_0480/klagomålsmail/A 38366-2021 FSC-klagomål mail.docx", "A 38366-2021")</f>
        <v/>
      </c>
      <c r="X60">
        <f>HYPERLINK("https://klasma.github.io/Logging_0480/tillsyn/A 38366-2021 tillsynsbegäran.docx", "A 38366-2021")</f>
        <v/>
      </c>
      <c r="Y60">
        <f>HYPERLINK("https://klasma.github.io/Logging_0480/tillsynsmail/A 38366-2021 tillsynsbegäran mail.docx", "A 38366-2021")</f>
        <v/>
      </c>
      <c r="Z60">
        <f>HYPERLINK("https://klasma.github.io/Logging_0480/fåglar/A 38366-2021 prioriterade fågelarter.docx", "A 38366-2021")</f>
        <v/>
      </c>
    </row>
    <row r="61" ht="15" customHeight="1">
      <c r="A61" t="inlineStr">
        <is>
          <t>A 38418-2021</t>
        </is>
      </c>
      <c r="B61" s="1" t="n">
        <v>44406</v>
      </c>
      <c r="C61" s="1" t="n">
        <v>45712</v>
      </c>
      <c r="D61" t="inlineStr">
        <is>
          <t>SÖDERMANLANDS LÄN</t>
        </is>
      </c>
      <c r="E61" t="inlineStr">
        <is>
          <t>NYKÖPING</t>
        </is>
      </c>
      <c r="G61" t="n">
        <v>2.7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Tibast
Blåsippa</t>
        </is>
      </c>
      <c r="S61">
        <f>HYPERLINK("https://klasma.github.io/Logging_0480/artfynd/A 38418-2021 artfynd.xlsx", "A 38418-2021")</f>
        <v/>
      </c>
      <c r="T61">
        <f>HYPERLINK("https://klasma.github.io/Logging_0480/kartor/A 38418-2021 karta.png", "A 38418-2021")</f>
        <v/>
      </c>
      <c r="V61">
        <f>HYPERLINK("https://klasma.github.io/Logging_0480/klagomål/A 38418-2021 FSC-klagomål.docx", "A 38418-2021")</f>
        <v/>
      </c>
      <c r="W61">
        <f>HYPERLINK("https://klasma.github.io/Logging_0480/klagomålsmail/A 38418-2021 FSC-klagomål mail.docx", "A 38418-2021")</f>
        <v/>
      </c>
      <c r="X61">
        <f>HYPERLINK("https://klasma.github.io/Logging_0480/tillsyn/A 38418-2021 tillsynsbegäran.docx", "A 38418-2021")</f>
        <v/>
      </c>
      <c r="Y61">
        <f>HYPERLINK("https://klasma.github.io/Logging_0480/tillsynsmail/A 38418-2021 tillsynsbegäran mail.docx", "A 38418-2021")</f>
        <v/>
      </c>
    </row>
    <row r="62" ht="15" customHeight="1">
      <c r="A62" t="inlineStr">
        <is>
          <t>A 51697-2021</t>
        </is>
      </c>
      <c r="B62" s="1" t="n">
        <v>44462</v>
      </c>
      <c r="C62" s="1" t="n">
        <v>45712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2.6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Mindre vattensalamander
Fläcknycklar</t>
        </is>
      </c>
      <c r="S62">
        <f>HYPERLINK("https://klasma.github.io/Logging_0480/artfynd/A 51697-2021 artfynd.xlsx", "A 51697-2021")</f>
        <v/>
      </c>
      <c r="T62">
        <f>HYPERLINK("https://klasma.github.io/Logging_0480/kartor/A 51697-2021 karta.png", "A 51697-2021")</f>
        <v/>
      </c>
      <c r="V62">
        <f>HYPERLINK("https://klasma.github.io/Logging_0480/klagomål/A 51697-2021 FSC-klagomål.docx", "A 51697-2021")</f>
        <v/>
      </c>
      <c r="W62">
        <f>HYPERLINK("https://klasma.github.io/Logging_0480/klagomålsmail/A 51697-2021 FSC-klagomål mail.docx", "A 51697-2021")</f>
        <v/>
      </c>
      <c r="X62">
        <f>HYPERLINK("https://klasma.github.io/Logging_0480/tillsyn/A 51697-2021 tillsynsbegäran.docx", "A 51697-2021")</f>
        <v/>
      </c>
      <c r="Y62">
        <f>HYPERLINK("https://klasma.github.io/Logging_0480/tillsynsmail/A 51697-2021 tillsynsbegäran mail.docx", "A 51697-2021")</f>
        <v/>
      </c>
    </row>
    <row r="63" ht="15" customHeight="1">
      <c r="A63" t="inlineStr">
        <is>
          <t>A 51705-2021</t>
        </is>
      </c>
      <c r="B63" s="1" t="n">
        <v>44462</v>
      </c>
      <c r="C63" s="1" t="n">
        <v>45712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10.7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Blåsippa</t>
        </is>
      </c>
      <c r="S63">
        <f>HYPERLINK("https://klasma.github.io/Logging_0480/artfynd/A 51705-2021 artfynd.xlsx", "A 51705-2021")</f>
        <v/>
      </c>
      <c r="T63">
        <f>HYPERLINK("https://klasma.github.io/Logging_0480/kartor/A 51705-2021 karta.png", "A 51705-2021")</f>
        <v/>
      </c>
      <c r="V63">
        <f>HYPERLINK("https://klasma.github.io/Logging_0480/klagomål/A 51705-2021 FSC-klagomål.docx", "A 51705-2021")</f>
        <v/>
      </c>
      <c r="W63">
        <f>HYPERLINK("https://klasma.github.io/Logging_0480/klagomålsmail/A 51705-2021 FSC-klagomål mail.docx", "A 51705-2021")</f>
        <v/>
      </c>
      <c r="X63">
        <f>HYPERLINK("https://klasma.github.io/Logging_0480/tillsyn/A 51705-2021 tillsynsbegäran.docx", "A 51705-2021")</f>
        <v/>
      </c>
      <c r="Y63">
        <f>HYPERLINK("https://klasma.github.io/Logging_0480/tillsynsmail/A 51705-2021 tillsynsbegäran mail.docx", "A 51705-2021")</f>
        <v/>
      </c>
    </row>
    <row r="64" ht="15" customHeight="1">
      <c r="A64" t="inlineStr">
        <is>
          <t>A 54930-2021</t>
        </is>
      </c>
      <c r="B64" s="1" t="n">
        <v>44474</v>
      </c>
      <c r="C64" s="1" t="n">
        <v>45712</v>
      </c>
      <c r="D64" t="inlineStr">
        <is>
          <t>SÖDERMANLANDS LÄN</t>
        </is>
      </c>
      <c r="E64" t="inlineStr">
        <is>
          <t>NYKÖPING</t>
        </is>
      </c>
      <c r="G64" t="n">
        <v>3.4</v>
      </c>
      <c r="H64" t="n">
        <v>2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Bombmurkla
Knärot</t>
        </is>
      </c>
      <c r="S64">
        <f>HYPERLINK("https://klasma.github.io/Logging_0480/artfynd/A 54930-2021 artfynd.xlsx", "A 54930-2021")</f>
        <v/>
      </c>
      <c r="T64">
        <f>HYPERLINK("https://klasma.github.io/Logging_0480/kartor/A 54930-2021 karta.png", "A 54930-2021")</f>
        <v/>
      </c>
      <c r="U64">
        <f>HYPERLINK("https://klasma.github.io/Logging_0480/knärot/A 54930-2021 karta knärot.png", "A 54930-2021")</f>
        <v/>
      </c>
      <c r="V64">
        <f>HYPERLINK("https://klasma.github.io/Logging_0480/klagomål/A 54930-2021 FSC-klagomål.docx", "A 54930-2021")</f>
        <v/>
      </c>
      <c r="W64">
        <f>HYPERLINK("https://klasma.github.io/Logging_0480/klagomålsmail/A 54930-2021 FSC-klagomål mail.docx", "A 54930-2021")</f>
        <v/>
      </c>
      <c r="X64">
        <f>HYPERLINK("https://klasma.github.io/Logging_0480/tillsyn/A 54930-2021 tillsynsbegäran.docx", "A 54930-2021")</f>
        <v/>
      </c>
      <c r="Y64">
        <f>HYPERLINK("https://klasma.github.io/Logging_0480/tillsynsmail/A 54930-2021 tillsynsbegäran mail.docx", "A 54930-2021")</f>
        <v/>
      </c>
    </row>
    <row r="65" ht="15" customHeight="1">
      <c r="A65" t="inlineStr">
        <is>
          <t>A 56420-2021</t>
        </is>
      </c>
      <c r="B65" s="1" t="n">
        <v>44480</v>
      </c>
      <c r="C65" s="1" t="n">
        <v>45712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Kungsörn</t>
        </is>
      </c>
      <c r="S65">
        <f>HYPERLINK("https://klasma.github.io/Logging_0480/artfynd/A 56420-2021 artfynd.xlsx", "A 56420-2021")</f>
        <v/>
      </c>
      <c r="T65">
        <f>HYPERLINK("https://klasma.github.io/Logging_0480/kartor/A 56420-2021 karta.png", "A 56420-2021")</f>
        <v/>
      </c>
      <c r="V65">
        <f>HYPERLINK("https://klasma.github.io/Logging_0480/klagomål/A 56420-2021 FSC-klagomål.docx", "A 56420-2021")</f>
        <v/>
      </c>
      <c r="W65">
        <f>HYPERLINK("https://klasma.github.io/Logging_0480/klagomålsmail/A 56420-2021 FSC-klagomål mail.docx", "A 56420-2021")</f>
        <v/>
      </c>
      <c r="X65">
        <f>HYPERLINK("https://klasma.github.io/Logging_0480/tillsyn/A 56420-2021 tillsynsbegäran.docx", "A 56420-2021")</f>
        <v/>
      </c>
      <c r="Y65">
        <f>HYPERLINK("https://klasma.github.io/Logging_0480/tillsynsmail/A 56420-2021 tillsynsbegäran mail.docx", "A 56420-2021")</f>
        <v/>
      </c>
      <c r="Z65">
        <f>HYPERLINK("https://klasma.github.io/Logging_0480/fåglar/A 56420-2021 prioriterade fågelarter.docx", "A 56420-2021")</f>
        <v/>
      </c>
    </row>
    <row r="66" ht="15" customHeight="1">
      <c r="A66" t="inlineStr">
        <is>
          <t>A 11640-2022</t>
        </is>
      </c>
      <c r="B66" s="1" t="n">
        <v>44631</v>
      </c>
      <c r="C66" s="1" t="n">
        <v>45712</v>
      </c>
      <c r="D66" t="inlineStr">
        <is>
          <t>SÖDERMANLANDS LÄN</t>
        </is>
      </c>
      <c r="E66" t="inlineStr">
        <is>
          <t>NYKÖPING</t>
        </is>
      </c>
      <c r="F66" t="inlineStr">
        <is>
          <t>Kyrkan</t>
        </is>
      </c>
      <c r="G66" t="n">
        <v>7.6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Granbarkgnagare</t>
        </is>
      </c>
      <c r="S66">
        <f>HYPERLINK("https://klasma.github.io/Logging_0480/artfynd/A 11640-2022 artfynd.xlsx", "A 11640-2022")</f>
        <v/>
      </c>
      <c r="T66">
        <f>HYPERLINK("https://klasma.github.io/Logging_0480/kartor/A 11640-2022 karta.png", "A 11640-2022")</f>
        <v/>
      </c>
      <c r="V66">
        <f>HYPERLINK("https://klasma.github.io/Logging_0480/klagomål/A 11640-2022 FSC-klagomål.docx", "A 11640-2022")</f>
        <v/>
      </c>
      <c r="W66">
        <f>HYPERLINK("https://klasma.github.io/Logging_0480/klagomålsmail/A 11640-2022 FSC-klagomål mail.docx", "A 11640-2022")</f>
        <v/>
      </c>
      <c r="X66">
        <f>HYPERLINK("https://klasma.github.io/Logging_0480/tillsyn/A 11640-2022 tillsynsbegäran.docx", "A 11640-2022")</f>
        <v/>
      </c>
      <c r="Y66">
        <f>HYPERLINK("https://klasma.github.io/Logging_0480/tillsynsmail/A 11640-2022 tillsynsbegäran mail.docx", "A 11640-2022")</f>
        <v/>
      </c>
    </row>
    <row r="67" ht="15" customHeight="1">
      <c r="A67" t="inlineStr">
        <is>
          <t>A 12369-2022</t>
        </is>
      </c>
      <c r="B67" s="1" t="n">
        <v>44637</v>
      </c>
      <c r="C67" s="1" t="n">
        <v>45712</v>
      </c>
      <c r="D67" t="inlineStr">
        <is>
          <t>SÖDERMANLANDS LÄN</t>
        </is>
      </c>
      <c r="E67" t="inlineStr">
        <is>
          <t>NYKÖPING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Granbarkgnagare</t>
        </is>
      </c>
      <c r="S67">
        <f>HYPERLINK("https://klasma.github.io/Logging_0480/artfynd/A 12369-2022 artfynd.xlsx", "A 12369-2022")</f>
        <v/>
      </c>
      <c r="T67">
        <f>HYPERLINK("https://klasma.github.io/Logging_0480/kartor/A 12369-2022 karta.png", "A 12369-2022")</f>
        <v/>
      </c>
      <c r="V67">
        <f>HYPERLINK("https://klasma.github.io/Logging_0480/klagomål/A 12369-2022 FSC-klagomål.docx", "A 12369-2022")</f>
        <v/>
      </c>
      <c r="W67">
        <f>HYPERLINK("https://klasma.github.io/Logging_0480/klagomålsmail/A 12369-2022 FSC-klagomål mail.docx", "A 12369-2022")</f>
        <v/>
      </c>
      <c r="X67">
        <f>HYPERLINK("https://klasma.github.io/Logging_0480/tillsyn/A 12369-2022 tillsynsbegäran.docx", "A 12369-2022")</f>
        <v/>
      </c>
      <c r="Y67">
        <f>HYPERLINK("https://klasma.github.io/Logging_0480/tillsynsmail/A 12369-2022 tillsynsbegäran mail.docx", "A 12369-2022")</f>
        <v/>
      </c>
    </row>
    <row r="68" ht="15" customHeight="1">
      <c r="A68" t="inlineStr">
        <is>
          <t>A 25183-2022</t>
        </is>
      </c>
      <c r="B68" s="1" t="n">
        <v>44729</v>
      </c>
      <c r="C68" s="1" t="n">
        <v>45712</v>
      </c>
      <c r="D68" t="inlineStr">
        <is>
          <t>SÖDERMANLANDS LÄN</t>
        </is>
      </c>
      <c r="E68" t="inlineStr">
        <is>
          <t>NYKÖPING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 vaxskivling
Ängsvaxskivling</t>
        </is>
      </c>
      <c r="S68">
        <f>HYPERLINK("https://klasma.github.io/Logging_0480/artfynd/A 25183-2022 artfynd.xlsx", "A 25183-2022")</f>
        <v/>
      </c>
      <c r="T68">
        <f>HYPERLINK("https://klasma.github.io/Logging_0480/kartor/A 25183-2022 karta.png", "A 25183-2022")</f>
        <v/>
      </c>
      <c r="V68">
        <f>HYPERLINK("https://klasma.github.io/Logging_0480/klagomål/A 25183-2022 FSC-klagomål.docx", "A 25183-2022")</f>
        <v/>
      </c>
      <c r="W68">
        <f>HYPERLINK("https://klasma.github.io/Logging_0480/klagomålsmail/A 25183-2022 FSC-klagomål mail.docx", "A 25183-2022")</f>
        <v/>
      </c>
      <c r="X68">
        <f>HYPERLINK("https://klasma.github.io/Logging_0480/tillsyn/A 25183-2022 tillsynsbegäran.docx", "A 25183-2022")</f>
        <v/>
      </c>
      <c r="Y68">
        <f>HYPERLINK("https://klasma.github.io/Logging_0480/tillsynsmail/A 25183-2022 tillsynsbegäran mail.docx", "A 25183-2022")</f>
        <v/>
      </c>
    </row>
    <row r="69" ht="15" customHeight="1">
      <c r="A69" t="inlineStr">
        <is>
          <t>A 34310-2022</t>
        </is>
      </c>
      <c r="B69" s="1" t="n">
        <v>44792</v>
      </c>
      <c r="C69" s="1" t="n">
        <v>45712</v>
      </c>
      <c r="D69" t="inlineStr">
        <is>
          <t>SÖDERMANLANDS LÄN</t>
        </is>
      </c>
      <c r="E69" t="inlineStr">
        <is>
          <t>NYKÖPING</t>
        </is>
      </c>
      <c r="G69" t="n">
        <v>1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Bombmurkla
Grönpyrola</t>
        </is>
      </c>
      <c r="S69">
        <f>HYPERLINK("https://klasma.github.io/Logging_0480/artfynd/A 34310-2022 artfynd.xlsx", "A 34310-2022")</f>
        <v/>
      </c>
      <c r="T69">
        <f>HYPERLINK("https://klasma.github.io/Logging_0480/kartor/A 34310-2022 karta.png", "A 34310-2022")</f>
        <v/>
      </c>
      <c r="V69">
        <f>HYPERLINK("https://klasma.github.io/Logging_0480/klagomål/A 34310-2022 FSC-klagomål.docx", "A 34310-2022")</f>
        <v/>
      </c>
      <c r="W69">
        <f>HYPERLINK("https://klasma.github.io/Logging_0480/klagomålsmail/A 34310-2022 FSC-klagomål mail.docx", "A 34310-2022")</f>
        <v/>
      </c>
      <c r="X69">
        <f>HYPERLINK("https://klasma.github.io/Logging_0480/tillsyn/A 34310-2022 tillsynsbegäran.docx", "A 34310-2022")</f>
        <v/>
      </c>
      <c r="Y69">
        <f>HYPERLINK("https://klasma.github.io/Logging_0480/tillsynsmail/A 34310-2022 tillsynsbegäran mail.docx", "A 34310-2022")</f>
        <v/>
      </c>
    </row>
    <row r="70" ht="15" customHeight="1">
      <c r="A70" t="inlineStr">
        <is>
          <t>A 38203-2022</t>
        </is>
      </c>
      <c r="B70" s="1" t="n">
        <v>44812</v>
      </c>
      <c r="C70" s="1" t="n">
        <v>45712</v>
      </c>
      <c r="D70" t="inlineStr">
        <is>
          <t>SÖDERMANLANDS LÄN</t>
        </is>
      </c>
      <c r="E70" t="inlineStr">
        <is>
          <t>NYKÖPING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Kösa
Linmåra/småsnärjmåra</t>
        </is>
      </c>
      <c r="S70">
        <f>HYPERLINK("https://klasma.github.io/Logging_0480/artfynd/A 38203-2022 artfynd.xlsx", "A 38203-2022")</f>
        <v/>
      </c>
      <c r="T70">
        <f>HYPERLINK("https://klasma.github.io/Logging_0480/kartor/A 38203-2022 karta.png", "A 38203-2022")</f>
        <v/>
      </c>
      <c r="V70">
        <f>HYPERLINK("https://klasma.github.io/Logging_0480/klagomål/A 38203-2022 FSC-klagomål.docx", "A 38203-2022")</f>
        <v/>
      </c>
      <c r="W70">
        <f>HYPERLINK("https://klasma.github.io/Logging_0480/klagomålsmail/A 38203-2022 FSC-klagomål mail.docx", "A 38203-2022")</f>
        <v/>
      </c>
      <c r="X70">
        <f>HYPERLINK("https://klasma.github.io/Logging_0480/tillsyn/A 38203-2022 tillsynsbegäran.docx", "A 38203-2022")</f>
        <v/>
      </c>
      <c r="Y70">
        <f>HYPERLINK("https://klasma.github.io/Logging_0480/tillsynsmail/A 38203-2022 tillsynsbegäran mail.docx", "A 38203-2022")</f>
        <v/>
      </c>
    </row>
    <row r="71" ht="15" customHeight="1">
      <c r="A71" t="inlineStr">
        <is>
          <t>A 52792-2022</t>
        </is>
      </c>
      <c r="B71" s="1" t="n">
        <v>44875</v>
      </c>
      <c r="C71" s="1" t="n">
        <v>45712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17.5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Ärtsångare
Fläcknycklar</t>
        </is>
      </c>
      <c r="S71">
        <f>HYPERLINK("https://klasma.github.io/Logging_0480/artfynd/A 52792-2022 artfynd.xlsx", "A 52792-2022")</f>
        <v/>
      </c>
      <c r="T71">
        <f>HYPERLINK("https://klasma.github.io/Logging_0480/kartor/A 52792-2022 karta.png", "A 52792-2022")</f>
        <v/>
      </c>
      <c r="V71">
        <f>HYPERLINK("https://klasma.github.io/Logging_0480/klagomål/A 52792-2022 FSC-klagomål.docx", "A 52792-2022")</f>
        <v/>
      </c>
      <c r="W71">
        <f>HYPERLINK("https://klasma.github.io/Logging_0480/klagomålsmail/A 52792-2022 FSC-klagomål mail.docx", "A 52792-2022")</f>
        <v/>
      </c>
      <c r="X71">
        <f>HYPERLINK("https://klasma.github.io/Logging_0480/tillsyn/A 52792-2022 tillsynsbegäran.docx", "A 52792-2022")</f>
        <v/>
      </c>
      <c r="Y71">
        <f>HYPERLINK("https://klasma.github.io/Logging_0480/tillsynsmail/A 52792-2022 tillsynsbegäran mail.docx", "A 52792-2022")</f>
        <v/>
      </c>
      <c r="Z71">
        <f>HYPERLINK("https://klasma.github.io/Logging_0480/fåglar/A 52792-2022 prioriterade fågelarter.docx", "A 52792-2022")</f>
        <v/>
      </c>
    </row>
    <row r="72" ht="15" customHeight="1">
      <c r="A72" t="inlineStr">
        <is>
          <t>A 853-2023</t>
        </is>
      </c>
      <c r="B72" s="1" t="n">
        <v>44931</v>
      </c>
      <c r="C72" s="1" t="n">
        <v>45712</v>
      </c>
      <c r="D72" t="inlineStr">
        <is>
          <t>SÖDERMANLANDS LÄN</t>
        </is>
      </c>
      <c r="E72" t="inlineStr">
        <is>
          <t>NYKÖPING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Granticka
Revlummer</t>
        </is>
      </c>
      <c r="S72">
        <f>HYPERLINK("https://klasma.github.io/Logging_0480/artfynd/A 853-2023 artfynd.xlsx", "A 853-2023")</f>
        <v/>
      </c>
      <c r="T72">
        <f>HYPERLINK("https://klasma.github.io/Logging_0480/kartor/A 853-2023 karta.png", "A 853-2023")</f>
        <v/>
      </c>
      <c r="V72">
        <f>HYPERLINK("https://klasma.github.io/Logging_0480/klagomål/A 853-2023 FSC-klagomål.docx", "A 853-2023")</f>
        <v/>
      </c>
      <c r="W72">
        <f>HYPERLINK("https://klasma.github.io/Logging_0480/klagomålsmail/A 853-2023 FSC-klagomål mail.docx", "A 853-2023")</f>
        <v/>
      </c>
      <c r="X72">
        <f>HYPERLINK("https://klasma.github.io/Logging_0480/tillsyn/A 853-2023 tillsynsbegäran.docx", "A 853-2023")</f>
        <v/>
      </c>
      <c r="Y72">
        <f>HYPERLINK("https://klasma.github.io/Logging_0480/tillsynsmail/A 853-2023 tillsynsbegäran mail.docx", "A 853-2023")</f>
        <v/>
      </c>
    </row>
    <row r="73" ht="15" customHeight="1">
      <c r="A73" t="inlineStr">
        <is>
          <t>A 3070-2023</t>
        </is>
      </c>
      <c r="B73" s="1" t="n">
        <v>44946</v>
      </c>
      <c r="C73" s="1" t="n">
        <v>45712</v>
      </c>
      <c r="D73" t="inlineStr">
        <is>
          <t>SÖDERMANLANDS LÄN</t>
        </is>
      </c>
      <c r="E73" t="inlineStr">
        <is>
          <t>NYKÖPING</t>
        </is>
      </c>
      <c r="G73" t="n">
        <v>8.5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Kambräken</t>
        </is>
      </c>
      <c r="S73">
        <f>HYPERLINK("https://klasma.github.io/Logging_0480/artfynd/A 3070-2023 artfynd.xlsx", "A 3070-2023")</f>
        <v/>
      </c>
      <c r="T73">
        <f>HYPERLINK("https://klasma.github.io/Logging_0480/kartor/A 3070-2023 karta.png", "A 3070-2023")</f>
        <v/>
      </c>
      <c r="V73">
        <f>HYPERLINK("https://klasma.github.io/Logging_0480/klagomål/A 3070-2023 FSC-klagomål.docx", "A 3070-2023")</f>
        <v/>
      </c>
      <c r="W73">
        <f>HYPERLINK("https://klasma.github.io/Logging_0480/klagomålsmail/A 3070-2023 FSC-klagomål mail.docx", "A 3070-2023")</f>
        <v/>
      </c>
      <c r="X73">
        <f>HYPERLINK("https://klasma.github.io/Logging_0480/tillsyn/A 3070-2023 tillsynsbegäran.docx", "A 3070-2023")</f>
        <v/>
      </c>
      <c r="Y73">
        <f>HYPERLINK("https://klasma.github.io/Logging_0480/tillsynsmail/A 3070-2023 tillsynsbegäran mail.docx", "A 3070-2023")</f>
        <v/>
      </c>
      <c r="Z73">
        <f>HYPERLINK("https://klasma.github.io/Logging_0480/fåglar/A 3070-2023 prioriterade fågelarter.docx", "A 3070-2023")</f>
        <v/>
      </c>
    </row>
    <row r="74" ht="15" customHeight="1">
      <c r="A74" t="inlineStr">
        <is>
          <t>A 48174-2023</t>
        </is>
      </c>
      <c r="B74" s="1" t="n">
        <v>45205</v>
      </c>
      <c r="C74" s="1" t="n">
        <v>45712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1.2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Havsörn
Nötkråka</t>
        </is>
      </c>
      <c r="S74">
        <f>HYPERLINK("https://klasma.github.io/Logging_0480/artfynd/A 48174-2023 artfynd.xlsx", "A 48174-2023")</f>
        <v/>
      </c>
      <c r="T74">
        <f>HYPERLINK("https://klasma.github.io/Logging_0480/kartor/A 48174-2023 karta.png", "A 48174-2023")</f>
        <v/>
      </c>
      <c r="V74">
        <f>HYPERLINK("https://klasma.github.io/Logging_0480/klagomål/A 48174-2023 FSC-klagomål.docx", "A 48174-2023")</f>
        <v/>
      </c>
      <c r="W74">
        <f>HYPERLINK("https://klasma.github.io/Logging_0480/klagomålsmail/A 48174-2023 FSC-klagomål mail.docx", "A 48174-2023")</f>
        <v/>
      </c>
      <c r="X74">
        <f>HYPERLINK("https://klasma.github.io/Logging_0480/tillsyn/A 48174-2023 tillsynsbegäran.docx", "A 48174-2023")</f>
        <v/>
      </c>
      <c r="Y74">
        <f>HYPERLINK("https://klasma.github.io/Logging_0480/tillsynsmail/A 48174-2023 tillsynsbegäran mail.docx", "A 48174-2023")</f>
        <v/>
      </c>
      <c r="Z74">
        <f>HYPERLINK("https://klasma.github.io/Logging_0480/fåglar/A 48174-2023 prioriterade fågelarter.docx", "A 48174-2023")</f>
        <v/>
      </c>
    </row>
    <row r="75" ht="15" customHeight="1">
      <c r="A75" t="inlineStr">
        <is>
          <t>A 49231-2023</t>
        </is>
      </c>
      <c r="B75" s="1" t="n">
        <v>45210</v>
      </c>
      <c r="C75" s="1" t="n">
        <v>45712</v>
      </c>
      <c r="D75" t="inlineStr">
        <is>
          <t>SÖDERMANLANDS LÄN</t>
        </is>
      </c>
      <c r="E75" t="inlineStr">
        <is>
          <t>NYKÖPING</t>
        </is>
      </c>
      <c r="G75" t="n">
        <v>0.5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Bombmurkla
Blåmossa</t>
        </is>
      </c>
      <c r="S75">
        <f>HYPERLINK("https://klasma.github.io/Logging_0480/artfynd/A 49231-2023 artfynd.xlsx", "A 49231-2023")</f>
        <v/>
      </c>
      <c r="T75">
        <f>HYPERLINK("https://klasma.github.io/Logging_0480/kartor/A 49231-2023 karta.png", "A 49231-2023")</f>
        <v/>
      </c>
      <c r="V75">
        <f>HYPERLINK("https://klasma.github.io/Logging_0480/klagomål/A 49231-2023 FSC-klagomål.docx", "A 49231-2023")</f>
        <v/>
      </c>
      <c r="W75">
        <f>HYPERLINK("https://klasma.github.io/Logging_0480/klagomålsmail/A 49231-2023 FSC-klagomål mail.docx", "A 49231-2023")</f>
        <v/>
      </c>
      <c r="X75">
        <f>HYPERLINK("https://klasma.github.io/Logging_0480/tillsyn/A 49231-2023 tillsynsbegäran.docx", "A 49231-2023")</f>
        <v/>
      </c>
      <c r="Y75">
        <f>HYPERLINK("https://klasma.github.io/Logging_0480/tillsynsmail/A 49231-2023 tillsynsbegäran mail.docx", "A 49231-2023")</f>
        <v/>
      </c>
    </row>
    <row r="76" ht="15" customHeight="1">
      <c r="A76" t="inlineStr">
        <is>
          <t>A 57006-2023</t>
        </is>
      </c>
      <c r="B76" s="1" t="n">
        <v>45244</v>
      </c>
      <c r="C76" s="1" t="n">
        <v>45712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11.9</v>
      </c>
      <c r="H76" t="n">
        <v>1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Tornseglare
Rödgul trumpetsvamp</t>
        </is>
      </c>
      <c r="S76">
        <f>HYPERLINK("https://klasma.github.io/Logging_0480/artfynd/A 57006-2023 artfynd.xlsx", "A 57006-2023")</f>
        <v/>
      </c>
      <c r="T76">
        <f>HYPERLINK("https://klasma.github.io/Logging_0480/kartor/A 57006-2023 karta.png", "A 57006-2023")</f>
        <v/>
      </c>
      <c r="V76">
        <f>HYPERLINK("https://klasma.github.io/Logging_0480/klagomål/A 57006-2023 FSC-klagomål.docx", "A 57006-2023")</f>
        <v/>
      </c>
      <c r="W76">
        <f>HYPERLINK("https://klasma.github.io/Logging_0480/klagomålsmail/A 57006-2023 FSC-klagomål mail.docx", "A 57006-2023")</f>
        <v/>
      </c>
      <c r="X76">
        <f>HYPERLINK("https://klasma.github.io/Logging_0480/tillsyn/A 57006-2023 tillsynsbegäran.docx", "A 57006-2023")</f>
        <v/>
      </c>
      <c r="Y76">
        <f>HYPERLINK("https://klasma.github.io/Logging_0480/tillsynsmail/A 57006-2023 tillsynsbegäran mail.docx", "A 57006-2023")</f>
        <v/>
      </c>
      <c r="Z76">
        <f>HYPERLINK("https://klasma.github.io/Logging_0480/fåglar/A 57006-2023 prioriterade fågelarter.docx", "A 57006-2023")</f>
        <v/>
      </c>
    </row>
    <row r="77" ht="15" customHeight="1">
      <c r="A77" t="inlineStr">
        <is>
          <t>A 12658-2024</t>
        </is>
      </c>
      <c r="B77" s="1" t="n">
        <v>45381</v>
      </c>
      <c r="C77" s="1" t="n">
        <v>45712</v>
      </c>
      <c r="D77" t="inlineStr">
        <is>
          <t>SÖDERMANLANDS LÄN</t>
        </is>
      </c>
      <c r="E77" t="inlineStr">
        <is>
          <t>NYKÖPING</t>
        </is>
      </c>
      <c r="G77" t="n">
        <v>1.5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Skogsalm
Gulsparv</t>
        </is>
      </c>
      <c r="S77">
        <f>HYPERLINK("https://klasma.github.io/Logging_0480/artfynd/A 12658-2024 artfynd.xlsx", "A 12658-2024")</f>
        <v/>
      </c>
      <c r="T77">
        <f>HYPERLINK("https://klasma.github.io/Logging_0480/kartor/A 12658-2024 karta.png", "A 12658-2024")</f>
        <v/>
      </c>
      <c r="V77">
        <f>HYPERLINK("https://klasma.github.io/Logging_0480/klagomål/A 12658-2024 FSC-klagomål.docx", "A 12658-2024")</f>
        <v/>
      </c>
      <c r="W77">
        <f>HYPERLINK("https://klasma.github.io/Logging_0480/klagomålsmail/A 12658-2024 FSC-klagomål mail.docx", "A 12658-2024")</f>
        <v/>
      </c>
      <c r="X77">
        <f>HYPERLINK("https://klasma.github.io/Logging_0480/tillsyn/A 12658-2024 tillsynsbegäran.docx", "A 12658-2024")</f>
        <v/>
      </c>
      <c r="Y77">
        <f>HYPERLINK("https://klasma.github.io/Logging_0480/tillsynsmail/A 12658-2024 tillsynsbegäran mail.docx", "A 12658-2024")</f>
        <v/>
      </c>
      <c r="Z77">
        <f>HYPERLINK("https://klasma.github.io/Logging_0480/fåglar/A 12658-2024 prioriterade fågelarter.docx", "A 12658-2024")</f>
        <v/>
      </c>
    </row>
    <row r="78" ht="15" customHeight="1">
      <c r="A78" t="inlineStr">
        <is>
          <t>A 37401-2024</t>
        </is>
      </c>
      <c r="B78" s="1" t="n">
        <v>45540</v>
      </c>
      <c r="C78" s="1" t="n">
        <v>45712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Gropticka
Svart taggsvamp</t>
        </is>
      </c>
      <c r="S78">
        <f>HYPERLINK("https://klasma.github.io/Logging_0480/artfynd/A 37401-2024 artfynd.xlsx", "A 37401-2024")</f>
        <v/>
      </c>
      <c r="T78">
        <f>HYPERLINK("https://klasma.github.io/Logging_0480/kartor/A 37401-2024 karta.png", "A 37401-2024")</f>
        <v/>
      </c>
      <c r="V78">
        <f>HYPERLINK("https://klasma.github.io/Logging_0480/klagomål/A 37401-2024 FSC-klagomål.docx", "A 37401-2024")</f>
        <v/>
      </c>
      <c r="W78">
        <f>HYPERLINK("https://klasma.github.io/Logging_0480/klagomålsmail/A 37401-2024 FSC-klagomål mail.docx", "A 37401-2024")</f>
        <v/>
      </c>
      <c r="X78">
        <f>HYPERLINK("https://klasma.github.io/Logging_0480/tillsyn/A 37401-2024 tillsynsbegäran.docx", "A 37401-2024")</f>
        <v/>
      </c>
      <c r="Y78">
        <f>HYPERLINK("https://klasma.github.io/Logging_0480/tillsynsmail/A 37401-2024 tillsynsbegäran mail.docx", "A 37401-2024")</f>
        <v/>
      </c>
    </row>
    <row r="79" ht="15" customHeight="1">
      <c r="A79" t="inlineStr">
        <is>
          <t>A 38923-2024</t>
        </is>
      </c>
      <c r="B79" s="1" t="n">
        <v>45547</v>
      </c>
      <c r="C79" s="1" t="n">
        <v>45712</v>
      </c>
      <c r="D79" t="inlineStr">
        <is>
          <t>SÖDERMANLANDS LÄN</t>
        </is>
      </c>
      <c r="E79" t="inlineStr">
        <is>
          <t>NYKÖPING</t>
        </is>
      </c>
      <c r="G79" t="n">
        <v>18.9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Blodticka</t>
        </is>
      </c>
      <c r="S79">
        <f>HYPERLINK("https://klasma.github.io/Logging_0480/artfynd/A 38923-2024 artfynd.xlsx", "A 38923-2024")</f>
        <v/>
      </c>
      <c r="T79">
        <f>HYPERLINK("https://klasma.github.io/Logging_0480/kartor/A 38923-2024 karta.png", "A 38923-2024")</f>
        <v/>
      </c>
      <c r="V79">
        <f>HYPERLINK("https://klasma.github.io/Logging_0480/klagomål/A 38923-2024 FSC-klagomål.docx", "A 38923-2024")</f>
        <v/>
      </c>
      <c r="W79">
        <f>HYPERLINK("https://klasma.github.io/Logging_0480/klagomålsmail/A 38923-2024 FSC-klagomål mail.docx", "A 38923-2024")</f>
        <v/>
      </c>
      <c r="X79">
        <f>HYPERLINK("https://klasma.github.io/Logging_0480/tillsyn/A 38923-2024 tillsynsbegäran.docx", "A 38923-2024")</f>
        <v/>
      </c>
      <c r="Y79">
        <f>HYPERLINK("https://klasma.github.io/Logging_0480/tillsynsmail/A 38923-2024 tillsynsbegäran mail.docx", "A 38923-2024")</f>
        <v/>
      </c>
    </row>
    <row r="80" ht="15" customHeight="1">
      <c r="A80" t="inlineStr">
        <is>
          <t>A 48150-2024</t>
        </is>
      </c>
      <c r="B80" s="1" t="n">
        <v>45589</v>
      </c>
      <c r="C80" s="1" t="n">
        <v>45712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Vedskivlav
Gullgröppa</t>
        </is>
      </c>
      <c r="S80">
        <f>HYPERLINK("https://klasma.github.io/Logging_0480/artfynd/A 48150-2024 artfynd.xlsx", "A 48150-2024")</f>
        <v/>
      </c>
      <c r="T80">
        <f>HYPERLINK("https://klasma.github.io/Logging_0480/kartor/A 48150-2024 karta.png", "A 48150-2024")</f>
        <v/>
      </c>
      <c r="V80">
        <f>HYPERLINK("https://klasma.github.io/Logging_0480/klagomål/A 48150-2024 FSC-klagomål.docx", "A 48150-2024")</f>
        <v/>
      </c>
      <c r="W80">
        <f>HYPERLINK("https://klasma.github.io/Logging_0480/klagomålsmail/A 48150-2024 FSC-klagomål mail.docx", "A 48150-2024")</f>
        <v/>
      </c>
      <c r="X80">
        <f>HYPERLINK("https://klasma.github.io/Logging_0480/tillsyn/A 48150-2024 tillsynsbegäran.docx", "A 48150-2024")</f>
        <v/>
      </c>
      <c r="Y80">
        <f>HYPERLINK("https://klasma.github.io/Logging_0480/tillsynsmail/A 48150-2024 tillsynsbegäran mail.docx", "A 48150-2024")</f>
        <v/>
      </c>
    </row>
    <row r="81" ht="15" customHeight="1">
      <c r="A81" t="inlineStr">
        <is>
          <t>A 56113-2024</t>
        </is>
      </c>
      <c r="B81" s="1" t="n">
        <v>45624</v>
      </c>
      <c r="C81" s="1" t="n">
        <v>45712</v>
      </c>
      <c r="D81" t="inlineStr">
        <is>
          <t>SÖDERMANLANDS LÄN</t>
        </is>
      </c>
      <c r="E81" t="inlineStr">
        <is>
          <t>NYKÖPING</t>
        </is>
      </c>
      <c r="G81" t="n">
        <v>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Hasselticka</t>
        </is>
      </c>
      <c r="S81">
        <f>HYPERLINK("https://klasma.github.io/Logging_0480/artfynd/A 56113-2024 artfynd.xlsx", "A 56113-2024")</f>
        <v/>
      </c>
      <c r="T81">
        <f>HYPERLINK("https://klasma.github.io/Logging_0480/kartor/A 56113-2024 karta.png", "A 56113-2024")</f>
        <v/>
      </c>
      <c r="V81">
        <f>HYPERLINK("https://klasma.github.io/Logging_0480/klagomål/A 56113-2024 FSC-klagomål.docx", "A 56113-2024")</f>
        <v/>
      </c>
      <c r="W81">
        <f>HYPERLINK("https://klasma.github.io/Logging_0480/klagomålsmail/A 56113-2024 FSC-klagomål mail.docx", "A 56113-2024")</f>
        <v/>
      </c>
      <c r="X81">
        <f>HYPERLINK("https://klasma.github.io/Logging_0480/tillsyn/A 56113-2024 tillsynsbegäran.docx", "A 56113-2024")</f>
        <v/>
      </c>
      <c r="Y81">
        <f>HYPERLINK("https://klasma.github.io/Logging_0480/tillsynsmail/A 56113-2024 tillsynsbegäran mail.docx", "A 56113-2024")</f>
        <v/>
      </c>
    </row>
    <row r="82" ht="15" customHeight="1">
      <c r="A82" t="inlineStr">
        <is>
          <t>A 61074-2024</t>
        </is>
      </c>
      <c r="B82" s="1" t="n">
        <v>45645</v>
      </c>
      <c r="C82" s="1" t="n">
        <v>45712</v>
      </c>
      <c r="D82" t="inlineStr">
        <is>
          <t>SÖDERMANLANDS LÄN</t>
        </is>
      </c>
      <c r="E82" t="inlineStr">
        <is>
          <t>NYKÖPING</t>
        </is>
      </c>
      <c r="G82" t="n">
        <v>7.8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Blåmossa</t>
        </is>
      </c>
      <c r="S82">
        <f>HYPERLINK("https://klasma.github.io/Logging_0480/artfynd/A 61074-2024 artfynd.xlsx", "A 61074-2024")</f>
        <v/>
      </c>
      <c r="T82">
        <f>HYPERLINK("https://klasma.github.io/Logging_0480/kartor/A 61074-2024 karta.png", "A 61074-2024")</f>
        <v/>
      </c>
      <c r="V82">
        <f>HYPERLINK("https://klasma.github.io/Logging_0480/klagomål/A 61074-2024 FSC-klagomål.docx", "A 61074-2024")</f>
        <v/>
      </c>
      <c r="W82">
        <f>HYPERLINK("https://klasma.github.io/Logging_0480/klagomålsmail/A 61074-2024 FSC-klagomål mail.docx", "A 61074-2024")</f>
        <v/>
      </c>
      <c r="X82">
        <f>HYPERLINK("https://klasma.github.io/Logging_0480/tillsyn/A 61074-2024 tillsynsbegäran.docx", "A 61074-2024")</f>
        <v/>
      </c>
      <c r="Y82">
        <f>HYPERLINK("https://klasma.github.io/Logging_0480/tillsynsmail/A 61074-2024 tillsynsbegäran mail.docx", "A 61074-2024")</f>
        <v/>
      </c>
      <c r="Z82">
        <f>HYPERLINK("https://klasma.github.io/Logging_0480/fåglar/A 61074-2024 prioriterade fågelarter.docx", "A 61074-2024")</f>
        <v/>
      </c>
    </row>
    <row r="83" ht="15" customHeight="1">
      <c r="A83" t="inlineStr">
        <is>
          <t>A 23556-2019</t>
        </is>
      </c>
      <c r="B83" s="1" t="n">
        <v>43594</v>
      </c>
      <c r="C83" s="1" t="n">
        <v>45712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HYPERLINK("https://klasma.github.io/Logging_0480/artfynd/A 23556-2019 artfynd.xlsx", "A 23556-2019")</f>
        <v/>
      </c>
      <c r="T83">
        <f>HYPERLINK("https://klasma.github.io/Logging_0480/kartor/A 23556-2019 karta.png", "A 23556-2019")</f>
        <v/>
      </c>
      <c r="V83">
        <f>HYPERLINK("https://klasma.github.io/Logging_0480/klagomål/A 23556-2019 FSC-klagomål.docx", "A 23556-2019")</f>
        <v/>
      </c>
      <c r="W83">
        <f>HYPERLINK("https://klasma.github.io/Logging_0480/klagomålsmail/A 23556-2019 FSC-klagomål mail.docx", "A 23556-2019")</f>
        <v/>
      </c>
      <c r="X83">
        <f>HYPERLINK("https://klasma.github.io/Logging_0480/tillsyn/A 23556-2019 tillsynsbegäran.docx", "A 23556-2019")</f>
        <v/>
      </c>
      <c r="Y83">
        <f>HYPERLINK("https://klasma.github.io/Logging_0480/tillsynsmail/A 23556-2019 tillsynsbegäran mail.docx", "A 23556-2019")</f>
        <v/>
      </c>
      <c r="Z83">
        <f>HYPERLINK("https://klasma.github.io/Logging_0480/fåglar/A 23556-2019 prioriterade fågelarter.docx", "A 23556-2019")</f>
        <v/>
      </c>
    </row>
    <row r="84" ht="15" customHeight="1">
      <c r="A84" t="inlineStr">
        <is>
          <t>A 28647-2019</t>
        </is>
      </c>
      <c r="B84" s="1" t="n">
        <v>43614</v>
      </c>
      <c r="C84" s="1" t="n">
        <v>45712</v>
      </c>
      <c r="D84" t="inlineStr">
        <is>
          <t>SÖDERMANLANDS LÄN</t>
        </is>
      </c>
      <c r="E84" t="inlineStr">
        <is>
          <t>NYKÖPING</t>
        </is>
      </c>
      <c r="G84" t="n">
        <v>20.9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Spindelblomster</t>
        </is>
      </c>
      <c r="S84">
        <f>HYPERLINK("https://klasma.github.io/Logging_0480/artfynd/A 28647-2019 artfynd.xlsx", "A 28647-2019")</f>
        <v/>
      </c>
      <c r="T84">
        <f>HYPERLINK("https://klasma.github.io/Logging_0480/kartor/A 28647-2019 karta.png", "A 28647-2019")</f>
        <v/>
      </c>
      <c r="V84">
        <f>HYPERLINK("https://klasma.github.io/Logging_0480/klagomål/A 28647-2019 FSC-klagomål.docx", "A 28647-2019")</f>
        <v/>
      </c>
      <c r="W84">
        <f>HYPERLINK("https://klasma.github.io/Logging_0480/klagomålsmail/A 28647-2019 FSC-klagomål mail.docx", "A 28647-2019")</f>
        <v/>
      </c>
      <c r="X84">
        <f>HYPERLINK("https://klasma.github.io/Logging_0480/tillsyn/A 28647-2019 tillsynsbegäran.docx", "A 28647-2019")</f>
        <v/>
      </c>
      <c r="Y84">
        <f>HYPERLINK("https://klasma.github.io/Logging_0480/tillsynsmail/A 28647-2019 tillsynsbegäran mail.docx", "A 28647-2019")</f>
        <v/>
      </c>
    </row>
    <row r="85" ht="15" customHeight="1">
      <c r="A85" t="inlineStr">
        <is>
          <t>A 28403-2019</t>
        </is>
      </c>
      <c r="B85" s="1" t="n">
        <v>43626</v>
      </c>
      <c r="C85" s="1" t="n">
        <v>45712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HYPERLINK("https://klasma.github.io/Logging_0480/artfynd/A 28403-2019 artfynd.xlsx", "A 28403-2019")</f>
        <v/>
      </c>
      <c r="T85">
        <f>HYPERLINK("https://klasma.github.io/Logging_0480/kartor/A 28403-2019 karta.png", "A 28403-2019")</f>
        <v/>
      </c>
      <c r="V85">
        <f>HYPERLINK("https://klasma.github.io/Logging_0480/klagomål/A 28403-2019 FSC-klagomål.docx", "A 28403-2019")</f>
        <v/>
      </c>
      <c r="W85">
        <f>HYPERLINK("https://klasma.github.io/Logging_0480/klagomålsmail/A 28403-2019 FSC-klagomål mail.docx", "A 28403-2019")</f>
        <v/>
      </c>
      <c r="X85">
        <f>HYPERLINK("https://klasma.github.io/Logging_0480/tillsyn/A 28403-2019 tillsynsbegäran.docx", "A 28403-2019")</f>
        <v/>
      </c>
      <c r="Y85">
        <f>HYPERLINK("https://klasma.github.io/Logging_0480/tillsynsmail/A 28403-2019 tillsynsbegäran mail.docx", "A 28403-2019")</f>
        <v/>
      </c>
    </row>
    <row r="86" ht="15" customHeight="1">
      <c r="A86" t="inlineStr">
        <is>
          <t>A 30159-2019</t>
        </is>
      </c>
      <c r="B86" s="1" t="n">
        <v>43634</v>
      </c>
      <c r="C86" s="1" t="n">
        <v>45712</v>
      </c>
      <c r="D86" t="inlineStr">
        <is>
          <t>SÖDERMANLANDS LÄN</t>
        </is>
      </c>
      <c r="E86" t="inlineStr">
        <is>
          <t>NYKÖPING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30159-2019 artfynd.xlsx", "A 30159-2019")</f>
        <v/>
      </c>
      <c r="T86">
        <f>HYPERLINK("https://klasma.github.io/Logging_0480/kartor/A 30159-2019 karta.png", "A 30159-2019")</f>
        <v/>
      </c>
      <c r="V86">
        <f>HYPERLINK("https://klasma.github.io/Logging_0480/klagomål/A 30159-2019 FSC-klagomål.docx", "A 30159-2019")</f>
        <v/>
      </c>
      <c r="W86">
        <f>HYPERLINK("https://klasma.github.io/Logging_0480/klagomålsmail/A 30159-2019 FSC-klagomål mail.docx", "A 30159-2019")</f>
        <v/>
      </c>
      <c r="X86">
        <f>HYPERLINK("https://klasma.github.io/Logging_0480/tillsyn/A 30159-2019 tillsynsbegäran.docx", "A 30159-2019")</f>
        <v/>
      </c>
      <c r="Y86">
        <f>HYPERLINK("https://klasma.github.io/Logging_0480/tillsynsmail/A 30159-2019 tillsynsbegäran mail.docx", "A 30159-2019")</f>
        <v/>
      </c>
    </row>
    <row r="87" ht="15" customHeight="1">
      <c r="A87" t="inlineStr">
        <is>
          <t>A 33322-2019</t>
        </is>
      </c>
      <c r="B87" s="1" t="n">
        <v>43650</v>
      </c>
      <c r="C87" s="1" t="n">
        <v>45712</v>
      </c>
      <c r="D87" t="inlineStr">
        <is>
          <t>SÖDERMANLANDS LÄN</t>
        </is>
      </c>
      <c r="E87" t="inlineStr">
        <is>
          <t>NYKÖPING</t>
        </is>
      </c>
      <c r="G87" t="n">
        <v>6.4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HYPERLINK("https://klasma.github.io/Logging_0480/artfynd/A 33322-2019 artfynd.xlsx", "A 33322-2019")</f>
        <v/>
      </c>
      <c r="T87">
        <f>HYPERLINK("https://klasma.github.io/Logging_0480/kartor/A 33322-2019 karta.png", "A 33322-2019")</f>
        <v/>
      </c>
      <c r="V87">
        <f>HYPERLINK("https://klasma.github.io/Logging_0480/klagomål/A 33322-2019 FSC-klagomål.docx", "A 33322-2019")</f>
        <v/>
      </c>
      <c r="W87">
        <f>HYPERLINK("https://klasma.github.io/Logging_0480/klagomålsmail/A 33322-2019 FSC-klagomål mail.docx", "A 33322-2019")</f>
        <v/>
      </c>
      <c r="X87">
        <f>HYPERLINK("https://klasma.github.io/Logging_0480/tillsyn/A 33322-2019 tillsynsbegäran.docx", "A 33322-2019")</f>
        <v/>
      </c>
      <c r="Y87">
        <f>HYPERLINK("https://klasma.github.io/Logging_0480/tillsynsmail/A 33322-2019 tillsynsbegäran mail.docx", "A 33322-2019")</f>
        <v/>
      </c>
    </row>
    <row r="88" ht="15" customHeight="1">
      <c r="A88" t="inlineStr">
        <is>
          <t>A 35143-2019</t>
        </is>
      </c>
      <c r="B88" s="1" t="n">
        <v>43661</v>
      </c>
      <c r="C88" s="1" t="n">
        <v>45712</v>
      </c>
      <c r="D88" t="inlineStr">
        <is>
          <t>SÖDERMANLANDS LÄN</t>
        </is>
      </c>
      <c r="E88" t="inlineStr">
        <is>
          <t>NYKÖPING</t>
        </is>
      </c>
      <c r="F88" t="inlineStr">
        <is>
          <t>Övriga Aktiebolag</t>
        </is>
      </c>
      <c r="G88" t="n">
        <v>0.8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35143-2019 artfynd.xlsx", "A 35143-2019")</f>
        <v/>
      </c>
      <c r="T88">
        <f>HYPERLINK("https://klasma.github.io/Logging_0480/kartor/A 35143-2019 karta.png", "A 35143-2019")</f>
        <v/>
      </c>
      <c r="V88">
        <f>HYPERLINK("https://klasma.github.io/Logging_0480/klagomål/A 35143-2019 FSC-klagomål.docx", "A 35143-2019")</f>
        <v/>
      </c>
      <c r="W88">
        <f>HYPERLINK("https://klasma.github.io/Logging_0480/klagomålsmail/A 35143-2019 FSC-klagomål mail.docx", "A 35143-2019")</f>
        <v/>
      </c>
      <c r="X88">
        <f>HYPERLINK("https://klasma.github.io/Logging_0480/tillsyn/A 35143-2019 tillsynsbegäran.docx", "A 35143-2019")</f>
        <v/>
      </c>
      <c r="Y88">
        <f>HYPERLINK("https://klasma.github.io/Logging_0480/tillsynsmail/A 35143-2019 tillsynsbegäran mail.docx", "A 35143-2019")</f>
        <v/>
      </c>
      <c r="Z88">
        <f>HYPERLINK("https://klasma.github.io/Logging_0480/fåglar/A 35143-2019 prioriterade fågelarter.docx", "A 35143-2019")</f>
        <v/>
      </c>
    </row>
    <row r="89" ht="15" customHeight="1">
      <c r="A89" t="inlineStr">
        <is>
          <t>A 43063-2019</t>
        </is>
      </c>
      <c r="B89" s="1" t="n">
        <v>43705</v>
      </c>
      <c r="C89" s="1" t="n">
        <v>45712</v>
      </c>
      <c r="D89" t="inlineStr">
        <is>
          <t>SÖDERMANLANDS LÄN</t>
        </is>
      </c>
      <c r="E89" t="inlineStr">
        <is>
          <t>NYKÖPING</t>
        </is>
      </c>
      <c r="G89" t="n">
        <v>5.7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43063-2019 artfynd.xlsx", "A 43063-2019")</f>
        <v/>
      </c>
      <c r="T89">
        <f>HYPERLINK("https://klasma.github.io/Logging_0480/kartor/A 43063-2019 karta.png", "A 43063-2019")</f>
        <v/>
      </c>
      <c r="V89">
        <f>HYPERLINK("https://klasma.github.io/Logging_0480/klagomål/A 43063-2019 FSC-klagomål.docx", "A 43063-2019")</f>
        <v/>
      </c>
      <c r="W89">
        <f>HYPERLINK("https://klasma.github.io/Logging_0480/klagomålsmail/A 43063-2019 FSC-klagomål mail.docx", "A 43063-2019")</f>
        <v/>
      </c>
      <c r="X89">
        <f>HYPERLINK("https://klasma.github.io/Logging_0480/tillsyn/A 43063-2019 tillsynsbegäran.docx", "A 43063-2019")</f>
        <v/>
      </c>
      <c r="Y89">
        <f>HYPERLINK("https://klasma.github.io/Logging_0480/tillsynsmail/A 43063-2019 tillsynsbegäran mail.docx", "A 43063-2019")</f>
        <v/>
      </c>
    </row>
    <row r="90" ht="15" customHeight="1">
      <c r="A90" t="inlineStr">
        <is>
          <t>A 54163-2019</t>
        </is>
      </c>
      <c r="B90" s="1" t="n">
        <v>43745</v>
      </c>
      <c r="C90" s="1" t="n">
        <v>45712</v>
      </c>
      <c r="D90" t="inlineStr">
        <is>
          <t>SÖDERMANLANDS LÄN</t>
        </is>
      </c>
      <c r="E90" t="inlineStr">
        <is>
          <t>NYKÖPING</t>
        </is>
      </c>
      <c r="G90" t="n">
        <v>1.9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HYPERLINK("https://klasma.github.io/Logging_0480/artfynd/A 54163-2019 artfynd.xlsx", "A 54163-2019")</f>
        <v/>
      </c>
      <c r="T90">
        <f>HYPERLINK("https://klasma.github.io/Logging_0480/kartor/A 54163-2019 karta.png", "A 54163-2019")</f>
        <v/>
      </c>
      <c r="V90">
        <f>HYPERLINK("https://klasma.github.io/Logging_0480/klagomål/A 54163-2019 FSC-klagomål.docx", "A 54163-2019")</f>
        <v/>
      </c>
      <c r="W90">
        <f>HYPERLINK("https://klasma.github.io/Logging_0480/klagomålsmail/A 54163-2019 FSC-klagomål mail.docx", "A 54163-2019")</f>
        <v/>
      </c>
      <c r="X90">
        <f>HYPERLINK("https://klasma.github.io/Logging_0480/tillsyn/A 54163-2019 tillsynsbegäran.docx", "A 54163-2019")</f>
        <v/>
      </c>
      <c r="Y90">
        <f>HYPERLINK("https://klasma.github.io/Logging_0480/tillsynsmail/A 54163-2019 tillsynsbegäran mail.docx", "A 54163-2019")</f>
        <v/>
      </c>
      <c r="Z90">
        <f>HYPERLINK("https://klasma.github.io/Logging_0480/fåglar/A 54163-2019 prioriterade fågelarter.docx", "A 54163-2019")</f>
        <v/>
      </c>
    </row>
    <row r="91" ht="15" customHeight="1">
      <c r="A91" t="inlineStr">
        <is>
          <t>A 872-2020</t>
        </is>
      </c>
      <c r="B91" s="1" t="n">
        <v>43818</v>
      </c>
      <c r="C91" s="1" t="n">
        <v>45712</v>
      </c>
      <c r="D91" t="inlineStr">
        <is>
          <t>SÖDERMANLANDS LÄN</t>
        </is>
      </c>
      <c r="E91" t="inlineStr">
        <is>
          <t>NYKÖPING</t>
        </is>
      </c>
      <c r="G91" t="n">
        <v>4.5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872-2020 artfynd.xlsx", "A 872-2020")</f>
        <v/>
      </c>
      <c r="T91">
        <f>HYPERLINK("https://klasma.github.io/Logging_0480/kartor/A 872-2020 karta.png", "A 872-2020")</f>
        <v/>
      </c>
      <c r="V91">
        <f>HYPERLINK("https://klasma.github.io/Logging_0480/klagomål/A 872-2020 FSC-klagomål.docx", "A 872-2020")</f>
        <v/>
      </c>
      <c r="W91">
        <f>HYPERLINK("https://klasma.github.io/Logging_0480/klagomålsmail/A 872-2020 FSC-klagomål mail.docx", "A 872-2020")</f>
        <v/>
      </c>
      <c r="X91">
        <f>HYPERLINK("https://klasma.github.io/Logging_0480/tillsyn/A 872-2020 tillsynsbegäran.docx", "A 872-2020")</f>
        <v/>
      </c>
      <c r="Y91">
        <f>HYPERLINK("https://klasma.github.io/Logging_0480/tillsynsmail/A 872-2020 tillsynsbegäran mail.docx", "A 872-2020")</f>
        <v/>
      </c>
      <c r="Z91">
        <f>HYPERLINK("https://klasma.github.io/Logging_0480/fåglar/A 872-2020 prioriterade fågelarter.docx", "A 872-2020")</f>
        <v/>
      </c>
    </row>
    <row r="92" ht="15" customHeight="1">
      <c r="A92" t="inlineStr">
        <is>
          <t>A 1380-2020</t>
        </is>
      </c>
      <c r="B92" s="1" t="n">
        <v>43843</v>
      </c>
      <c r="C92" s="1" t="n">
        <v>45712</v>
      </c>
      <c r="D92" t="inlineStr">
        <is>
          <t>SÖDERMANLANDS LÄN</t>
        </is>
      </c>
      <c r="E92" t="inlineStr">
        <is>
          <t>NYKÖPING</t>
        </is>
      </c>
      <c r="G92" t="n">
        <v>1.7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1380-2020 artfynd.xlsx", "A 1380-2020")</f>
        <v/>
      </c>
      <c r="T92">
        <f>HYPERLINK("https://klasma.github.io/Logging_0480/kartor/A 1380-2020 karta.png", "A 1380-2020")</f>
        <v/>
      </c>
      <c r="V92">
        <f>HYPERLINK("https://klasma.github.io/Logging_0480/klagomål/A 1380-2020 FSC-klagomål.docx", "A 1380-2020")</f>
        <v/>
      </c>
      <c r="W92">
        <f>HYPERLINK("https://klasma.github.io/Logging_0480/klagomålsmail/A 1380-2020 FSC-klagomål mail.docx", "A 1380-2020")</f>
        <v/>
      </c>
      <c r="X92">
        <f>HYPERLINK("https://klasma.github.io/Logging_0480/tillsyn/A 1380-2020 tillsynsbegäran.docx", "A 1380-2020")</f>
        <v/>
      </c>
      <c r="Y92">
        <f>HYPERLINK("https://klasma.github.io/Logging_0480/tillsynsmail/A 1380-2020 tillsynsbegäran mail.docx", "A 1380-2020")</f>
        <v/>
      </c>
    </row>
    <row r="93" ht="15" customHeight="1">
      <c r="A93" t="inlineStr">
        <is>
          <t>A 4244-2020</t>
        </is>
      </c>
      <c r="B93" s="1" t="n">
        <v>43857</v>
      </c>
      <c r="C93" s="1" t="n">
        <v>45712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3.9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4244-2020 artfynd.xlsx", "A 4244-2020")</f>
        <v/>
      </c>
      <c r="T93">
        <f>HYPERLINK("https://klasma.github.io/Logging_0480/kartor/A 4244-2020 karta.png", "A 4244-2020")</f>
        <v/>
      </c>
      <c r="U93">
        <f>HYPERLINK("https://klasma.github.io/Logging_0480/knärot/A 4244-2020 karta knärot.png", "A 4244-2020")</f>
        <v/>
      </c>
      <c r="V93">
        <f>HYPERLINK("https://klasma.github.io/Logging_0480/klagomål/A 4244-2020 FSC-klagomål.docx", "A 4244-2020")</f>
        <v/>
      </c>
      <c r="W93">
        <f>HYPERLINK("https://klasma.github.io/Logging_0480/klagomålsmail/A 4244-2020 FSC-klagomål mail.docx", "A 4244-2020")</f>
        <v/>
      </c>
      <c r="X93">
        <f>HYPERLINK("https://klasma.github.io/Logging_0480/tillsyn/A 4244-2020 tillsynsbegäran.docx", "A 4244-2020")</f>
        <v/>
      </c>
      <c r="Y93">
        <f>HYPERLINK("https://klasma.github.io/Logging_0480/tillsynsmail/A 4244-2020 tillsynsbegäran mail.docx", "A 4244-2020")</f>
        <v/>
      </c>
    </row>
    <row r="94" ht="15" customHeight="1">
      <c r="A94" t="inlineStr">
        <is>
          <t>A 7702-2020</t>
        </is>
      </c>
      <c r="B94" s="1" t="n">
        <v>43872</v>
      </c>
      <c r="C94" s="1" t="n">
        <v>45712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HYPERLINK("https://klasma.github.io/Logging_0480/artfynd/A 7702-2020 artfynd.xlsx", "A 7702-2020")</f>
        <v/>
      </c>
      <c r="T94">
        <f>HYPERLINK("https://klasma.github.io/Logging_0480/kartor/A 7702-2020 karta.png", "A 7702-2020")</f>
        <v/>
      </c>
      <c r="V94">
        <f>HYPERLINK("https://klasma.github.io/Logging_0480/klagomål/A 7702-2020 FSC-klagomål.docx", "A 7702-2020")</f>
        <v/>
      </c>
      <c r="W94">
        <f>HYPERLINK("https://klasma.github.io/Logging_0480/klagomålsmail/A 7702-2020 FSC-klagomål mail.docx", "A 7702-2020")</f>
        <v/>
      </c>
      <c r="X94">
        <f>HYPERLINK("https://klasma.github.io/Logging_0480/tillsyn/A 7702-2020 tillsynsbegäran.docx", "A 7702-2020")</f>
        <v/>
      </c>
      <c r="Y94">
        <f>HYPERLINK("https://klasma.github.io/Logging_0480/tillsynsmail/A 7702-2020 tillsynsbegäran mail.docx", "A 7702-2020")</f>
        <v/>
      </c>
    </row>
    <row r="95" ht="15" customHeight="1">
      <c r="A95" t="inlineStr">
        <is>
          <t>A 13756-2020</t>
        </is>
      </c>
      <c r="B95" s="1" t="n">
        <v>43903</v>
      </c>
      <c r="C95" s="1" t="n">
        <v>45712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HYPERLINK("https://klasma.github.io/Logging_0480/artfynd/A 13756-2020 artfynd.xlsx", "A 13756-2020")</f>
        <v/>
      </c>
      <c r="T95">
        <f>HYPERLINK("https://klasma.github.io/Logging_0480/kartor/A 13756-2020 karta.png", "A 13756-2020")</f>
        <v/>
      </c>
      <c r="V95">
        <f>HYPERLINK("https://klasma.github.io/Logging_0480/klagomål/A 13756-2020 FSC-klagomål.docx", "A 13756-2020")</f>
        <v/>
      </c>
      <c r="W95">
        <f>HYPERLINK("https://klasma.github.io/Logging_0480/klagomålsmail/A 13756-2020 FSC-klagomål mail.docx", "A 13756-2020")</f>
        <v/>
      </c>
      <c r="X95">
        <f>HYPERLINK("https://klasma.github.io/Logging_0480/tillsyn/A 13756-2020 tillsynsbegäran.docx", "A 13756-2020")</f>
        <v/>
      </c>
      <c r="Y95">
        <f>HYPERLINK("https://klasma.github.io/Logging_0480/tillsynsmail/A 13756-2020 tillsynsbegäran mail.docx", "A 13756-2020")</f>
        <v/>
      </c>
    </row>
    <row r="96" ht="15" customHeight="1">
      <c r="A96" t="inlineStr">
        <is>
          <t>A 19647-2020</t>
        </is>
      </c>
      <c r="B96" s="1" t="n">
        <v>43937</v>
      </c>
      <c r="C96" s="1" t="n">
        <v>45712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Raggtaggsvamp</t>
        </is>
      </c>
      <c r="S96">
        <f>HYPERLINK("https://klasma.github.io/Logging_0480/artfynd/A 19647-2020 artfynd.xlsx", "A 19647-2020")</f>
        <v/>
      </c>
      <c r="T96">
        <f>HYPERLINK("https://klasma.github.io/Logging_0480/kartor/A 19647-2020 karta.png", "A 19647-2020")</f>
        <v/>
      </c>
      <c r="V96">
        <f>HYPERLINK("https://klasma.github.io/Logging_0480/klagomål/A 19647-2020 FSC-klagomål.docx", "A 19647-2020")</f>
        <v/>
      </c>
      <c r="W96">
        <f>HYPERLINK("https://klasma.github.io/Logging_0480/klagomålsmail/A 19647-2020 FSC-klagomål mail.docx", "A 19647-2020")</f>
        <v/>
      </c>
      <c r="X96">
        <f>HYPERLINK("https://klasma.github.io/Logging_0480/tillsyn/A 19647-2020 tillsynsbegäran.docx", "A 19647-2020")</f>
        <v/>
      </c>
      <c r="Y96">
        <f>HYPERLINK("https://klasma.github.io/Logging_0480/tillsynsmail/A 19647-2020 tillsynsbegäran mail.docx", "A 19647-2020")</f>
        <v/>
      </c>
    </row>
    <row r="97" ht="15" customHeight="1">
      <c r="A97" t="inlineStr">
        <is>
          <t>A 20017-2020</t>
        </is>
      </c>
      <c r="B97" s="1" t="n">
        <v>43942</v>
      </c>
      <c r="C97" s="1" t="n">
        <v>45712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20017-2020 artfynd.xlsx", "A 20017-2020")</f>
        <v/>
      </c>
      <c r="T97">
        <f>HYPERLINK("https://klasma.github.io/Logging_0480/kartor/A 20017-2020 karta.png", "A 20017-2020")</f>
        <v/>
      </c>
      <c r="V97">
        <f>HYPERLINK("https://klasma.github.io/Logging_0480/klagomål/A 20017-2020 FSC-klagomål.docx", "A 20017-2020")</f>
        <v/>
      </c>
      <c r="W97">
        <f>HYPERLINK("https://klasma.github.io/Logging_0480/klagomålsmail/A 20017-2020 FSC-klagomål mail.docx", "A 20017-2020")</f>
        <v/>
      </c>
      <c r="X97">
        <f>HYPERLINK("https://klasma.github.io/Logging_0480/tillsyn/A 20017-2020 tillsynsbegäran.docx", "A 20017-2020")</f>
        <v/>
      </c>
      <c r="Y97">
        <f>HYPERLINK("https://klasma.github.io/Logging_0480/tillsynsmail/A 20017-2020 tillsynsbegäran mail.docx", "A 20017-2020")</f>
        <v/>
      </c>
    </row>
    <row r="98" ht="15" customHeight="1">
      <c r="A98" t="inlineStr">
        <is>
          <t>A 25802-2020</t>
        </is>
      </c>
      <c r="B98" s="1" t="n">
        <v>43983</v>
      </c>
      <c r="C98" s="1" t="n">
        <v>45712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HYPERLINK("https://klasma.github.io/Logging_0480/artfynd/A 25802-2020 artfynd.xlsx", "A 25802-2020")</f>
        <v/>
      </c>
      <c r="T98">
        <f>HYPERLINK("https://klasma.github.io/Logging_0480/kartor/A 25802-2020 karta.png", "A 25802-2020")</f>
        <v/>
      </c>
      <c r="V98">
        <f>HYPERLINK("https://klasma.github.io/Logging_0480/klagomål/A 25802-2020 FSC-klagomål.docx", "A 25802-2020")</f>
        <v/>
      </c>
      <c r="W98">
        <f>HYPERLINK("https://klasma.github.io/Logging_0480/klagomålsmail/A 25802-2020 FSC-klagomål mail.docx", "A 25802-2020")</f>
        <v/>
      </c>
      <c r="X98">
        <f>HYPERLINK("https://klasma.github.io/Logging_0480/tillsyn/A 25802-2020 tillsynsbegäran.docx", "A 25802-2020")</f>
        <v/>
      </c>
      <c r="Y98">
        <f>HYPERLINK("https://klasma.github.io/Logging_0480/tillsynsmail/A 25802-2020 tillsynsbegäran mail.docx", "A 25802-2020")</f>
        <v/>
      </c>
    </row>
    <row r="99" ht="15" customHeight="1">
      <c r="A99" t="inlineStr">
        <is>
          <t>A 29400-2020</t>
        </is>
      </c>
      <c r="B99" s="1" t="n">
        <v>44004</v>
      </c>
      <c r="C99" s="1" t="n">
        <v>45712</v>
      </c>
      <c r="D99" t="inlineStr">
        <is>
          <t>SÖDERMANLANDS LÄN</t>
        </is>
      </c>
      <c r="E99" t="inlineStr">
        <is>
          <t>NYKÖPING</t>
        </is>
      </c>
      <c r="G99" t="n">
        <v>7.7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HYPERLINK("https://klasma.github.io/Logging_0480/artfynd/A 29400-2020 artfynd.xlsx", "A 29400-2020")</f>
        <v/>
      </c>
      <c r="T99">
        <f>HYPERLINK("https://klasma.github.io/Logging_0480/kartor/A 29400-2020 karta.png", "A 29400-2020")</f>
        <v/>
      </c>
      <c r="V99">
        <f>HYPERLINK("https://klasma.github.io/Logging_0480/klagomål/A 29400-2020 FSC-klagomål.docx", "A 29400-2020")</f>
        <v/>
      </c>
      <c r="W99">
        <f>HYPERLINK("https://klasma.github.io/Logging_0480/klagomålsmail/A 29400-2020 FSC-klagomål mail.docx", "A 29400-2020")</f>
        <v/>
      </c>
      <c r="X99">
        <f>HYPERLINK("https://klasma.github.io/Logging_0480/tillsyn/A 29400-2020 tillsynsbegäran.docx", "A 29400-2020")</f>
        <v/>
      </c>
      <c r="Y99">
        <f>HYPERLINK("https://klasma.github.io/Logging_0480/tillsynsmail/A 29400-2020 tillsynsbegäran mail.docx", "A 29400-2020")</f>
        <v/>
      </c>
    </row>
    <row r="100" ht="15" customHeight="1">
      <c r="A100" t="inlineStr">
        <is>
          <t>A 29320-2020</t>
        </is>
      </c>
      <c r="B100" s="1" t="n">
        <v>44004</v>
      </c>
      <c r="C100" s="1" t="n">
        <v>45712</v>
      </c>
      <c r="D100" t="inlineStr">
        <is>
          <t>SÖDERMANLANDS LÄN</t>
        </is>
      </c>
      <c r="E100" t="inlineStr">
        <is>
          <t>NYKÖPING</t>
        </is>
      </c>
      <c r="G100" t="n">
        <v>15.2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Buskskvätta</t>
        </is>
      </c>
      <c r="S100">
        <f>HYPERLINK("https://klasma.github.io/Logging_0480/artfynd/A 29320-2020 artfynd.xlsx", "A 29320-2020")</f>
        <v/>
      </c>
      <c r="T100">
        <f>HYPERLINK("https://klasma.github.io/Logging_0480/kartor/A 29320-2020 karta.png", "A 29320-2020")</f>
        <v/>
      </c>
      <c r="V100">
        <f>HYPERLINK("https://klasma.github.io/Logging_0480/klagomål/A 29320-2020 FSC-klagomål.docx", "A 29320-2020")</f>
        <v/>
      </c>
      <c r="W100">
        <f>HYPERLINK("https://klasma.github.io/Logging_0480/klagomålsmail/A 29320-2020 FSC-klagomål mail.docx", "A 29320-2020")</f>
        <v/>
      </c>
      <c r="X100">
        <f>HYPERLINK("https://klasma.github.io/Logging_0480/tillsyn/A 29320-2020 tillsynsbegäran.docx", "A 29320-2020")</f>
        <v/>
      </c>
      <c r="Y100">
        <f>HYPERLINK("https://klasma.github.io/Logging_0480/tillsynsmail/A 29320-2020 tillsynsbegäran mail.docx", "A 29320-2020")</f>
        <v/>
      </c>
      <c r="Z100">
        <f>HYPERLINK("https://klasma.github.io/Logging_0480/fåglar/A 29320-2020 prioriterade fågelarter.docx", "A 29320-2020")</f>
        <v/>
      </c>
    </row>
    <row r="101" ht="15" customHeight="1">
      <c r="A101" t="inlineStr">
        <is>
          <t>A 29402-2020</t>
        </is>
      </c>
      <c r="B101" s="1" t="n">
        <v>44004</v>
      </c>
      <c r="C101" s="1" t="n">
        <v>45712</v>
      </c>
      <c r="D101" t="inlineStr">
        <is>
          <t>SÖDERMANLANDS LÄN</t>
        </is>
      </c>
      <c r="E101" t="inlineStr">
        <is>
          <t>NYKÖPING</t>
        </is>
      </c>
      <c r="G101" t="n">
        <v>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Flodsångare</t>
        </is>
      </c>
      <c r="S101">
        <f>HYPERLINK("https://klasma.github.io/Logging_0480/artfynd/A 29402-2020 artfynd.xlsx", "A 29402-2020")</f>
        <v/>
      </c>
      <c r="T101">
        <f>HYPERLINK("https://klasma.github.io/Logging_0480/kartor/A 29402-2020 karta.png", "A 29402-2020")</f>
        <v/>
      </c>
      <c r="V101">
        <f>HYPERLINK("https://klasma.github.io/Logging_0480/klagomål/A 29402-2020 FSC-klagomål.docx", "A 29402-2020")</f>
        <v/>
      </c>
      <c r="W101">
        <f>HYPERLINK("https://klasma.github.io/Logging_0480/klagomålsmail/A 29402-2020 FSC-klagomål mail.docx", "A 29402-2020")</f>
        <v/>
      </c>
      <c r="X101">
        <f>HYPERLINK("https://klasma.github.io/Logging_0480/tillsyn/A 29402-2020 tillsynsbegäran.docx", "A 29402-2020")</f>
        <v/>
      </c>
      <c r="Y101">
        <f>HYPERLINK("https://klasma.github.io/Logging_0480/tillsynsmail/A 29402-2020 tillsynsbegäran mail.docx", "A 29402-2020")</f>
        <v/>
      </c>
    </row>
    <row r="102" ht="15" customHeight="1">
      <c r="A102" t="inlineStr">
        <is>
          <t>A 30887-2020</t>
        </is>
      </c>
      <c r="B102" s="1" t="n">
        <v>44008</v>
      </c>
      <c r="C102" s="1" t="n">
        <v>45712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HYPERLINK("https://klasma.github.io/Logging_0480/artfynd/A 30887-2020 artfynd.xlsx", "A 30887-2020")</f>
        <v/>
      </c>
      <c r="T102">
        <f>HYPERLINK("https://klasma.github.io/Logging_0480/kartor/A 30887-2020 karta.png", "A 30887-2020")</f>
        <v/>
      </c>
      <c r="V102">
        <f>HYPERLINK("https://klasma.github.io/Logging_0480/klagomål/A 30887-2020 FSC-klagomål.docx", "A 30887-2020")</f>
        <v/>
      </c>
      <c r="W102">
        <f>HYPERLINK("https://klasma.github.io/Logging_0480/klagomålsmail/A 30887-2020 FSC-klagomål mail.docx", "A 30887-2020")</f>
        <v/>
      </c>
      <c r="X102">
        <f>HYPERLINK("https://klasma.github.io/Logging_0480/tillsyn/A 30887-2020 tillsynsbegäran.docx", "A 30887-2020")</f>
        <v/>
      </c>
      <c r="Y102">
        <f>HYPERLINK("https://klasma.github.io/Logging_0480/tillsynsmail/A 30887-2020 tillsynsbegäran mail.docx", "A 30887-2020")</f>
        <v/>
      </c>
    </row>
    <row r="103" ht="15" customHeight="1">
      <c r="A103" t="inlineStr">
        <is>
          <t>A 44227-2020</t>
        </is>
      </c>
      <c r="B103" s="1" t="n">
        <v>44084</v>
      </c>
      <c r="C103" s="1" t="n">
        <v>45712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HYPERLINK("https://klasma.github.io/Logging_0480/artfynd/A 44227-2020 artfynd.xlsx", "A 44227-2020")</f>
        <v/>
      </c>
      <c r="T103">
        <f>HYPERLINK("https://klasma.github.io/Logging_0480/kartor/A 44227-2020 karta.png", "A 44227-2020")</f>
        <v/>
      </c>
      <c r="V103">
        <f>HYPERLINK("https://klasma.github.io/Logging_0480/klagomål/A 44227-2020 FSC-klagomål.docx", "A 44227-2020")</f>
        <v/>
      </c>
      <c r="W103">
        <f>HYPERLINK("https://klasma.github.io/Logging_0480/klagomålsmail/A 44227-2020 FSC-klagomål mail.docx", "A 44227-2020")</f>
        <v/>
      </c>
      <c r="X103">
        <f>HYPERLINK("https://klasma.github.io/Logging_0480/tillsyn/A 44227-2020 tillsynsbegäran.docx", "A 44227-2020")</f>
        <v/>
      </c>
      <c r="Y103">
        <f>HYPERLINK("https://klasma.github.io/Logging_0480/tillsynsmail/A 44227-2020 tillsynsbegäran mail.docx", "A 44227-2020")</f>
        <v/>
      </c>
    </row>
    <row r="104" ht="15" customHeight="1">
      <c r="A104" t="inlineStr">
        <is>
          <t>A 7130-2021</t>
        </is>
      </c>
      <c r="B104" s="1" t="n">
        <v>44238</v>
      </c>
      <c r="C104" s="1" t="n">
        <v>45712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4.1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HYPERLINK("https://klasma.github.io/Logging_0480/artfynd/A 7130-2021 artfynd.xlsx", "A 7130-2021")</f>
        <v/>
      </c>
      <c r="T104">
        <f>HYPERLINK("https://klasma.github.io/Logging_0480/kartor/A 7130-2021 karta.png", "A 7130-2021")</f>
        <v/>
      </c>
      <c r="V104">
        <f>HYPERLINK("https://klasma.github.io/Logging_0480/klagomål/A 7130-2021 FSC-klagomål.docx", "A 7130-2021")</f>
        <v/>
      </c>
      <c r="W104">
        <f>HYPERLINK("https://klasma.github.io/Logging_0480/klagomålsmail/A 7130-2021 FSC-klagomål mail.docx", "A 7130-2021")</f>
        <v/>
      </c>
      <c r="X104">
        <f>HYPERLINK("https://klasma.github.io/Logging_0480/tillsyn/A 7130-2021 tillsynsbegäran.docx", "A 7130-2021")</f>
        <v/>
      </c>
      <c r="Y104">
        <f>HYPERLINK("https://klasma.github.io/Logging_0480/tillsynsmail/A 7130-2021 tillsynsbegäran mail.docx", "A 7130-2021")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45712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45712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45712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45712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45712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45712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45712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45712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45712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45712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45712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45712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45712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45712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45712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45712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45712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45712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45712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45712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45712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45712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45712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45712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45712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45712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45712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45712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45712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45712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45712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45712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45712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45712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45712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45712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45712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45712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45712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45712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45712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45712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45712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45712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45712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45712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45712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45712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45712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45712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45712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45712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45712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45712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45712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45712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45712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45712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45712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45712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45712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45712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45712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45712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45712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45712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45712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45712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45712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45712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45712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45712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45712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45712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45712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45712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45712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45712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45712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45712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45712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45712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45712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45712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45712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45712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45712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45712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45712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45712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45712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45712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45712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45712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45712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45712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45712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45712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45712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45712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45712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45712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45712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45712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45712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45712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45712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45712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45712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45712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45712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45712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45712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45712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45712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45712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45712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45712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45712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45712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45712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45712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45712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45712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45712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45712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45712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45712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45712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45712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45712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45712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45712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45712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45712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45712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45712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45712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45712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45712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45712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45712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45712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45712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45712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45712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45712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45712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45712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45712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45712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45712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45712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45712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45712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45712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45712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45712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45712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45712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45712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45712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45712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45712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45712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45712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45712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45712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45712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45712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45712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45712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45712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45712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45712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45712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45712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45712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45712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45712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45712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45712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45712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45712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45712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45712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45712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45712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45712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45712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45712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45712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45712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45712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45712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45712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45712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45712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45712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45712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45712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45712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45712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45712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45712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45712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45712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45712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45712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45712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45712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45712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45712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45712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45712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45712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45712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45712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45712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45712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45712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45712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45712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45712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45712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45712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45712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45712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45712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45712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45712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45712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45712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45712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45712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45712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45712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45712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45712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45712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45712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45712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45712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45712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45712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45712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45712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45712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45712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45712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45712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45712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45712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45712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45712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45712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45712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45712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45712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45712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45712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45712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45712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45712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45712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45712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45712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45712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45712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45712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45712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45712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45712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45712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45712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45712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45712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45712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45712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45712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45712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45712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45712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45712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45712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45712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45712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45712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45712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45712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45712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45712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45712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45712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45712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45712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45712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45712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45712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45712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45712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45712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45712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45712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45712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45712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45712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45712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45712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45712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45712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45712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45712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45712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45712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45712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45712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45712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45712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45712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45712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45712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45712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45712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45712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45712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45712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45712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45712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45712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45712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45712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45712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45712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45712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45712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45712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45712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45712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45712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45712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45712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45712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45712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45712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45712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45712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45712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45712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45712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45712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45712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45712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45712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45712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45712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45712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45712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45712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45712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45712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45712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45712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45712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45712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45712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45712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45712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45712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45712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45712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45712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45712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45712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45712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45712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45712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45712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45712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45712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45712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45712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45712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45712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45712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45712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45712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45712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45712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45712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45712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45712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45712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45712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45712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45712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45712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45712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45712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45712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45712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45712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45712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45712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45712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45712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45712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45712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45712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45712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45712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45712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45712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45712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45712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45712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45712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45712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45712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45712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45712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45712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45712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45712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45712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45712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45712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45712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45712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45712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45712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45712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45712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45712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45712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45712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45712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45712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45712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45712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45712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45712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45712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45712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45712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45712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45712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45712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45712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45712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45712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45712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45712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45712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45712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45712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45712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45712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45712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45712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45712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45712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45712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45712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45712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45712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45712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45712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45712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45712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45712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45712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45712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45712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45712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45712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45712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45712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45712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45712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45712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45712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45712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45712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45712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45712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45712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45712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45712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45712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45712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45712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45712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45712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45712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45712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45712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45712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45712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45712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45712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45712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45712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45712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45712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45712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45712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45712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45712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45712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45712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45712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45712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45712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45712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45712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45712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45712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45712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45712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45712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45712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45712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45712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45712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45712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45712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45712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45712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45712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45712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45712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45712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45712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45712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45712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45712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45712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45712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45712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45712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45712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45712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45712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45712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45712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45712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45712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45712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45712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45712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45712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45712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45712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45712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45712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45712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45712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45712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45712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45712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45712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45712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45712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45712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45712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45712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45712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45712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45712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45712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45712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45712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45712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45712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45712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45712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45712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45712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45712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45712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45712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45712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45712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45712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45712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45712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45712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45712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45712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45712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45712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45712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45712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45712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45712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45712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45712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45712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45712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45712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45712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45712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45712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45712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45712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45712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45712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45712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45712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45712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45712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45712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45712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45712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45712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45712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45712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45712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45712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45712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45712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45712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45712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45712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45712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45712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45712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45712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45712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45712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45712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45712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45712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45712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45712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45712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45712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45712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45712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45712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45712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45712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45712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45712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45712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45712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45712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45712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45712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45712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45712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45712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45712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45712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45712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45712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45712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45712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45712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45712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45712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45712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45712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45712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45712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45712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45712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45712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45712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45712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45712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45712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45712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45712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45712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45712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45712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45712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45712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45712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45712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45712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45712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45712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45712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45712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45712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45712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45712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45712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45712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45712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45712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45712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45712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45712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45712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45712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45712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45712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45712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45712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45712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45712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45712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45712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45712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45712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45712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45712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45712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45712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45712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45712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45712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45712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45712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45712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45712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45712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45712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45712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45712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45712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45712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45712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45712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45712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45712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45712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45712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45712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45712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45712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45712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45712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45712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45712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45712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45712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45712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45712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45712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45712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45712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45712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45712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45712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45712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45712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45712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45712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45712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45712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45712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45712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45712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45712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45712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45712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45712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45712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45712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45712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45712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45712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45712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45712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45712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45712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45712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45712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45712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45712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45712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45712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45712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45712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45712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45712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45712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45712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45712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45712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45712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45712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45712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45712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45712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45712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45712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45712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45712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45712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45712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45712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45712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45712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45712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45712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45712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45712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45712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45712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45712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45712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45712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45712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45712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45712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45712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45712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45712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45712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45712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45712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45712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45712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45712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45712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45712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45712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45712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45712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45712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45712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45712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45712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45712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45712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45712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45712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45712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45712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45712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45712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45712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45712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45712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45712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45712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45712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45712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45712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45712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45712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45712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45712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45712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45712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45712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45712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45712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45712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45712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45712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45712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45712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45712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45712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45712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45712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45712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45712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45712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45712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45712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45712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45712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45712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45712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45712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45712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45712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45712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45712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45712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45712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45712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45712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45712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45712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45712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45712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45712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45712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45712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45712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45712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45712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45712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45712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45712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45712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45712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45712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45712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45712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45712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45712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45712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45712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45712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45712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45712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45712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45712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45712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45712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45712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45712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45712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45712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45712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45712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45712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45712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45712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45712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45712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45712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45712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45712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45712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45712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45712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45712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45712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45712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45712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45712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45712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45712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45712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45712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45712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45712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45712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45712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45712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45712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45712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45712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45712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45712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45712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45712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45712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45712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45712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45712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45712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45712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45712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45712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45712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45712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45712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45712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45712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45712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45712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45712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45712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45712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45712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45712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45712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45712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45712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45712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45712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45712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45712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45712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45712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45712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45712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45712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45712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45712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45712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45712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45712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45712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45712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45712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45712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45712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45712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45712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45712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45712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45712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45712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45712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45712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45712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45712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45712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45712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45712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45712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45712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45712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45712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45712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45712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45712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45712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45712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45712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45712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45712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45712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45712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45712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45712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45712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45712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45712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45712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45712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45712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45712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45712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45712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45712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45712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45712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45712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45712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45712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45712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45712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45712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45712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45712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45712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45712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45712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45712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45712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45712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45712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45712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45712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45712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45712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45712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45712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45712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45712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45712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45712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45712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45712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45712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45712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45712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45712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45712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45712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45712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45712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45712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45712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45712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45712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45712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45712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45712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45712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45712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45712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45712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45712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45712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45712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45712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45712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45712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45712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45712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45712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45712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45712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45712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45712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45712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45712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45712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45712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45712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45712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45712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45712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45712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45712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45712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45712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45712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45712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45712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45712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45712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45712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45712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45712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45712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45712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45712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45712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45712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45712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45712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45712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45712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45712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45712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45712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45712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45712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45712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45712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45712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45712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45712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45712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45712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45712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45712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45712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45712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45712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45712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45712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45712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45712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45712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45712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45712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45712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45712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45712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45712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45712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45712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45712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45712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45712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45712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45712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45712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45712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45712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45712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45712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45712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45712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45712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45712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45712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45712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45712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45712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45712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45712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45712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45712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45712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45712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45712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45712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45712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45712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45712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45712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45712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45712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45712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45712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45712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45712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45712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45712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45712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45712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45712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45712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45712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45712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45712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45712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45712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45712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45712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45712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45712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45712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45712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45712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45712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45712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45712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45712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45712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45712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45712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45712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45712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45712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45712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45712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45712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45712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45712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45712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45712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45712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45712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45712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45712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45712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45712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45712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45712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45712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45712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45712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45712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45712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45712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45712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45712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45712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45712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45712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45712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45712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45712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45712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45712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45712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45712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45712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45712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45712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45712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45712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45712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45712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45712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45712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45712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45712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45712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45712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45712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45712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45712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45712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45712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45712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45712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45712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45712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45712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45712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45712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45712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45712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45712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45712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45712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45712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45712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45712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45712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45712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45712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45712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45712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45712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45712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45712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45712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45712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45712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45712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45712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45712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45712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45712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45712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45712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45712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45712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45712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45712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45712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45712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45712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45712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45712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45712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45712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45712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45712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45712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45712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45712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45712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45712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45712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45712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45712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45712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45712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45712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45712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45712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45712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45712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45712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45712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45712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45712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45712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45712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45712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45712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45712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45712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45712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45712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45712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45712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45712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45712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45712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45712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45712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45712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45712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45712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45712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45712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45712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45712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45712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45712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45712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45712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45712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45712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45712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45712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45712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45712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45712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45712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45712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45712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45712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45712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45712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45712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45712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45712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45712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45712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45712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45712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45712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45712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45712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45712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45712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45712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45712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45712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45712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45712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45712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45712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45712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45712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45712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45712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45712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45712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45712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45712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45712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45712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45712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45712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45712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45712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45712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45712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45712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45712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45712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45712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45712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45712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45712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45712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45712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45712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45712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45712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45712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45712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45712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45712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45712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45712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45712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45712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45712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45712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45712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45712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45712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45712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45712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45712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45712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45712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45712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45712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45712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45712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45712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45712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45712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45712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45712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45712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45712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45712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45712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45712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45712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45712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45712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45712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45712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45712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45712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45712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45712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45712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45712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45712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45712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45712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45712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45712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45712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45712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45712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45712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45712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45712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45712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45712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45712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45712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45712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45712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45712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45712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45712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45712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45712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45712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45712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45712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45712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45712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45712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45712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45712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45712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45712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45712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45712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45712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45712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45712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45712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45712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45712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45712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45712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45712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45712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45712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45712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45712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45712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45712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45712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45712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45712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45712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45712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45712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45712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45712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45712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45712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45712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45712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45712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45712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45712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45712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45712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45712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45712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45712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45712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45712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45712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45712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45712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45712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45712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45712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45712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45712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45712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45712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45712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45712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45712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45712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45712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45712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45712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45712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45712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45712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45712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45712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45712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45712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45712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45712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45712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45712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45712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45712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45712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45712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45712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45712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45712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45712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45712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45712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45712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45712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45712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45712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45712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45712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45712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45712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45712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45712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45712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45712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45712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45712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45712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45712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45712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45712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45712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45712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45712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45712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45712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45712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45712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45712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45712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45712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45712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45712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45712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45712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45712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45712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45712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45712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45712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45712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45712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45712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45712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45712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45712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45712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45712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45712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45712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45712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45712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45712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45712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45712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45712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45712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45712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45712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45712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45712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45712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4010-2025</t>
        </is>
      </c>
      <c r="B1736" s="1" t="n">
        <v>45684</v>
      </c>
      <c r="C1736" s="1" t="n">
        <v>45712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45712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45712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45712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45712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45712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4182-2025</t>
        </is>
      </c>
      <c r="B1742" s="1" t="n">
        <v>45685</v>
      </c>
      <c r="C1742" s="1" t="n">
        <v>45712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4136-2025</t>
        </is>
      </c>
      <c r="B1743" s="1" t="n">
        <v>45685</v>
      </c>
      <c r="C1743" s="1" t="n">
        <v>45712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45712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45712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45712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45712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45712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45712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45712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45712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45712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45712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45712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45712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45712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45712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45712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45712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7772-2025</t>
        </is>
      </c>
      <c r="B1760" s="1" t="n">
        <v>45706</v>
      </c>
      <c r="C1760" s="1" t="n">
        <v>45712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2025-02-24T16:56:10Z</dcterms:created>
  <dcterms:modified xmlns:dcterms="http://purl.org/dc/terms/" xmlns:xsi="http://www.w3.org/2001/XMLSchema-instance" xsi:type="dcterms:W3CDTF">2025-02-24T16:56:12Z</dcterms:modified>
</cp:coreProperties>
</file>