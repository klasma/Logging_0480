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46231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46231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46231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46231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46231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46231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46231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46231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46231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46231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46231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46231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46231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46231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46231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Granbarkgnagare
Grovticka
Jättesvampmal
Stekelbock
Stor aspticka
Stubbspretmossa</t>
        </is>
      </c>
      <c r="W19">
        <f>HYPERLINK("https://klasma.github.io/Logging_0480/artfynd/A 56099-2024 artfynd.xlsx", "A 56099-2024")</f>
        <v/>
      </c>
      <c r="X19">
        <f>HYPERLINK("https://klasma.github.io/Logging_0480/kartor/A 56099-2024 karta.png", "A 56099-2024")</f>
        <v/>
      </c>
      <c r="Y19">
        <f>HYPERLINK("https://klasma.github.io/Logging_0480/kartor_geotiff/A 56099-2024 georefererad karta.tif", "A 56099-2024")</f>
        <v/>
      </c>
      <c r="AA19">
        <f>HYPERLINK("https://klasma.github.io/Logging_0480/klagomål/A 56099-2024 FSC-klagomål.docx", "A 56099-2024")</f>
        <v/>
      </c>
      <c r="AB19">
        <f>HYPERLINK("https://klasma.github.io/Logging_0480/klagomålsmail/A 56099-2024 FSC-klagomål mail.docx", "A 56099-2024")</f>
        <v/>
      </c>
      <c r="AC19">
        <f>HYPERLINK("https://klasma.github.io/Logging_0480/tillsyn/A 56099-2024 tillsynsbegäran.docx", "A 56099-2024")</f>
        <v/>
      </c>
      <c r="AD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46231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46231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46231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46231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46231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46231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46231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46231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4</v>
      </c>
      <c r="V27" s="2" t="inlineStr">
        <is>
          <t>Skogsklocka
Skorpgelélav
Aspvedgnagare
Stor aspticka</t>
        </is>
      </c>
      <c r="W27">
        <f>HYPERLINK("https://klasma.github.io/Logging_0480/artfynd/A 1509-2023 artfynd.xlsx", "A 1509-2023")</f>
        <v/>
      </c>
      <c r="X27">
        <f>HYPERLINK("https://klasma.github.io/Logging_0480/kartor/A 1509-2023 karta.png", "A 1509-2023")</f>
        <v/>
      </c>
      <c r="Y27">
        <f>HYPERLINK("https://klasma.github.io/Logging_0480/kartor_geotiff/A 1509-2023 georefererad karta.tif", "A 1509-2023")</f>
        <v/>
      </c>
      <c r="AA27">
        <f>HYPERLINK("https://klasma.github.io/Logging_0480/klagomål/A 1509-2023 FSC-klagomål.docx", "A 1509-2023")</f>
        <v/>
      </c>
      <c r="AB27">
        <f>HYPERLINK("https://klasma.github.io/Logging_0480/klagomålsmail/A 1509-2023 FSC-klagomål mail.docx", "A 1509-2023")</f>
        <v/>
      </c>
      <c r="AC27">
        <f>HYPERLINK("https://klasma.github.io/Logging_0480/tillsyn/A 1509-2023 tillsynsbegäran.docx", "A 1509-2023")</f>
        <v/>
      </c>
      <c r="AD27">
        <f>HYPERLINK("https://klasma.github.io/Logging_0480/tillsynsmail/A 1509-2023 tillsynsbegäran mail.docx", "A 1509-2023")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46231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46231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52386-2025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45954</v>
      </c>
      <c r="E30" s="1" t="n">
        <v>46231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9.800000000000001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Motaggsvamp
Blåmossa
Grönpyrola
Stor revmossa</t>
        </is>
      </c>
      <c r="W30">
        <f>HYPERLINK("https://klasma.github.io/Logging_0480/artfynd/A 52386-2025 artfynd.xlsx", "A 52386-2025")</f>
        <v/>
      </c>
      <c r="X30">
        <f>HYPERLINK("https://klasma.github.io/Logging_0480/kartor/A 52386-2025 karta.png", "A 52386-2025")</f>
        <v/>
      </c>
      <c r="Y30">
        <f>HYPERLINK("https://klasma.github.io/Logging_0480/kartor_geotiff/A 52386-2025 georefererad karta.tif", "A 52386-2025")</f>
        <v/>
      </c>
      <c r="AA30">
        <f>HYPERLINK("https://klasma.github.io/Logging_0480/klagomål/A 52386-2025 FSC-klagomål.docx", "A 52386-2025")</f>
        <v/>
      </c>
      <c r="AB30">
        <f>HYPERLINK("https://klasma.github.io/Logging_0480/klagomålsmail/A 52386-2025 FSC-klagomål mail.docx", "A 52386-2025")</f>
        <v/>
      </c>
      <c r="AC30">
        <f>HYPERLINK("https://klasma.github.io/Logging_0480/tillsyn/A 52386-2025 tillsynsbegäran.docx", "A 52386-2025")</f>
        <v/>
      </c>
      <c r="AD30">
        <f>HYPERLINK("https://klasma.github.io/Logging_0480/tillsynsmail/A 52386-2025 tillsynsbegäran mail.docx", "A 52386-2025")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46231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46231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46231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63101-2025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46231</v>
      </c>
      <c r="F34" t="inlineStr">
        <is>
          <t>SÖDERMANLANDS LÄN</t>
        </is>
      </c>
      <c r="G34" t="inlineStr">
        <is>
          <t>NYKÖPING</t>
        </is>
      </c>
      <c r="H34" t="inlineStr">
        <is>
          <t>Sveaskog</t>
        </is>
      </c>
      <c r="I34" t="n">
        <v>3.8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Motaggsvamp
Bronshjon
Mindre märgborre
Vedticka</t>
        </is>
      </c>
      <c r="W34">
        <f>HYPERLINK("https://klasma.github.io/Logging_0480/artfynd/A 63101-2025 artfynd.xlsx", "A 63101-2025")</f>
        <v/>
      </c>
      <c r="X34">
        <f>HYPERLINK("https://klasma.github.io/Logging_0480/kartor/A 63101-2025 karta.png", "A 63101-2025")</f>
        <v/>
      </c>
      <c r="Y34">
        <f>HYPERLINK("https://klasma.github.io/Logging_0480/kartor_geotiff/A 63101-2025 georefererad karta.tif", "A 63101-2025")</f>
        <v/>
      </c>
      <c r="AA34">
        <f>HYPERLINK("https://klasma.github.io/Logging_0480/klagomål/A 63101-2025 FSC-klagomål.docx", "A 63101-2025")</f>
        <v/>
      </c>
      <c r="AB34">
        <f>HYPERLINK("https://klasma.github.io/Logging_0480/klagomålsmail/A 63101-2025 FSC-klagomål mail.docx", "A 63101-2025")</f>
        <v/>
      </c>
      <c r="AC34">
        <f>HYPERLINK("https://klasma.github.io/Logging_0480/tillsyn/A 63101-2025 tillsynsbegäran.docx", "A 63101-2025")</f>
        <v/>
      </c>
      <c r="AD34">
        <f>HYPERLINK("https://klasma.github.io/Logging_0480/tillsynsmail/A 63101-2025 tillsynsbegäran mail.docx", "A 63101-2025")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46231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46231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46231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46231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46231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Gulsparv
Kösa
Linmåra/småsnärjmåra</t>
        </is>
      </c>
      <c r="W39">
        <f>HYPERLINK("https://klasma.github.io/Logging_0480/artfynd/A 38203-2022 artfynd.xlsx", "A 38203-2022")</f>
        <v/>
      </c>
      <c r="X39">
        <f>HYPERLINK("https://klasma.github.io/Logging_0480/kartor/A 38203-2022 karta.png", "A 38203-2022")</f>
        <v/>
      </c>
      <c r="Y39">
        <f>HYPERLINK("https://klasma.github.io/Logging_0480/kartor_geotiff/A 38203-2022 georefererad karta.tif", "A 38203-2022")</f>
        <v/>
      </c>
      <c r="AA39">
        <f>HYPERLINK("https://klasma.github.io/Logging_0480/klagomål/A 38203-2022 FSC-klagomål.docx", "A 38203-2022")</f>
        <v/>
      </c>
      <c r="AB39">
        <f>HYPERLINK("https://klasma.github.io/Logging_0480/klagomålsmail/A 38203-2022 FSC-klagomål mail.docx", "A 38203-2022")</f>
        <v/>
      </c>
      <c r="AC39">
        <f>HYPERLINK("https://klasma.github.io/Logging_0480/tillsyn/A 38203-2022 tillsynsbegäran.docx", "A 38203-2022")</f>
        <v/>
      </c>
      <c r="AD39">
        <f>HYPERLINK("https://klasma.github.io/Logging_0480/tillsynsmail/A 38203-2022 tillsynsbegäran mail.docx", "A 38203-2022")</f>
        <v/>
      </c>
      <c r="AE39">
        <f>HYPERLINK("https://klasma.github.io/Logging_0480/fåglar/A 38203-2022 prioriterade fågelarter.docx", "A 38203-2022")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46231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46231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46231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24092-2026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46166</v>
      </c>
      <c r="E43" s="1" t="n">
        <v>46231</v>
      </c>
      <c r="F43" t="inlineStr">
        <is>
          <t>SÖDERMANLANDS LÄN</t>
        </is>
      </c>
      <c r="G43" t="inlineStr">
        <is>
          <t>NYKÖPING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Vildkaprifol
Ängskovall</t>
        </is>
      </c>
      <c r="W43">
        <f>HYPERLINK("https://klasma.github.io/Logging_0480/artfynd/A 24092-2026 artfynd.xlsx", "A 24092-2026")</f>
        <v/>
      </c>
      <c r="X43">
        <f>HYPERLINK("https://klasma.github.io/Logging_0480/kartor/A 24092-2026 karta.png", "A 24092-2026")</f>
        <v/>
      </c>
      <c r="Y43">
        <f>HYPERLINK("https://klasma.github.io/Logging_0480/kartor_geotiff/A 24092-2026 georefererad karta.tif", "A 24092-2026")</f>
        <v/>
      </c>
      <c r="AA43">
        <f>HYPERLINK("https://klasma.github.io/Logging_0480/klagomål/A 24092-2026 FSC-klagomål.docx", "A 24092-2026")</f>
        <v/>
      </c>
      <c r="AB43">
        <f>HYPERLINK("https://klasma.github.io/Logging_0480/klagomålsmail/A 24092-2026 FSC-klagomål mail.docx", "A 24092-2026")</f>
        <v/>
      </c>
      <c r="AC43">
        <f>HYPERLINK("https://klasma.github.io/Logging_0480/tillsyn/A 24092-2026 tillsynsbegäran.docx", "A 24092-2026")</f>
        <v/>
      </c>
      <c r="AD43">
        <f>HYPERLINK("https://klasma.github.io/Logging_0480/tillsynsmail/A 24092-2026 tillsynsbegäran mail.docx", "A 24092-2026")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46231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Blåsippa
Grönvit nattviol</t>
        </is>
      </c>
      <c r="W44">
        <f>HYPERLINK("https://klasma.github.io/Logging_0480/artfynd/A 4710-2024 artfynd.xlsx", "A 4710-2024")</f>
        <v/>
      </c>
      <c r="X44">
        <f>HYPERLINK("https://klasma.github.io/Logging_0480/kartor/A 4710-2024 karta.png", "A 4710-2024")</f>
        <v/>
      </c>
      <c r="Y44">
        <f>HYPERLINK("https://klasma.github.io/Logging_0480/kartor_geotiff/A 4710-2024 georefererad karta.tif", "A 4710-2024")</f>
        <v/>
      </c>
      <c r="AA44">
        <f>HYPERLINK("https://klasma.github.io/Logging_0480/klagomål/A 4710-2024 FSC-klagomål.docx", "A 4710-2024")</f>
        <v/>
      </c>
      <c r="AB44">
        <f>HYPERLINK("https://klasma.github.io/Logging_0480/klagomålsmail/A 4710-2024 FSC-klagomål mail.docx", "A 4710-2024")</f>
        <v/>
      </c>
      <c r="AC44">
        <f>HYPERLINK("https://klasma.github.io/Logging_0480/tillsyn/A 4710-2024 tillsynsbegäran.docx", "A 4710-2024")</f>
        <v/>
      </c>
      <c r="AD44">
        <f>HYPERLINK("https://klasma.github.io/Logging_0480/tillsynsmail/A 4710-2024 tillsynsbegäran mail.docx", "A 4710-2024")</f>
        <v/>
      </c>
    </row>
    <row r="45" ht="15" customHeight="1">
      <c r="A45" t="inlineStr">
        <is>
          <t>A 54227-2025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45964</v>
      </c>
      <c r="E45" s="1" t="n">
        <v>46231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Grantaggsvamp
Skarp dropptaggsvamp
Zontaggsvamp</t>
        </is>
      </c>
      <c r="W45">
        <f>HYPERLINK("https://klasma.github.io/Logging_0480/artfynd/A 54227-2025 artfynd.xlsx", "A 54227-2025")</f>
        <v/>
      </c>
      <c r="X45">
        <f>HYPERLINK("https://klasma.github.io/Logging_0480/kartor/A 54227-2025 karta.png", "A 54227-2025")</f>
        <v/>
      </c>
      <c r="Y45">
        <f>HYPERLINK("https://klasma.github.io/Logging_0480/kartor_geotiff/A 54227-2025 georefererad karta.tif", "A 54227-2025")</f>
        <v/>
      </c>
      <c r="AA45">
        <f>HYPERLINK("https://klasma.github.io/Logging_0480/klagomål/A 54227-2025 FSC-klagomål.docx", "A 54227-2025")</f>
        <v/>
      </c>
      <c r="AB45">
        <f>HYPERLINK("https://klasma.github.io/Logging_0480/klagomålsmail/A 54227-2025 FSC-klagomål mail.docx", "A 54227-2025")</f>
        <v/>
      </c>
      <c r="AC45">
        <f>HYPERLINK("https://klasma.github.io/Logging_0480/tillsyn/A 54227-2025 tillsynsbegäran.docx", "A 54227-2025")</f>
        <v/>
      </c>
      <c r="AD45">
        <f>HYPERLINK("https://klasma.github.io/Logging_0480/tillsynsmail/A 54227-2025 tillsynsbegäran mail.docx", "A 54227-2025")</f>
        <v/>
      </c>
    </row>
    <row r="46" ht="15" customHeight="1">
      <c r="A46" t="inlineStr">
        <is>
          <t>A 58783-2025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46231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Skogshare
Nattskärra
Revlummer</t>
        </is>
      </c>
      <c r="W46">
        <f>HYPERLINK("https://klasma.github.io/Logging_0480/artfynd/A 58783-2025 artfynd.xlsx", "A 58783-2025")</f>
        <v/>
      </c>
      <c r="X46">
        <f>HYPERLINK("https://klasma.github.io/Logging_0480/kartor/A 58783-2025 karta.png", "A 58783-2025")</f>
        <v/>
      </c>
      <c r="Y46">
        <f>HYPERLINK("https://klasma.github.io/Logging_0480/kartor_geotiff/A 58783-2025 georefererad karta.tif", "A 58783-2025")</f>
        <v/>
      </c>
      <c r="AA46">
        <f>HYPERLINK("https://klasma.github.io/Logging_0480/klagomål/A 58783-2025 FSC-klagomål.docx", "A 58783-2025")</f>
        <v/>
      </c>
      <c r="AB46">
        <f>HYPERLINK("https://klasma.github.io/Logging_0480/klagomålsmail/A 58783-2025 FSC-klagomål mail.docx", "A 58783-2025")</f>
        <v/>
      </c>
      <c r="AC46">
        <f>HYPERLINK("https://klasma.github.io/Logging_0480/tillsyn/A 58783-2025 tillsynsbegäran.docx", "A 58783-2025")</f>
        <v/>
      </c>
      <c r="AD46">
        <f>HYPERLINK("https://klasma.github.io/Logging_0480/tillsynsmail/A 58783-2025 tillsynsbegäran mail.docx", "A 58783-2025")</f>
        <v/>
      </c>
      <c r="AE46">
        <f>HYPERLINK("https://klasma.github.io/Logging_0480/fåglar/A 58783-2025 prioriterade fågelarter.docx", "A 58783-2025")</f>
        <v/>
      </c>
    </row>
    <row r="47" ht="15" customHeight="1">
      <c r="A47" t="inlineStr">
        <is>
          <t>A 22417-2023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45070</v>
      </c>
      <c r="E47" s="1" t="n">
        <v>46231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Backstarr
Sjöhjortron
Vanlig snok</t>
        </is>
      </c>
      <c r="W47">
        <f>HYPERLINK("https://klasma.github.io/Logging_0480/artfynd/A 22417-2023 artfynd.xlsx", "A 22417-2023")</f>
        <v/>
      </c>
      <c r="X47">
        <f>HYPERLINK("https://klasma.github.io/Logging_0480/kartor/A 22417-2023 karta.png", "A 22417-2023")</f>
        <v/>
      </c>
      <c r="Y47">
        <f>HYPERLINK("https://klasma.github.io/Logging_0480/kartor_geotiff/A 22417-2023 georefererad karta.tif", "A 22417-2023")</f>
        <v/>
      </c>
      <c r="AA47">
        <f>HYPERLINK("https://klasma.github.io/Logging_0480/klagomål/A 22417-2023 FSC-klagomål.docx", "A 22417-2023")</f>
        <v/>
      </c>
      <c r="AB47">
        <f>HYPERLINK("https://klasma.github.io/Logging_0480/klagomålsmail/A 22417-2023 FSC-klagomål mail.docx", "A 22417-2023")</f>
        <v/>
      </c>
      <c r="AC47">
        <f>HYPERLINK("https://klasma.github.io/Logging_0480/tillsyn/A 22417-2023 tillsynsbegäran.docx", "A 22417-2023")</f>
        <v/>
      </c>
      <c r="AD47">
        <f>HYPERLINK("https://klasma.github.io/Logging_0480/tillsynsmail/A 22417-2023 tillsynsbegäran mail.docx", "A 22417-2023")</f>
        <v/>
      </c>
    </row>
    <row r="48" ht="15" customHeight="1">
      <c r="A48" t="inlineStr">
        <is>
          <t>A 54498-2023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46231</v>
      </c>
      <c r="F48" t="inlineStr">
        <is>
          <t>SÖDERMANLANDS LÄN</t>
        </is>
      </c>
      <c r="G48" t="inlineStr">
        <is>
          <t>NYKÖPING</t>
        </is>
      </c>
      <c r="I48" t="n">
        <v>4.7</v>
      </c>
      <c r="J48" t="n">
        <v>3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1</v>
      </c>
      <c r="V48" s="2" t="inlineStr">
        <is>
          <t>Brun glada
Trana
Utter</t>
        </is>
      </c>
      <c r="W48">
        <f>HYPERLINK("https://klasma.github.io/Logging_0480/artfynd/A 54498-2023 artfynd.xlsx", "A 54498-2023")</f>
        <v/>
      </c>
      <c r="X48">
        <f>HYPERLINK("https://klasma.github.io/Logging_0480/kartor/A 54498-2023 karta.png", "A 54498-2023")</f>
        <v/>
      </c>
      <c r="Y48">
        <f>HYPERLINK("https://klasma.github.io/Logging_0480/kartor_geotiff/A 54498-2023 georefererad karta.tif", "A 54498-2023")</f>
        <v/>
      </c>
      <c r="AA48">
        <f>HYPERLINK("https://klasma.github.io/Logging_0480/klagomål/A 54498-2023 FSC-klagomål.docx", "A 54498-2023")</f>
        <v/>
      </c>
      <c r="AB48">
        <f>HYPERLINK("https://klasma.github.io/Logging_0480/klagomålsmail/A 54498-2023 FSC-klagomål mail.docx", "A 54498-2023")</f>
        <v/>
      </c>
      <c r="AC48">
        <f>HYPERLINK("https://klasma.github.io/Logging_0480/tillsyn/A 54498-2023 tillsynsbegäran.docx", "A 54498-2023")</f>
        <v/>
      </c>
      <c r="AD48">
        <f>HYPERLINK("https://klasma.github.io/Logging_0480/tillsynsmail/A 54498-2023 tillsynsbegäran mail.docx", "A 54498-2023")</f>
        <v/>
      </c>
      <c r="AE48">
        <f>HYPERLINK("https://klasma.github.io/Logging_0480/fåglar/A 54498-2023 prioriterade fågelarter.docx", "A 54498-2023")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46231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46231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Törnskata
Revlummer</t>
        </is>
      </c>
      <c r="W50">
        <f>HYPERLINK("https://klasma.github.io/Logging_0480/artfynd/A 5857-2024 artfynd.xlsx", "A 5857-2024")</f>
        <v/>
      </c>
      <c r="X50">
        <f>HYPERLINK("https://klasma.github.io/Logging_0480/kartor/A 5857-2024 karta.png", "A 5857-2024")</f>
        <v/>
      </c>
      <c r="Y50">
        <f>HYPERLINK("https://klasma.github.io/Logging_0480/kartor_geotiff/A 5857-2024 georefererad karta.tif", "A 5857-2024")</f>
        <v/>
      </c>
      <c r="AA50">
        <f>HYPERLINK("https://klasma.github.io/Logging_0480/klagomål/A 5857-2024 FSC-klagomål.docx", "A 5857-2024")</f>
        <v/>
      </c>
      <c r="AB50">
        <f>HYPERLINK("https://klasma.github.io/Logging_0480/klagomålsmail/A 5857-2024 FSC-klagomål mail.docx", "A 5857-2024")</f>
        <v/>
      </c>
      <c r="AC50">
        <f>HYPERLINK("https://klasma.github.io/Logging_0480/tillsyn/A 5857-2024 tillsynsbegäran.docx", "A 5857-2024")</f>
        <v/>
      </c>
      <c r="AD50">
        <f>HYPERLINK("https://klasma.github.io/Logging_0480/tillsynsmail/A 5857-2024 tillsynsbegäran mail.docx", "A 5857-2024")</f>
        <v/>
      </c>
      <c r="AE50">
        <f>HYPERLINK("https://klasma.github.io/Logging_0480/fåglar/A 5857-2024 prioriterade fågelarter.docx", "A 5857-2024")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46231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38366-2021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44406</v>
      </c>
      <c r="E52" s="1" t="n">
        <v>46231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1</v>
      </c>
      <c r="V52" s="2" t="inlineStr">
        <is>
          <t>Berguv
Skogsklocka</t>
        </is>
      </c>
      <c r="W52">
        <f>HYPERLINK("https://klasma.github.io/Logging_0480/artfynd/A 38366-2021 artfynd.xlsx", "A 38366-2021")</f>
        <v/>
      </c>
      <c r="X52">
        <f>HYPERLINK("https://klasma.github.io/Logging_0480/kartor/A 38366-2021 karta.png", "A 38366-2021")</f>
        <v/>
      </c>
      <c r="Y52">
        <f>HYPERLINK("https://klasma.github.io/Logging_0480/kartor_geotiff/A 38366-2021 georefererad karta.tif", "A 38366-2021")</f>
        <v/>
      </c>
      <c r="AA52">
        <f>HYPERLINK("https://klasma.github.io/Logging_0480/klagomål/A 38366-2021 FSC-klagomål.docx", "A 38366-2021")</f>
        <v/>
      </c>
      <c r="AB52">
        <f>HYPERLINK("https://klasma.github.io/Logging_0480/klagomålsmail/A 38366-2021 FSC-klagomål mail.docx", "A 38366-2021")</f>
        <v/>
      </c>
      <c r="AC52">
        <f>HYPERLINK("https://klasma.github.io/Logging_0480/tillsyn/A 38366-2021 tillsynsbegäran.docx", "A 38366-2021")</f>
        <v/>
      </c>
      <c r="AD52">
        <f>HYPERLINK("https://klasma.github.io/Logging_0480/tillsynsmail/A 38366-2021 tillsynsbegäran mail.docx", "A 38366-2021")</f>
        <v/>
      </c>
      <c r="AE52">
        <f>HYPERLINK("https://klasma.github.io/Logging_0480/fåglar/A 38366-2021 prioriterade fågelarter.docx", "A 38366-2021")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46231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Gullklöver
Gullviva</t>
        </is>
      </c>
      <c r="W53">
        <f>HYPERLINK("https://klasma.github.io/Logging_0480/artfynd/A 60518-2022 artfynd.xlsx", "A 60518-2022")</f>
        <v/>
      </c>
      <c r="X53">
        <f>HYPERLINK("https://klasma.github.io/Logging_0480/kartor/A 60518-2022 karta.png", "A 60518-2022")</f>
        <v/>
      </c>
      <c r="Y53">
        <f>HYPERLINK("https://klasma.github.io/Logging_0480/kartor_geotiff/A 60518-2022 georefererad karta.tif", "A 60518-2022")</f>
        <v/>
      </c>
      <c r="AA53">
        <f>HYPERLINK("https://klasma.github.io/Logging_0480/klagomål/A 60518-2022 FSC-klagomål.docx", "A 60518-2022")</f>
        <v/>
      </c>
      <c r="AB53">
        <f>HYPERLINK("https://klasma.github.io/Logging_0480/klagomålsmail/A 60518-2022 FSC-klagomål mail.docx", "A 60518-2022")</f>
        <v/>
      </c>
      <c r="AC53">
        <f>HYPERLINK("https://klasma.github.io/Logging_0480/tillsyn/A 60518-2022 tillsynsbegäran.docx", "A 60518-2022")</f>
        <v/>
      </c>
      <c r="AD53">
        <f>HYPERLINK("https://klasma.github.io/Logging_0480/tillsynsmail/A 60518-2022 tillsynsbegäran mail.docx", "A 60518-2022")</f>
        <v/>
      </c>
    </row>
    <row r="54" ht="15" customHeight="1">
      <c r="A54" t="inlineStr">
        <is>
          <t>A 6276-2026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46231</v>
      </c>
      <c r="F54" t="inlineStr">
        <is>
          <t>SÖDERMANLANDS LÄN</t>
        </is>
      </c>
      <c r="G54" t="inlineStr">
        <is>
          <t>NYKÖPING</t>
        </is>
      </c>
      <c r="I54" t="n">
        <v>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Duvhök
Granbarkgnagare</t>
        </is>
      </c>
      <c r="W54">
        <f>HYPERLINK("https://klasma.github.io/Logging_0480/artfynd/A 6276-2026 artfynd.xlsx", "A 6276-2026")</f>
        <v/>
      </c>
      <c r="X54">
        <f>HYPERLINK("https://klasma.github.io/Logging_0480/kartor/A 6276-2026 karta.png", "A 6276-2026")</f>
        <v/>
      </c>
      <c r="Y54">
        <f>HYPERLINK("https://klasma.github.io/Logging_0480/kartor_geotiff/A 6276-2026 georefererad karta.tif", "A 6276-2026")</f>
        <v/>
      </c>
      <c r="AA54">
        <f>HYPERLINK("https://klasma.github.io/Logging_0480/klagomål/A 6276-2026 FSC-klagomål.docx", "A 6276-2026")</f>
        <v/>
      </c>
      <c r="AB54">
        <f>HYPERLINK("https://klasma.github.io/Logging_0480/klagomålsmail/A 6276-2026 FSC-klagomål mail.docx", "A 6276-2026")</f>
        <v/>
      </c>
      <c r="AC54">
        <f>HYPERLINK("https://klasma.github.io/Logging_0480/tillsyn/A 6276-2026 tillsynsbegäran.docx", "A 6276-2026")</f>
        <v/>
      </c>
      <c r="AD54">
        <f>HYPERLINK("https://klasma.github.io/Logging_0480/tillsynsmail/A 6276-2026 tillsynsbegäran mail.docx", "A 6276-2026")</f>
        <v/>
      </c>
      <c r="AE54">
        <f>HYPERLINK("https://klasma.github.io/Logging_0480/fåglar/A 6276-2026 prioriterade fågelarter.docx", "A 6276-2026")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46231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Bombmurkla
Blåmossa</t>
        </is>
      </c>
      <c r="W55">
        <f>HYPERLINK("https://klasma.github.io/Logging_0480/artfynd/A 49231-2023 artfynd.xlsx", "A 49231-2023")</f>
        <v/>
      </c>
      <c r="X55">
        <f>HYPERLINK("https://klasma.github.io/Logging_0480/kartor/A 49231-2023 karta.png", "A 49231-2023")</f>
        <v/>
      </c>
      <c r="Y55">
        <f>HYPERLINK("https://klasma.github.io/Logging_0480/kartor_geotiff/A 49231-2023 georefererad karta.tif", "A 49231-2023")</f>
        <v/>
      </c>
      <c r="AA55">
        <f>HYPERLINK("https://klasma.github.io/Logging_0480/klagomål/A 49231-2023 FSC-klagomål.docx", "A 49231-2023")</f>
        <v/>
      </c>
      <c r="AB55">
        <f>HYPERLINK("https://klasma.github.io/Logging_0480/klagomålsmail/A 49231-2023 FSC-klagomål mail.docx", "A 49231-2023")</f>
        <v/>
      </c>
      <c r="AC55">
        <f>HYPERLINK("https://klasma.github.io/Logging_0480/tillsyn/A 49231-2023 tillsynsbegäran.docx", "A 49231-2023")</f>
        <v/>
      </c>
      <c r="AD55">
        <f>HYPERLINK("https://klasma.github.io/Logging_0480/tillsynsmail/A 49231-2023 tillsynsbegäran mail.docx", "A 49231-2023")</f>
        <v/>
      </c>
    </row>
    <row r="56" ht="15" customHeight="1">
      <c r="A56" t="inlineStr">
        <is>
          <t>A 56725-2025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46231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0.6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Vanlig snok
Revlummer</t>
        </is>
      </c>
      <c r="W56">
        <f>HYPERLINK("https://klasma.github.io/Logging_0480/artfynd/A 56725-2025 artfynd.xlsx", "A 56725-2025")</f>
        <v/>
      </c>
      <c r="X56">
        <f>HYPERLINK("https://klasma.github.io/Logging_0480/kartor/A 56725-2025 karta.png", "A 56725-2025")</f>
        <v/>
      </c>
      <c r="Y56">
        <f>HYPERLINK("https://klasma.github.io/Logging_0480/kartor_geotiff/A 56725-2025 georefererad karta.tif", "A 56725-2025")</f>
        <v/>
      </c>
      <c r="AA56">
        <f>HYPERLINK("https://klasma.github.io/Logging_0480/klagomål/A 56725-2025 FSC-klagomål.docx", "A 56725-2025")</f>
        <v/>
      </c>
      <c r="AB56">
        <f>HYPERLINK("https://klasma.github.io/Logging_0480/klagomålsmail/A 56725-2025 FSC-klagomål mail.docx", "A 56725-2025")</f>
        <v/>
      </c>
      <c r="AC56">
        <f>HYPERLINK("https://klasma.github.io/Logging_0480/tillsyn/A 56725-2025 tillsynsbegäran.docx", "A 56725-2025")</f>
        <v/>
      </c>
      <c r="AD56">
        <f>HYPERLINK("https://klasma.github.io/Logging_0480/tillsynsmail/A 56725-2025 tillsynsbegäran mail.docx", "A 56725-2025")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46231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46231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48153-2023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46231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Nötkråka
Havsörn</t>
        </is>
      </c>
      <c r="W59">
        <f>HYPERLINK("https://klasma.github.io/Logging_0480/artfynd/A 48153-2023 artfynd.xlsx", "A 48153-2023")</f>
        <v/>
      </c>
      <c r="X59">
        <f>HYPERLINK("https://klasma.github.io/Logging_0480/kartor/A 48153-2023 karta.png", "A 48153-2023")</f>
        <v/>
      </c>
      <c r="Y59">
        <f>HYPERLINK("https://klasma.github.io/Logging_0480/kartor_geotiff/A 48153-2023 georefererad karta.tif", "A 48153-2023")</f>
        <v/>
      </c>
      <c r="AA59">
        <f>HYPERLINK("https://klasma.github.io/Logging_0480/klagomål/A 48153-2023 FSC-klagomål.docx", "A 48153-2023")</f>
        <v/>
      </c>
      <c r="AB59">
        <f>HYPERLINK("https://klasma.github.io/Logging_0480/klagomålsmail/A 48153-2023 FSC-klagomål mail.docx", "A 48153-2023")</f>
        <v/>
      </c>
      <c r="AC59">
        <f>HYPERLINK("https://klasma.github.io/Logging_0480/tillsyn/A 48153-2023 tillsynsbegäran.docx", "A 48153-2023")</f>
        <v/>
      </c>
      <c r="AD59">
        <f>HYPERLINK("https://klasma.github.io/Logging_0480/tillsynsmail/A 48153-2023 tillsynsbegäran mail.docx", "A 48153-2023")</f>
        <v/>
      </c>
      <c r="AE59">
        <f>HYPERLINK("https://klasma.github.io/Logging_0480/fåglar/A 48153-2023 prioriterade fågelarter.docx", "A 48153-2023")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46231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38366-2021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44406</v>
      </c>
      <c r="E61" s="1" t="n">
        <v>46231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Berguv
Skogsklocka</t>
        </is>
      </c>
      <c r="W61">
        <f>HYPERLINK("https://klasma.github.io/Logging_0480/artfynd/A 38366-2021 artfynd.xlsx", "A 38366-2021")</f>
        <v/>
      </c>
      <c r="X61">
        <f>HYPERLINK("https://klasma.github.io/Logging_0480/kartor/A 38366-2021 karta.png", "A 38366-2021")</f>
        <v/>
      </c>
      <c r="Y61">
        <f>HYPERLINK("https://klasma.github.io/Logging_0480/kartor_geotiff/A 38366-2021 georefererad karta.tif", "A 38366-2021")</f>
        <v/>
      </c>
      <c r="AA61">
        <f>HYPERLINK("https://klasma.github.io/Logging_0480/klagomål/A 38366-2021 FSC-klagomål.docx", "A 38366-2021")</f>
        <v/>
      </c>
      <c r="AB61">
        <f>HYPERLINK("https://klasma.github.io/Logging_0480/klagomålsmail/A 38366-2021 FSC-klagomål mail.docx", "A 38366-2021")</f>
        <v/>
      </c>
      <c r="AC61">
        <f>HYPERLINK("https://klasma.github.io/Logging_0480/tillsyn/A 38366-2021 tillsynsbegäran.docx", "A 38366-2021")</f>
        <v/>
      </c>
      <c r="AD61">
        <f>HYPERLINK("https://klasma.github.io/Logging_0480/tillsynsmail/A 38366-2021 tillsynsbegäran mail.docx", "A 38366-2021")</f>
        <v/>
      </c>
      <c r="AE61">
        <f>HYPERLINK("https://klasma.github.io/Logging_0480/fåglar/A 38366-2021 prioriterade fågelarter.docx", "A 38366-2021")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46231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5865-2024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45335</v>
      </c>
      <c r="E63" s="1" t="n">
        <v>46231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Entita
Fläcknycklar</t>
        </is>
      </c>
      <c r="W63">
        <f>HYPERLINK("https://klasma.github.io/Logging_0480/artfynd/A 5865-2024 artfynd.xlsx", "A 5865-2024")</f>
        <v/>
      </c>
      <c r="X63">
        <f>HYPERLINK("https://klasma.github.io/Logging_0480/kartor/A 5865-2024 karta.png", "A 5865-2024")</f>
        <v/>
      </c>
      <c r="Y63">
        <f>HYPERLINK("https://klasma.github.io/Logging_0480/kartor_geotiff/A 5865-2024 georefererad karta.tif", "A 5865-2024")</f>
        <v/>
      </c>
      <c r="AA63">
        <f>HYPERLINK("https://klasma.github.io/Logging_0480/klagomål/A 5865-2024 FSC-klagomål.docx", "A 5865-2024")</f>
        <v/>
      </c>
      <c r="AB63">
        <f>HYPERLINK("https://klasma.github.io/Logging_0480/klagomålsmail/A 5865-2024 FSC-klagomål mail.docx", "A 5865-2024")</f>
        <v/>
      </c>
      <c r="AC63">
        <f>HYPERLINK("https://klasma.github.io/Logging_0480/tillsyn/A 5865-2024 tillsynsbegäran.docx", "A 5865-2024")</f>
        <v/>
      </c>
      <c r="AD63">
        <f>HYPERLINK("https://klasma.github.io/Logging_0480/tillsynsmail/A 5865-2024 tillsynsbegäran mail.docx", "A 5865-2024")</f>
        <v/>
      </c>
      <c r="AE63">
        <f>HYPERLINK("https://klasma.github.io/Logging_0480/fåglar/A 5865-2024 prioriterade fågelarter.docx", "A 5865-2024")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46231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A 58167-2025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46231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Grönpyrola
Mattlummer</t>
        </is>
      </c>
      <c r="W65">
        <f>HYPERLINK("https://klasma.github.io/Logging_0480/artfynd/A 58167-2025 artfynd.xlsx", "A 58167-2025")</f>
        <v/>
      </c>
      <c r="X65">
        <f>HYPERLINK("https://klasma.github.io/Logging_0480/kartor/A 58167-2025 karta.png", "A 58167-2025")</f>
        <v/>
      </c>
      <c r="Y65">
        <f>HYPERLINK("https://klasma.github.io/Logging_0480/kartor_geotiff/A 58167-2025 georefererad karta.tif", "A 58167-2025")</f>
        <v/>
      </c>
      <c r="AA65">
        <f>HYPERLINK("https://klasma.github.io/Logging_0480/klagomål/A 58167-2025 FSC-klagomål.docx", "A 58167-2025")</f>
        <v/>
      </c>
      <c r="AB65">
        <f>HYPERLINK("https://klasma.github.io/Logging_0480/klagomålsmail/A 58167-2025 FSC-klagomål mail.docx", "A 58167-2025")</f>
        <v/>
      </c>
      <c r="AC65">
        <f>HYPERLINK("https://klasma.github.io/Logging_0480/tillsyn/A 58167-2025 tillsynsbegäran.docx", "A 58167-2025")</f>
        <v/>
      </c>
      <c r="AD65">
        <f>HYPERLINK("https://klasma.github.io/Logging_0480/tillsynsmail/A 58167-2025 tillsynsbegäran mail.docx", "A 58167-2025")</f>
        <v/>
      </c>
    </row>
    <row r="66" ht="15" customHeight="1">
      <c r="A66" t="inlineStr">
        <is>
          <t>A 34310-2022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46231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7</v>
      </c>
      <c r="U66" t="n">
        <v>0</v>
      </c>
      <c r="V66" s="2" t="inlineStr">
        <is>
          <t>Bombmurkla
Grönpyrola</t>
        </is>
      </c>
      <c r="W66">
        <f>HYPERLINK("https://klasma.github.io/Logging_0480/artfynd/A 34310-2022 artfynd.xlsx", "A 34310-2022")</f>
        <v/>
      </c>
      <c r="X66">
        <f>HYPERLINK("https://klasma.github.io/Logging_0480/kartor/A 34310-2022 karta.png", "A 34310-2022")</f>
        <v/>
      </c>
      <c r="Y66">
        <f>HYPERLINK("https://klasma.github.io/Logging_0480/kartor_geotiff/A 34310-2022 georefererad karta.tif", "A 34310-2022")</f>
        <v/>
      </c>
      <c r="AA66">
        <f>HYPERLINK("https://klasma.github.io/Logging_0480/klagomål/A 34310-2022 FSC-klagomål.docx", "A 34310-2022")</f>
        <v/>
      </c>
      <c r="AB66">
        <f>HYPERLINK("https://klasma.github.io/Logging_0480/klagomålsmail/A 34310-2022 FSC-klagomål mail.docx", "A 34310-2022")</f>
        <v/>
      </c>
      <c r="AC66">
        <f>HYPERLINK("https://klasma.github.io/Logging_0480/tillsyn/A 34310-2022 tillsynsbegäran.docx", "A 34310-2022")</f>
        <v/>
      </c>
      <c r="AD66">
        <f>HYPERLINK("https://klasma.github.io/Logging_0480/tillsynsmail/A 34310-2022 tillsynsbegäran mail.docx", "A 34310-2022")</f>
        <v/>
      </c>
    </row>
    <row r="67" ht="15" customHeight="1">
      <c r="A67" t="inlineStr">
        <is>
          <t>A 16078-2023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46231</v>
      </c>
      <c r="F67" t="inlineStr">
        <is>
          <t>SÖDERMANLANDS LÄN</t>
        </is>
      </c>
      <c r="G67" t="inlineStr">
        <is>
          <t>NYKÖPING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Rödlånke
Fläcknycklar</t>
        </is>
      </c>
      <c r="W67">
        <f>HYPERLINK("https://klasma.github.io/Logging_0480/artfynd/A 16078-2023 artfynd.xlsx", "A 16078-2023")</f>
        <v/>
      </c>
      <c r="X67">
        <f>HYPERLINK("https://klasma.github.io/Logging_0480/kartor/A 16078-2023 karta.png", "A 16078-2023")</f>
        <v/>
      </c>
      <c r="Y67">
        <f>HYPERLINK("https://klasma.github.io/Logging_0480/kartor_geotiff/A 16078-2023 georefererad karta.tif", "A 16078-2023")</f>
        <v/>
      </c>
      <c r="AA67">
        <f>HYPERLINK("https://klasma.github.io/Logging_0480/klagomål/A 16078-2023 FSC-klagomål.docx", "A 16078-2023")</f>
        <v/>
      </c>
      <c r="AB67">
        <f>HYPERLINK("https://klasma.github.io/Logging_0480/klagomålsmail/A 16078-2023 FSC-klagomål mail.docx", "A 16078-2023")</f>
        <v/>
      </c>
      <c r="AC67">
        <f>HYPERLINK("https://klasma.github.io/Logging_0480/tillsyn/A 16078-2023 tillsynsbegäran.docx", "A 16078-2023")</f>
        <v/>
      </c>
      <c r="AD67">
        <f>HYPERLINK("https://klasma.github.io/Logging_0480/tillsynsmail/A 16078-2023 tillsynsbegäran mail.docx", "A 16078-2023")</f>
        <v/>
      </c>
    </row>
    <row r="68" ht="15" customHeight="1">
      <c r="A68" t="inlineStr">
        <is>
          <t>A 55497-2021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46231</v>
      </c>
      <c r="F68" t="inlineStr">
        <is>
          <t>SÖDERMANLANDS LÄN</t>
        </is>
      </c>
      <c r="G68" t="inlineStr">
        <is>
          <t>NYKÖPING</t>
        </is>
      </c>
      <c r="I68" t="n">
        <v>7.7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Älg
Nattskärra</t>
        </is>
      </c>
      <c r="W68">
        <f>HYPERLINK("https://klasma.github.io/Logging_0480/artfynd/A 55497-2021 artfynd.xlsx", "A 55497-2021")</f>
        <v/>
      </c>
      <c r="X68">
        <f>HYPERLINK("https://klasma.github.io/Logging_0480/kartor/A 55497-2021 karta.png", "A 55497-2021")</f>
        <v/>
      </c>
      <c r="Y68">
        <f>HYPERLINK("https://klasma.github.io/Logging_0480/kartor_geotiff/A 55497-2021 georefererad karta.tif", "A 55497-2021")</f>
        <v/>
      </c>
      <c r="AA68">
        <f>HYPERLINK("https://klasma.github.io/Logging_0480/klagomål/A 55497-2021 FSC-klagomål.docx", "A 55497-2021")</f>
        <v/>
      </c>
      <c r="AB68">
        <f>HYPERLINK("https://klasma.github.io/Logging_0480/klagomålsmail/A 55497-2021 FSC-klagomål mail.docx", "A 55497-2021")</f>
        <v/>
      </c>
      <c r="AC68">
        <f>HYPERLINK("https://klasma.github.io/Logging_0480/tillsyn/A 55497-2021 tillsynsbegäran.docx", "A 55497-2021")</f>
        <v/>
      </c>
      <c r="AD68">
        <f>HYPERLINK("https://klasma.github.io/Logging_0480/tillsynsmail/A 55497-2021 tillsynsbegäran mail.docx", "A 55497-2021")</f>
        <v/>
      </c>
      <c r="AE68">
        <f>HYPERLINK("https://klasma.github.io/Logging_0480/fåglar/A 55497-2021 prioriterade fågelarter.docx", "A 55497-2021")</f>
        <v/>
      </c>
    </row>
    <row r="69" ht="15" customHeight="1">
      <c r="A69" t="inlineStr">
        <is>
          <t>A 60460-2022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44911</v>
      </c>
      <c r="E69" s="1" t="n">
        <v>46231</v>
      </c>
      <c r="F69" t="inlineStr">
        <is>
          <t>SÖDERMANLANDS LÄN</t>
        </is>
      </c>
      <c r="G69" t="inlineStr">
        <is>
          <t>NYKÖPING</t>
        </is>
      </c>
      <c r="H69" t="inlineStr">
        <is>
          <t>Holmen skog AB</t>
        </is>
      </c>
      <c r="I69" t="n">
        <v>1.7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Barkticka
Blåsippa</t>
        </is>
      </c>
      <c r="W69">
        <f>HYPERLINK("https://klasma.github.io/Logging_0480/artfynd/A 60460-2022 artfynd.xlsx", "A 60460-2022")</f>
        <v/>
      </c>
      <c r="X69">
        <f>HYPERLINK("https://klasma.github.io/Logging_0480/kartor/A 60460-2022 karta.png", "A 60460-2022")</f>
        <v/>
      </c>
      <c r="Y69">
        <f>HYPERLINK("https://klasma.github.io/Logging_0480/kartor_geotiff/A 60460-2022 georefererad karta.tif", "A 60460-2022")</f>
        <v/>
      </c>
      <c r="AA69">
        <f>HYPERLINK("https://klasma.github.io/Logging_0480/klagomål/A 60460-2022 FSC-klagomål.docx", "A 60460-2022")</f>
        <v/>
      </c>
      <c r="AB69">
        <f>HYPERLINK("https://klasma.github.io/Logging_0480/klagomålsmail/A 60460-2022 FSC-klagomål mail.docx", "A 60460-2022")</f>
        <v/>
      </c>
      <c r="AC69">
        <f>HYPERLINK("https://klasma.github.io/Logging_0480/tillsyn/A 60460-2022 tillsynsbegäran.docx", "A 60460-2022")</f>
        <v/>
      </c>
      <c r="AD69">
        <f>HYPERLINK("https://klasma.github.io/Logging_0480/tillsynsmail/A 60460-2022 tillsynsbegäran mail.docx", "A 60460-2022")</f>
        <v/>
      </c>
    </row>
    <row r="70" ht="15" customHeight="1">
      <c r="A70" t="inlineStr">
        <is>
          <t>A 56560-2022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46231</v>
      </c>
      <c r="F70" t="inlineStr">
        <is>
          <t>SÖDERMANLANDS LÄN</t>
        </is>
      </c>
      <c r="G70" t="inlineStr">
        <is>
          <t>NYKÖPING</t>
        </is>
      </c>
      <c r="H70" t="inlineStr">
        <is>
          <t>Övriga Aktiebolag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Fjällvråk
Kråka</t>
        </is>
      </c>
      <c r="W70">
        <f>HYPERLINK("https://klasma.github.io/Logging_0480/artfynd/A 56560-2022 artfynd.xlsx", "A 56560-2022")</f>
        <v/>
      </c>
      <c r="X70">
        <f>HYPERLINK("https://klasma.github.io/Logging_0480/kartor/A 56560-2022 karta.png", "A 56560-2022")</f>
        <v/>
      </c>
      <c r="Y70">
        <f>HYPERLINK("https://klasma.github.io/Logging_0480/kartor_geotiff/A 56560-2022 georefererad karta.tif", "A 56560-2022")</f>
        <v/>
      </c>
      <c r="AA70">
        <f>HYPERLINK("https://klasma.github.io/Logging_0480/klagomål/A 56560-2022 FSC-klagomål.docx", "A 56560-2022")</f>
        <v/>
      </c>
      <c r="AB70">
        <f>HYPERLINK("https://klasma.github.io/Logging_0480/klagomålsmail/A 56560-2022 FSC-klagomål mail.docx", "A 56560-2022")</f>
        <v/>
      </c>
      <c r="AC70">
        <f>HYPERLINK("https://klasma.github.io/Logging_0480/tillsyn/A 56560-2022 tillsynsbegäran.docx", "A 56560-2022")</f>
        <v/>
      </c>
      <c r="AD70">
        <f>HYPERLINK("https://klasma.github.io/Logging_0480/tillsynsmail/A 56560-2022 tillsynsbegäran mail.docx", "A 56560-2022")</f>
        <v/>
      </c>
      <c r="AE70">
        <f>HYPERLINK("https://klasma.github.io/Logging_0480/fåglar/A 56560-2022 prioriterade fågelarter.docx", "A 56560-2022")</f>
        <v/>
      </c>
    </row>
    <row r="71" ht="15" customHeight="1">
      <c r="A71" t="inlineStr">
        <is>
          <t>A 38923-2024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46231</v>
      </c>
      <c r="F71" t="inlineStr">
        <is>
          <t>SÖDERMANLANDS LÄN</t>
        </is>
      </c>
      <c r="G71" t="inlineStr">
        <is>
          <t>NYKÖPING</t>
        </is>
      </c>
      <c r="I71" t="n">
        <v>18.9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1</v>
      </c>
      <c r="V71" s="2" t="inlineStr">
        <is>
          <t>Tallticka
Blodticka</t>
        </is>
      </c>
      <c r="W71">
        <f>HYPERLINK("https://klasma.github.io/Logging_0480/artfynd/A 38923-2024 artfynd.xlsx", "A 38923-2024")</f>
        <v/>
      </c>
      <c r="X71">
        <f>HYPERLINK("https://klasma.github.io/Logging_0480/kartor/A 38923-2024 karta.png", "A 38923-2024")</f>
        <v/>
      </c>
      <c r="Y71">
        <f>HYPERLINK("https://klasma.github.io/Logging_0480/kartor_geotiff/A 38923-2024 georefererad karta.tif", "A 38923-2024")</f>
        <v/>
      </c>
      <c r="AA71">
        <f>HYPERLINK("https://klasma.github.io/Logging_0480/klagomål/A 38923-2024 FSC-klagomål.docx", "A 38923-2024")</f>
        <v/>
      </c>
      <c r="AB71">
        <f>HYPERLINK("https://klasma.github.io/Logging_0480/klagomålsmail/A 38923-2024 FSC-klagomål mail.docx", "A 38923-2024")</f>
        <v/>
      </c>
      <c r="AC71">
        <f>HYPERLINK("https://klasma.github.io/Logging_0480/tillsyn/A 38923-2024 tillsynsbegäran.docx", "A 38923-2024")</f>
        <v/>
      </c>
      <c r="AD71">
        <f>HYPERLINK("https://klasma.github.io/Logging_0480/tillsynsmail/A 38923-2024 tillsynsbegäran mail.docx", "A 38923-2024")</f>
        <v/>
      </c>
    </row>
    <row r="72" ht="15" customHeight="1">
      <c r="A72" t="inlineStr">
        <is>
          <t>S 5250-2022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44825</v>
      </c>
      <c r="E72" s="1" t="n">
        <v>46231</v>
      </c>
      <c r="F72" t="inlineStr">
        <is>
          <t>SÖDERMANLANDS LÄN</t>
        </is>
      </c>
      <c r="G72" t="inlineStr">
        <is>
          <t>NYKÖPING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Ask
Grön sköldmossa</t>
        </is>
      </c>
      <c r="W72">
        <f>HYPERLINK("https://klasma.github.io/Logging_0480/artfynd/S 5250-2022 artfynd.xlsx", "S 5250-2022")</f>
        <v/>
      </c>
      <c r="X72">
        <f>HYPERLINK("https://klasma.github.io/Logging_0480/kartor/S 5250-2022 karta.png", "S 5250-2022")</f>
        <v/>
      </c>
      <c r="Y72">
        <f>HYPERLINK("https://klasma.github.io/Logging_0480/kartor_geotiff/S 5250-2022 georefererad karta.tif", "S 5250-2022")</f>
        <v/>
      </c>
      <c r="AA72">
        <f>HYPERLINK("https://klasma.github.io/Logging_0480/klagomål/S 5250-2022 FSC-klagomål.docx", "S 5250-2022")</f>
        <v/>
      </c>
      <c r="AB72">
        <f>HYPERLINK("https://klasma.github.io/Logging_0480/klagomålsmail/S 5250-2022 FSC-klagomål mail.docx", "S 5250-2022")</f>
        <v/>
      </c>
      <c r="AC72">
        <f>HYPERLINK("https://klasma.github.io/Logging_0480/tillsyn/S 5250-2022 tillsynsbegäran.docx", "S 5250-2022")</f>
        <v/>
      </c>
      <c r="AD72">
        <f>HYPERLINK("https://klasma.github.io/Logging_0480/tillsynsmail/S 5250-2022 tillsynsbegäran mail.docx", "S 5250-2022")</f>
        <v/>
      </c>
    </row>
    <row r="73" ht="15" customHeight="1">
      <c r="A73" t="inlineStr">
        <is>
          <t>A 52095-2022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46231</v>
      </c>
      <c r="F73" t="inlineStr">
        <is>
          <t>SÖDERMANLANDS LÄN</t>
        </is>
      </c>
      <c r="G73" t="inlineStr">
        <is>
          <t>NYKÖPING</t>
        </is>
      </c>
      <c r="I73" t="n">
        <v>1.8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Drillsnäppa</t>
        </is>
      </c>
      <c r="W73">
        <f>HYPERLINK("https://klasma.github.io/Logging_0480/artfynd/A 52095-2022 artfynd.xlsx", "A 52095-2022")</f>
        <v/>
      </c>
      <c r="X73">
        <f>HYPERLINK("https://klasma.github.io/Logging_0480/kartor/A 52095-2022 karta.png", "A 52095-2022")</f>
        <v/>
      </c>
      <c r="Y73">
        <f>HYPERLINK("https://klasma.github.io/Logging_0480/kartor_geotiff/A 52095-2022 georefererad karta.tif", "A 52095-2022")</f>
        <v/>
      </c>
      <c r="AA73">
        <f>HYPERLINK("https://klasma.github.io/Logging_0480/klagomål/A 52095-2022 FSC-klagomål.docx", "A 52095-2022")</f>
        <v/>
      </c>
      <c r="AB73">
        <f>HYPERLINK("https://klasma.github.io/Logging_0480/klagomålsmail/A 52095-2022 FSC-klagomål mail.docx", "A 52095-2022")</f>
        <v/>
      </c>
      <c r="AC73">
        <f>HYPERLINK("https://klasma.github.io/Logging_0480/tillsyn/A 52095-2022 tillsynsbegäran.docx", "A 52095-2022")</f>
        <v/>
      </c>
      <c r="AD73">
        <f>HYPERLINK("https://klasma.github.io/Logging_0480/tillsynsmail/A 52095-2022 tillsynsbegäran mail.docx", "A 52095-2022")</f>
        <v/>
      </c>
      <c r="AE73">
        <f>HYPERLINK("https://klasma.github.io/Logging_0480/fåglar/A 52095-2022 prioriterade fågelarter.docx", "A 52095-2022")</f>
        <v/>
      </c>
    </row>
    <row r="74" ht="15" customHeight="1">
      <c r="A74" t="inlineStr">
        <is>
          <t>A 67817-2021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46231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Svedjenäva</t>
        </is>
      </c>
      <c r="W74">
        <f>HYPERLINK("https://klasma.github.io/Logging_0480/artfynd/A 67817-2021 artfynd.xlsx", "A 67817-2021")</f>
        <v/>
      </c>
      <c r="X74">
        <f>HYPERLINK("https://klasma.github.io/Logging_0480/kartor/A 67817-2021 karta.png", "A 67817-2021")</f>
        <v/>
      </c>
      <c r="Y74">
        <f>HYPERLINK("https://klasma.github.io/Logging_0480/kartor_geotiff/A 67817-2021 georefererad karta.tif", "A 67817-2021")</f>
        <v/>
      </c>
      <c r="AA74">
        <f>HYPERLINK("https://klasma.github.io/Logging_0480/klagomål/A 67817-2021 FSC-klagomål.docx", "A 67817-2021")</f>
        <v/>
      </c>
      <c r="AB74">
        <f>HYPERLINK("https://klasma.github.io/Logging_0480/klagomålsmail/A 67817-2021 FSC-klagomål mail.docx", "A 67817-2021")</f>
        <v/>
      </c>
      <c r="AC74">
        <f>HYPERLINK("https://klasma.github.io/Logging_0480/tillsyn/A 67817-2021 tillsynsbegäran.docx", "A 67817-2021")</f>
        <v/>
      </c>
      <c r="AD74">
        <f>HYPERLINK("https://klasma.github.io/Logging_0480/tillsynsmail/A 67817-2021 tillsynsbegäran mail.docx", "A 67817-2021")</f>
        <v/>
      </c>
    </row>
    <row r="75" ht="15" customHeight="1">
      <c r="A75" t="inlineStr">
        <is>
          <t>A 58396-2021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44488</v>
      </c>
      <c r="E75" s="1" t="n">
        <v>46231</v>
      </c>
      <c r="F75" t="inlineStr">
        <is>
          <t>SÖDERMANLANDS LÄN</t>
        </is>
      </c>
      <c r="G75" t="inlineStr">
        <is>
          <t>NYKÖPING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HYPERLINK("https://klasma.github.io/Logging_0480/artfynd/A 58396-2021 artfynd.xlsx", "A 58396-2021")</f>
        <v/>
      </c>
      <c r="X75">
        <f>HYPERLINK("https://klasma.github.io/Logging_0480/kartor/A 58396-2021 karta.png", "A 58396-2021")</f>
        <v/>
      </c>
      <c r="Y75">
        <f>HYPERLINK("https://klasma.github.io/Logging_0480/kartor_geotiff/A 58396-2021 georefererad karta.tif", "A 58396-2021")</f>
        <v/>
      </c>
      <c r="AA75">
        <f>HYPERLINK("https://klasma.github.io/Logging_0480/klagomål/A 58396-2021 FSC-klagomål.docx", "A 58396-2021")</f>
        <v/>
      </c>
      <c r="AB75">
        <f>HYPERLINK("https://klasma.github.io/Logging_0480/klagomålsmail/A 58396-2021 FSC-klagomål mail.docx", "A 58396-2021")</f>
        <v/>
      </c>
      <c r="AC75">
        <f>HYPERLINK("https://klasma.github.io/Logging_0480/tillsyn/A 58396-2021 tillsynsbegäran.docx", "A 58396-2021")</f>
        <v/>
      </c>
      <c r="AD75">
        <f>HYPERLINK("https://klasma.github.io/Logging_0480/tillsynsmail/A 58396-2021 tillsynsbegäran mail.docx", "A 58396-2021")</f>
        <v/>
      </c>
      <c r="AE75">
        <f>HYPERLINK("https://klasma.github.io/Logging_0480/fåglar/A 58396-2021 prioriterade fågelarter.docx", "A 58396-2021")</f>
        <v/>
      </c>
    </row>
    <row r="76" ht="15" customHeight="1">
      <c r="A76" t="inlineStr">
        <is>
          <t>A 42966-2021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44430</v>
      </c>
      <c r="E76" s="1" t="n">
        <v>46231</v>
      </c>
      <c r="F76" t="inlineStr">
        <is>
          <t>SÖDERMANLANDS LÄN</t>
        </is>
      </c>
      <c r="G76" t="inlineStr">
        <is>
          <t>NYKÖPING</t>
        </is>
      </c>
      <c r="I76" t="n">
        <v>1.4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Mandelriska</t>
        </is>
      </c>
      <c r="W76">
        <f>HYPERLINK("https://klasma.github.io/Logging_0480/artfynd/A 42966-2021 artfynd.xlsx", "A 42966-2021")</f>
        <v/>
      </c>
      <c r="X76">
        <f>HYPERLINK("https://klasma.github.io/Logging_0480/kartor/A 42966-2021 karta.png", "A 42966-2021")</f>
        <v/>
      </c>
      <c r="Y76">
        <f>HYPERLINK("https://klasma.github.io/Logging_0480/kartor_geotiff/A 42966-2021 georefererad karta.tif", "A 42966-2021")</f>
        <v/>
      </c>
      <c r="AA76">
        <f>HYPERLINK("https://klasma.github.io/Logging_0480/klagomål/A 42966-2021 FSC-klagomål.docx", "A 42966-2021")</f>
        <v/>
      </c>
      <c r="AB76">
        <f>HYPERLINK("https://klasma.github.io/Logging_0480/klagomålsmail/A 42966-2021 FSC-klagomål mail.docx", "A 42966-2021")</f>
        <v/>
      </c>
      <c r="AC76">
        <f>HYPERLINK("https://klasma.github.io/Logging_0480/tillsyn/A 42966-2021 tillsynsbegäran.docx", "A 42966-2021")</f>
        <v/>
      </c>
      <c r="AD76">
        <f>HYPERLINK("https://klasma.github.io/Logging_0480/tillsynsmail/A 42966-2021 tillsynsbegäran mail.docx", "A 42966-2021")</f>
        <v/>
      </c>
    </row>
    <row r="77" ht="15" customHeight="1">
      <c r="A77" t="inlineStr">
        <is>
          <t>A 22990-2022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44718</v>
      </c>
      <c r="E77" s="1" t="n">
        <v>46231</v>
      </c>
      <c r="F77" t="inlineStr">
        <is>
          <t>SÖDERMANLANDS LÄN</t>
        </is>
      </c>
      <c r="G77" t="inlineStr">
        <is>
          <t>NYKÖPING</t>
        </is>
      </c>
      <c r="I77" t="n">
        <v>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Jungfrulin</t>
        </is>
      </c>
      <c r="W77">
        <f>HYPERLINK("https://klasma.github.io/Logging_0480/artfynd/A 22990-2022 artfynd.xlsx", "A 22990-2022")</f>
        <v/>
      </c>
      <c r="X77">
        <f>HYPERLINK("https://klasma.github.io/Logging_0480/kartor/A 22990-2022 karta.png", "A 22990-2022")</f>
        <v/>
      </c>
      <c r="Y77">
        <f>HYPERLINK("https://klasma.github.io/Logging_0480/kartor_geotiff/A 22990-2022 georefererad karta.tif", "A 22990-2022")</f>
        <v/>
      </c>
      <c r="AA77">
        <f>HYPERLINK("https://klasma.github.io/Logging_0480/klagomål/A 22990-2022 FSC-klagomål.docx", "A 22990-2022")</f>
        <v/>
      </c>
      <c r="AB77">
        <f>HYPERLINK("https://klasma.github.io/Logging_0480/klagomålsmail/A 22990-2022 FSC-klagomål mail.docx", "A 22990-2022")</f>
        <v/>
      </c>
      <c r="AC77">
        <f>HYPERLINK("https://klasma.github.io/Logging_0480/tillsyn/A 22990-2022 tillsynsbegäran.docx", "A 22990-2022")</f>
        <v/>
      </c>
      <c r="AD77">
        <f>HYPERLINK("https://klasma.github.io/Logging_0480/tillsynsmail/A 22990-2022 tillsynsbegäran mail.docx", "A 22990-2022")</f>
        <v/>
      </c>
    </row>
    <row r="78" ht="15" customHeight="1">
      <c r="A78" t="inlineStr">
        <is>
          <t>A 45569-2021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44440</v>
      </c>
      <c r="E78" s="1" t="n">
        <v>46231</v>
      </c>
      <c r="F78" t="inlineStr">
        <is>
          <t>SÖDERMANLANDS LÄN</t>
        </is>
      </c>
      <c r="G78" t="inlineStr">
        <is>
          <t>NYKÖPING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Hornuggla</t>
        </is>
      </c>
      <c r="W78">
        <f>HYPERLINK("https://klasma.github.io/Logging_0480/artfynd/A 45569-2021 artfynd.xlsx", "A 45569-2021")</f>
        <v/>
      </c>
      <c r="X78">
        <f>HYPERLINK("https://klasma.github.io/Logging_0480/kartor/A 45569-2021 karta.png", "A 45569-2021")</f>
        <v/>
      </c>
      <c r="Y78">
        <f>HYPERLINK("https://klasma.github.io/Logging_0480/kartor_geotiff/A 45569-2021 georefererad karta.tif", "A 45569-2021")</f>
        <v/>
      </c>
      <c r="AA78">
        <f>HYPERLINK("https://klasma.github.io/Logging_0480/klagomål/A 45569-2021 FSC-klagomål.docx", "A 45569-2021")</f>
        <v/>
      </c>
      <c r="AB78">
        <f>HYPERLINK("https://klasma.github.io/Logging_0480/klagomålsmail/A 45569-2021 FSC-klagomål mail.docx", "A 45569-2021")</f>
        <v/>
      </c>
      <c r="AC78">
        <f>HYPERLINK("https://klasma.github.io/Logging_0480/tillsyn/A 45569-2021 tillsynsbegäran.docx", "A 45569-2021")</f>
        <v/>
      </c>
      <c r="AD78">
        <f>HYPERLINK("https://klasma.github.io/Logging_0480/tillsynsmail/A 45569-2021 tillsynsbegäran mail.docx", "A 45569-2021")</f>
        <v/>
      </c>
      <c r="AE78">
        <f>HYPERLINK("https://klasma.github.io/Logging_0480/fåglar/A 45569-2021 prioriterade fågelarter.docx", "A 45569-2021")</f>
        <v/>
      </c>
    </row>
    <row r="79" ht="15" customHeight="1">
      <c r="A79" t="inlineStr">
        <is>
          <t>A 51720-2021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46231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HYPERLINK("https://klasma.github.io/Logging_0480/artfynd/A 51720-2021 artfynd.xlsx", "A 51720-2021")</f>
        <v/>
      </c>
      <c r="X79">
        <f>HYPERLINK("https://klasma.github.io/Logging_0480/kartor/A 51720-2021 karta.png", "A 51720-2021")</f>
        <v/>
      </c>
      <c r="Y79">
        <f>HYPERLINK("https://klasma.github.io/Logging_0480/kartor_geotiff/A 51720-2021 georefererad karta.tif", "A 51720-2021")</f>
        <v/>
      </c>
      <c r="AA79">
        <f>HYPERLINK("https://klasma.github.io/Logging_0480/klagomål/A 51720-2021 FSC-klagomål.docx", "A 51720-2021")</f>
        <v/>
      </c>
      <c r="AB79">
        <f>HYPERLINK("https://klasma.github.io/Logging_0480/klagomålsmail/A 51720-2021 FSC-klagomål mail.docx", "A 51720-2021")</f>
        <v/>
      </c>
      <c r="AC79">
        <f>HYPERLINK("https://klasma.github.io/Logging_0480/tillsyn/A 51720-2021 tillsynsbegäran.docx", "A 51720-2021")</f>
        <v/>
      </c>
      <c r="AD79">
        <f>HYPERLINK("https://klasma.github.io/Logging_0480/tillsynsmail/A 51720-2021 tillsynsbegäran mail.docx", "A 51720-2021")</f>
        <v/>
      </c>
    </row>
    <row r="80" ht="15" customHeight="1">
      <c r="A80" t="inlineStr">
        <is>
          <t>A 54897-2021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46231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54897-2021 artfynd.xlsx", "A 54897-2021")</f>
        <v/>
      </c>
      <c r="X80">
        <f>HYPERLINK("https://klasma.github.io/Logging_0480/kartor/A 54897-2021 karta.png", "A 54897-2021")</f>
        <v/>
      </c>
      <c r="Y80">
        <f>HYPERLINK("https://klasma.github.io/Logging_0480/kartor_geotiff/A 54897-2021 georefererad karta.tif", "A 54897-2021")</f>
        <v/>
      </c>
      <c r="AA80">
        <f>HYPERLINK("https://klasma.github.io/Logging_0480/klagomål/A 54897-2021 FSC-klagomål.docx", "A 54897-2021")</f>
        <v/>
      </c>
      <c r="AB80">
        <f>HYPERLINK("https://klasma.github.io/Logging_0480/klagomålsmail/A 54897-2021 FSC-klagomål mail.docx", "A 54897-2021")</f>
        <v/>
      </c>
      <c r="AC80">
        <f>HYPERLINK("https://klasma.github.io/Logging_0480/tillsyn/A 54897-2021 tillsynsbegäran.docx", "A 54897-2021")</f>
        <v/>
      </c>
      <c r="AD80">
        <f>HYPERLINK("https://klasma.github.io/Logging_0480/tillsynsmail/A 54897-2021 tillsynsbegäran mail.docx", "A 54897-2021")</f>
        <v/>
      </c>
    </row>
    <row r="81" ht="15" customHeight="1">
      <c r="A81" t="inlineStr">
        <is>
          <t>A 18500-2024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45424</v>
      </c>
      <c r="E81" s="1" t="n">
        <v>46231</v>
      </c>
      <c r="F81" t="inlineStr">
        <is>
          <t>SÖDERMANLANDS LÄN</t>
        </is>
      </c>
      <c r="G81" t="inlineStr">
        <is>
          <t>NYKÖPING</t>
        </is>
      </c>
      <c r="I81" t="n">
        <v>2.4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Tornseglare</t>
        </is>
      </c>
      <c r="W81">
        <f>HYPERLINK("https://klasma.github.io/Logging_0480/artfynd/A 18500-2024 artfynd.xlsx", "A 18500-2024")</f>
        <v/>
      </c>
      <c r="X81">
        <f>HYPERLINK("https://klasma.github.io/Logging_0480/kartor/A 18500-2024 karta.png", "A 18500-2024")</f>
        <v/>
      </c>
      <c r="Y81">
        <f>HYPERLINK("https://klasma.github.io/Logging_0480/kartor_geotiff/A 18500-2024 georefererad karta.tif", "A 18500-2024")</f>
        <v/>
      </c>
      <c r="AA81">
        <f>HYPERLINK("https://klasma.github.io/Logging_0480/klagomål/A 18500-2024 FSC-klagomål.docx", "A 18500-2024")</f>
        <v/>
      </c>
      <c r="AB81">
        <f>HYPERLINK("https://klasma.github.io/Logging_0480/klagomålsmail/A 18500-2024 FSC-klagomål mail.docx", "A 18500-2024")</f>
        <v/>
      </c>
      <c r="AC81">
        <f>HYPERLINK("https://klasma.github.io/Logging_0480/tillsyn/A 18500-2024 tillsynsbegäran.docx", "A 18500-2024")</f>
        <v/>
      </c>
      <c r="AD81">
        <f>HYPERLINK("https://klasma.github.io/Logging_0480/tillsynsmail/A 18500-2024 tillsynsbegäran mail.docx", "A 18500-2024")</f>
        <v/>
      </c>
      <c r="AE81">
        <f>HYPERLINK("https://klasma.github.io/Logging_0480/fåglar/A 18500-2024 prioriterade fågelarter.docx", "A 18500-2024")</f>
        <v/>
      </c>
    </row>
    <row r="82" ht="15" customHeight="1">
      <c r="A82" t="inlineStr">
        <is>
          <t>A 13038-2024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46231</v>
      </c>
      <c r="F82" t="inlineStr">
        <is>
          <t>SÖDERMANLANDS LÄN</t>
        </is>
      </c>
      <c r="G82" t="inlineStr">
        <is>
          <t>NYKÖPING</t>
        </is>
      </c>
      <c r="I82" t="n">
        <v>3.8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HYPERLINK("https://klasma.github.io/Logging_0480/artfynd/A 13038-2024 artfynd.xlsx", "A 13038-2024")</f>
        <v/>
      </c>
      <c r="X82">
        <f>HYPERLINK("https://klasma.github.io/Logging_0480/kartor/A 13038-2024 karta.png", "A 13038-2024")</f>
        <v/>
      </c>
      <c r="Y82">
        <f>HYPERLINK("https://klasma.github.io/Logging_0480/kartor_geotiff/A 13038-2024 georefererad karta.tif", "A 13038-2024")</f>
        <v/>
      </c>
      <c r="Z82">
        <f>HYPERLINK("https://klasma.github.io/Logging_0480/knärot/A 13038-2024 karta knärot.png", "A 13038-2024")</f>
        <v/>
      </c>
      <c r="AA82">
        <f>HYPERLINK("https://klasma.github.io/Logging_0480/klagomål/A 13038-2024 FSC-klagomål.docx", "A 13038-2024")</f>
        <v/>
      </c>
      <c r="AB82">
        <f>HYPERLINK("https://klasma.github.io/Logging_0480/klagomålsmail/A 13038-2024 FSC-klagomål mail.docx", "A 13038-2024")</f>
        <v/>
      </c>
      <c r="AC82">
        <f>HYPERLINK("https://klasma.github.io/Logging_0480/tillsyn/A 13038-2024 tillsynsbegäran.docx", "A 13038-2024")</f>
        <v/>
      </c>
      <c r="AD82">
        <f>HYPERLINK("https://klasma.github.io/Logging_0480/tillsynsmail/A 13038-2024 tillsynsbegäran mail.docx", "A 13038-2024")</f>
        <v/>
      </c>
    </row>
    <row r="83" ht="15" customHeight="1">
      <c r="A83" t="inlineStr">
        <is>
          <t>A 8387-2024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46231</v>
      </c>
      <c r="F83" t="inlineStr">
        <is>
          <t>SÖDERMANLANDS LÄN</t>
        </is>
      </c>
      <c r="G83" t="inlineStr">
        <is>
          <t>NYKÖPING</t>
        </is>
      </c>
      <c r="H83" t="inlineStr">
        <is>
          <t>Sveaskog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HYPERLINK("https://klasma.github.io/Logging_0480/artfynd/A 8387-2024 artfynd.xlsx", "A 8387-2024")</f>
        <v/>
      </c>
      <c r="X83">
        <f>HYPERLINK("https://klasma.github.io/Logging_0480/kartor/A 8387-2024 karta.png", "A 8387-2024")</f>
        <v/>
      </c>
      <c r="Y83">
        <f>HYPERLINK("https://klasma.github.io/Logging_0480/kartor_geotiff/A 8387-2024 georefererad karta.tif", "A 8387-2024")</f>
        <v/>
      </c>
      <c r="AA83">
        <f>HYPERLINK("https://klasma.github.io/Logging_0480/klagomål/A 8387-2024 FSC-klagomål.docx", "A 8387-2024")</f>
        <v/>
      </c>
      <c r="AB83">
        <f>HYPERLINK("https://klasma.github.io/Logging_0480/klagomålsmail/A 8387-2024 FSC-klagomål mail.docx", "A 8387-2024")</f>
        <v/>
      </c>
      <c r="AC83">
        <f>HYPERLINK("https://klasma.github.io/Logging_0480/tillsyn/A 8387-2024 tillsynsbegäran.docx", "A 8387-2024")</f>
        <v/>
      </c>
      <c r="AD83">
        <f>HYPERLINK("https://klasma.github.io/Logging_0480/tillsynsmail/A 8387-2024 tillsynsbegäran mail.docx", "A 8387-2024")</f>
        <v/>
      </c>
      <c r="AE83">
        <f>HYPERLINK("https://klasma.github.io/Logging_0480/fåglar/A 8387-2024 prioriterade fågelarter.docx", "A 8387-2024")</f>
        <v/>
      </c>
    </row>
    <row r="84" ht="15" customHeight="1">
      <c r="A84" t="inlineStr">
        <is>
          <t>A 4305-2026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46231</v>
      </c>
      <c r="F84" t="inlineStr">
        <is>
          <t>SÖDERMANLANDS LÄN</t>
        </is>
      </c>
      <c r="G84" t="inlineStr">
        <is>
          <t>NYKÖPING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Tallticka</t>
        </is>
      </c>
      <c r="W84">
        <f>HYPERLINK("https://klasma.github.io/Logging_0480/artfynd/A 4305-2026 artfynd.xlsx", "A 4305-2026")</f>
        <v/>
      </c>
      <c r="X84">
        <f>HYPERLINK("https://klasma.github.io/Logging_0480/kartor/A 4305-2026 karta.png", "A 4305-2026")</f>
        <v/>
      </c>
      <c r="Y84">
        <f>HYPERLINK("https://klasma.github.io/Logging_0480/kartor_geotiff/A 4305-2026 georefererad karta.tif", "A 4305-2026")</f>
        <v/>
      </c>
      <c r="AA84">
        <f>HYPERLINK("https://klasma.github.io/Logging_0480/klagomål/A 4305-2026 FSC-klagomål.docx", "A 4305-2026")</f>
        <v/>
      </c>
      <c r="AB84">
        <f>HYPERLINK("https://klasma.github.io/Logging_0480/klagomålsmail/A 4305-2026 FSC-klagomål mail.docx", "A 4305-2026")</f>
        <v/>
      </c>
      <c r="AC84">
        <f>HYPERLINK("https://klasma.github.io/Logging_0480/tillsyn/A 4305-2026 tillsynsbegäran.docx", "A 4305-2026")</f>
        <v/>
      </c>
      <c r="AD84">
        <f>HYPERLINK("https://klasma.github.io/Logging_0480/tillsynsmail/A 4305-2026 tillsynsbegäran mail.docx", "A 4305-2026")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46231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Tallticka</t>
        </is>
      </c>
      <c r="W85">
        <f>HYPERLINK("https://klasma.github.io/Logging_0480/artfynd/A 28704-2025 artfynd.xlsx", "A 28704-2025")</f>
        <v/>
      </c>
      <c r="X85">
        <f>HYPERLINK("https://klasma.github.io/Logging_0480/kartor/A 28704-2025 karta.png", "A 28704-2025")</f>
        <v/>
      </c>
      <c r="Y85">
        <f>HYPERLINK("https://klasma.github.io/Logging_0480/kartor_geotiff/A 28704-2025 georefererad karta.tif", "A 28704-2025")</f>
        <v/>
      </c>
      <c r="AA85">
        <f>HYPERLINK("https://klasma.github.io/Logging_0480/klagomål/A 28704-2025 FSC-klagomål.docx", "A 28704-2025")</f>
        <v/>
      </c>
      <c r="AB85">
        <f>HYPERLINK("https://klasma.github.io/Logging_0480/klagomålsmail/A 28704-2025 FSC-klagomål mail.docx", "A 28704-2025")</f>
        <v/>
      </c>
      <c r="AC85">
        <f>HYPERLINK("https://klasma.github.io/Logging_0480/tillsyn/A 28704-2025 tillsynsbegäran.docx", "A 28704-2025")</f>
        <v/>
      </c>
      <c r="AD85">
        <f>HYPERLINK("https://klasma.github.io/Logging_0480/tillsynsmail/A 28704-2025 tillsynsbegäran mail.docx", "A 28704-2025")</f>
        <v/>
      </c>
    </row>
    <row r="86" ht="15" customHeight="1">
      <c r="A86" t="inlineStr">
        <is>
          <t>A 7270-2025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45702</v>
      </c>
      <c r="E86" s="1" t="n">
        <v>46231</v>
      </c>
      <c r="F86" t="inlineStr">
        <is>
          <t>SÖDERMANLANDS LÄN</t>
        </is>
      </c>
      <c r="G86" t="inlineStr">
        <is>
          <t>NYKÖPING</t>
        </is>
      </c>
      <c r="H86" t="inlineStr">
        <is>
          <t>Övriga Aktiebolag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Järpe</t>
        </is>
      </c>
      <c r="W86">
        <f>HYPERLINK("https://klasma.github.io/Logging_0480/artfynd/A 7270-2025 artfynd.xlsx", "A 7270-2025")</f>
        <v/>
      </c>
      <c r="X86">
        <f>HYPERLINK("https://klasma.github.io/Logging_0480/kartor/A 7270-2025 karta.png", "A 7270-2025")</f>
        <v/>
      </c>
      <c r="Y86">
        <f>HYPERLINK("https://klasma.github.io/Logging_0480/kartor_geotiff/A 7270-2025 georefererad karta.tif", "A 7270-2025")</f>
        <v/>
      </c>
      <c r="AA86">
        <f>HYPERLINK("https://klasma.github.io/Logging_0480/klagomål/A 7270-2025 FSC-klagomål.docx", "A 7270-2025")</f>
        <v/>
      </c>
      <c r="AB86">
        <f>HYPERLINK("https://klasma.github.io/Logging_0480/klagomålsmail/A 7270-2025 FSC-klagomål mail.docx", "A 7270-2025")</f>
        <v/>
      </c>
      <c r="AC86">
        <f>HYPERLINK("https://klasma.github.io/Logging_0480/tillsyn/A 7270-2025 tillsynsbegäran.docx", "A 7270-2025")</f>
        <v/>
      </c>
      <c r="AD86">
        <f>HYPERLINK("https://klasma.github.io/Logging_0480/tillsynsmail/A 7270-2025 tillsynsbegäran mail.docx", "A 7270-2025")</f>
        <v/>
      </c>
      <c r="AE86">
        <f>HYPERLINK("https://klasma.github.io/Logging_0480/fåglar/A 7270-2025 prioriterade fågelarter.docx", "A 7270-2025")</f>
        <v/>
      </c>
    </row>
    <row r="87" ht="15" customHeight="1">
      <c r="A87" t="inlineStr">
        <is>
          <t>A 10886-2026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46231</v>
      </c>
      <c r="F87" t="inlineStr">
        <is>
          <t>SÖDERMANLANDS LÄN</t>
        </is>
      </c>
      <c r="G87" t="inlineStr">
        <is>
          <t>NYKÖPING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HYPERLINK("https://klasma.github.io/Logging_0480/artfynd/A 10886-2026 artfynd.xlsx", "A 10886-2026")</f>
        <v/>
      </c>
      <c r="X87">
        <f>HYPERLINK("https://klasma.github.io/Logging_0480/kartor/A 10886-2026 karta.png", "A 10886-2026")</f>
        <v/>
      </c>
      <c r="Y87">
        <f>HYPERLINK("https://klasma.github.io/Logging_0480/kartor_geotiff/A 10886-2026 georefererad karta.tif", "A 10886-2026")</f>
        <v/>
      </c>
      <c r="AA87">
        <f>HYPERLINK("https://klasma.github.io/Logging_0480/klagomål/A 10886-2026 FSC-klagomål.docx", "A 10886-2026")</f>
        <v/>
      </c>
      <c r="AB87">
        <f>HYPERLINK("https://klasma.github.io/Logging_0480/klagomålsmail/A 10886-2026 FSC-klagomål mail.docx", "A 10886-2026")</f>
        <v/>
      </c>
      <c r="AC87">
        <f>HYPERLINK("https://klasma.github.io/Logging_0480/tillsyn/A 10886-2026 tillsynsbegäran.docx", "A 10886-2026")</f>
        <v/>
      </c>
      <c r="AD87">
        <f>HYPERLINK("https://klasma.github.io/Logging_0480/tillsynsmail/A 10886-2026 tillsynsbegäran mail.docx", "A 10886-2026")</f>
        <v/>
      </c>
    </row>
    <row r="88" ht="15" customHeight="1">
      <c r="A88" t="inlineStr">
        <is>
          <t>A 35122-2023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46231</v>
      </c>
      <c r="F88" t="inlineStr">
        <is>
          <t>SÖDERMANLANDS LÄN</t>
        </is>
      </c>
      <c r="G88" t="inlineStr">
        <is>
          <t>NYKÖPING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35122-2023 artfynd.xlsx", "A 35122-2023")</f>
        <v/>
      </c>
      <c r="X88">
        <f>HYPERLINK("https://klasma.github.io/Logging_0480/kartor/A 35122-2023 karta.png", "A 35122-2023")</f>
        <v/>
      </c>
      <c r="Y88">
        <f>HYPERLINK("https://klasma.github.io/Logging_0480/kartor_geotiff/A 35122-2023 georefererad karta.tif", "A 35122-2023")</f>
        <v/>
      </c>
      <c r="AA88">
        <f>HYPERLINK("https://klasma.github.io/Logging_0480/klagomål/A 35122-2023 FSC-klagomål.docx", "A 35122-2023")</f>
        <v/>
      </c>
      <c r="AB88">
        <f>HYPERLINK("https://klasma.github.io/Logging_0480/klagomålsmail/A 35122-2023 FSC-klagomål mail.docx", "A 35122-2023")</f>
        <v/>
      </c>
      <c r="AC88">
        <f>HYPERLINK("https://klasma.github.io/Logging_0480/tillsyn/A 35122-2023 tillsynsbegäran.docx", "A 35122-2023")</f>
        <v/>
      </c>
      <c r="AD88">
        <f>HYPERLINK("https://klasma.github.io/Logging_0480/tillsynsmail/A 35122-2023 tillsynsbegäran mail.docx", "A 35122-2023")</f>
        <v/>
      </c>
    </row>
    <row r="89" ht="15" customHeight="1">
      <c r="A89" t="inlineStr">
        <is>
          <t>A 35318-2024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46231</v>
      </c>
      <c r="F89" t="inlineStr">
        <is>
          <t>SÖDERMANLANDS LÄN</t>
        </is>
      </c>
      <c r="G89" t="inlineStr">
        <is>
          <t>NYKÖPING</t>
        </is>
      </c>
      <c r="I89" t="n">
        <v>7.6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Gullviva</t>
        </is>
      </c>
      <c r="W89">
        <f>HYPERLINK("https://klasma.github.io/Logging_0480/artfynd/A 35318-2024 artfynd.xlsx", "A 35318-2024")</f>
        <v/>
      </c>
      <c r="X89">
        <f>HYPERLINK("https://klasma.github.io/Logging_0480/kartor/A 35318-2024 karta.png", "A 35318-2024")</f>
        <v/>
      </c>
      <c r="Y89">
        <f>HYPERLINK("https://klasma.github.io/Logging_0480/kartor_geotiff/A 35318-2024 georefererad karta.tif", "A 35318-2024")</f>
        <v/>
      </c>
      <c r="AA89">
        <f>HYPERLINK("https://klasma.github.io/Logging_0480/klagomål/A 35318-2024 FSC-klagomål.docx", "A 35318-2024")</f>
        <v/>
      </c>
      <c r="AB89">
        <f>HYPERLINK("https://klasma.github.io/Logging_0480/klagomålsmail/A 35318-2024 FSC-klagomål mail.docx", "A 35318-2024")</f>
        <v/>
      </c>
      <c r="AC89">
        <f>HYPERLINK("https://klasma.github.io/Logging_0480/tillsyn/A 35318-2024 tillsynsbegäran.docx", "A 35318-2024")</f>
        <v/>
      </c>
      <c r="AD89">
        <f>HYPERLINK("https://klasma.github.io/Logging_0480/tillsynsmail/A 35318-2024 tillsynsbegäran mail.docx", "A 35318-2024")</f>
        <v/>
      </c>
    </row>
    <row r="90" ht="15" customHeight="1">
      <c r="A90" t="inlineStr">
        <is>
          <t>A 45122-2025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46231</v>
      </c>
      <c r="F90" t="inlineStr">
        <is>
          <t>SÖDERMANLANDS LÄN</t>
        </is>
      </c>
      <c r="G90" t="inlineStr">
        <is>
          <t>NYKÖPING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HYPERLINK("https://klasma.github.io/Logging_0480/artfynd/A 45122-2025 artfynd.xlsx", "A 45122-2025")</f>
        <v/>
      </c>
      <c r="X90">
        <f>HYPERLINK("https://klasma.github.io/Logging_0480/kartor/A 45122-2025 karta.png", "A 45122-2025")</f>
        <v/>
      </c>
      <c r="Y90">
        <f>HYPERLINK("https://klasma.github.io/Logging_0480/kartor_geotiff/A 45122-2025 georefererad karta.tif", "A 45122-2025")</f>
        <v/>
      </c>
      <c r="AA90">
        <f>HYPERLINK("https://klasma.github.io/Logging_0480/klagomål/A 45122-2025 FSC-klagomål.docx", "A 45122-2025")</f>
        <v/>
      </c>
      <c r="AB90">
        <f>HYPERLINK("https://klasma.github.io/Logging_0480/klagomålsmail/A 45122-2025 FSC-klagomål mail.docx", "A 45122-2025")</f>
        <v/>
      </c>
      <c r="AC90">
        <f>HYPERLINK("https://klasma.github.io/Logging_0480/tillsyn/A 45122-2025 tillsynsbegäran.docx", "A 45122-2025")</f>
        <v/>
      </c>
      <c r="AD90">
        <f>HYPERLINK("https://klasma.github.io/Logging_0480/tillsynsmail/A 45122-2025 tillsynsbegäran mail.docx", "A 45122-2025")</f>
        <v/>
      </c>
      <c r="AE90">
        <f>HYPERLINK("https://klasma.github.io/Logging_0480/fåglar/A 45122-2025 prioriterade fågelarter.docx", "A 45122-2025")</f>
        <v/>
      </c>
    </row>
    <row r="91" ht="15" customHeight="1">
      <c r="A91" t="inlineStr">
        <is>
          <t>A 47095-2021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46231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1.4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Kricka</t>
        </is>
      </c>
      <c r="W91">
        <f>HYPERLINK("https://klasma.github.io/Logging_0480/artfynd/A 47095-2021 artfynd.xlsx", "A 47095-2021")</f>
        <v/>
      </c>
      <c r="X91">
        <f>HYPERLINK("https://klasma.github.io/Logging_0480/kartor/A 47095-2021 karta.png", "A 47095-2021")</f>
        <v/>
      </c>
      <c r="Y91">
        <f>HYPERLINK("https://klasma.github.io/Logging_0480/kartor_geotiff/A 47095-2021 georefererad karta.tif", "A 47095-2021")</f>
        <v/>
      </c>
      <c r="AA91">
        <f>HYPERLINK("https://klasma.github.io/Logging_0480/klagomål/A 47095-2021 FSC-klagomål.docx", "A 47095-2021")</f>
        <v/>
      </c>
      <c r="AB91">
        <f>HYPERLINK("https://klasma.github.io/Logging_0480/klagomålsmail/A 47095-2021 FSC-klagomål mail.docx", "A 47095-2021")</f>
        <v/>
      </c>
      <c r="AC91">
        <f>HYPERLINK("https://klasma.github.io/Logging_0480/tillsyn/A 47095-2021 tillsynsbegäran.docx", "A 47095-2021")</f>
        <v/>
      </c>
      <c r="AD91">
        <f>HYPERLINK("https://klasma.github.io/Logging_0480/tillsynsmail/A 47095-2021 tillsynsbegäran mail.docx", "A 47095-2021")</f>
        <v/>
      </c>
      <c r="AE91">
        <f>HYPERLINK("https://klasma.github.io/Logging_0480/fåglar/A 47095-2021 prioriterade fågelarter.docx", "A 47095-2021")</f>
        <v/>
      </c>
    </row>
    <row r="92" ht="15" customHeight="1">
      <c r="A92" t="inlineStr">
        <is>
          <t>A 5385-2026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46050</v>
      </c>
      <c r="E92" s="1" t="n">
        <v>46231</v>
      </c>
      <c r="F92" t="inlineStr">
        <is>
          <t>SÖDERMANLANDS LÄN</t>
        </is>
      </c>
      <c r="G92" t="inlineStr">
        <is>
          <t>NYKÖPING</t>
        </is>
      </c>
      <c r="I92" t="n">
        <v>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Spillkråka</t>
        </is>
      </c>
      <c r="W92">
        <f>HYPERLINK("https://klasma.github.io/Logging_0480/artfynd/A 5385-2026 artfynd.xlsx", "A 5385-2026")</f>
        <v/>
      </c>
      <c r="X92">
        <f>HYPERLINK("https://klasma.github.io/Logging_0480/kartor/A 5385-2026 karta.png", "A 5385-2026")</f>
        <v/>
      </c>
      <c r="Y92">
        <f>HYPERLINK("https://klasma.github.io/Logging_0480/kartor_geotiff/A 5385-2026 georefererad karta.tif", "A 5385-2026")</f>
        <v/>
      </c>
      <c r="AA92">
        <f>HYPERLINK("https://klasma.github.io/Logging_0480/klagomål/A 5385-2026 FSC-klagomål.docx", "A 5385-2026")</f>
        <v/>
      </c>
      <c r="AB92">
        <f>HYPERLINK("https://klasma.github.io/Logging_0480/klagomålsmail/A 5385-2026 FSC-klagomål mail.docx", "A 5385-2026")</f>
        <v/>
      </c>
      <c r="AC92">
        <f>HYPERLINK("https://klasma.github.io/Logging_0480/tillsyn/A 5385-2026 tillsynsbegäran.docx", "A 5385-2026")</f>
        <v/>
      </c>
      <c r="AD92">
        <f>HYPERLINK("https://klasma.github.io/Logging_0480/tillsynsmail/A 5385-2026 tillsynsbegäran mail.docx", "A 5385-2026")</f>
        <v/>
      </c>
      <c r="AE92">
        <f>HYPERLINK("https://klasma.github.io/Logging_0480/fåglar/A 5385-2026 prioriterade fågelarter.docx", "A 5385-2026")</f>
        <v/>
      </c>
    </row>
    <row r="93" ht="15" customHeight="1">
      <c r="A93" t="inlineStr">
        <is>
          <t>A 21129-2024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46231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Liljekonvalj</t>
        </is>
      </c>
      <c r="W93">
        <f>HYPERLINK("https://klasma.github.io/Logging_0480/artfynd/A 21129-2024 artfynd.xlsx", "A 21129-2024")</f>
        <v/>
      </c>
      <c r="X93">
        <f>HYPERLINK("https://klasma.github.io/Logging_0480/kartor/A 21129-2024 karta.png", "A 21129-2024")</f>
        <v/>
      </c>
      <c r="Y93">
        <f>HYPERLINK("https://klasma.github.io/Logging_0480/kartor_geotiff/A 21129-2024 georefererad karta.tif", "A 21129-2024")</f>
        <v/>
      </c>
      <c r="AA93">
        <f>HYPERLINK("https://klasma.github.io/Logging_0480/klagomål/A 21129-2024 FSC-klagomål.docx", "A 21129-2024")</f>
        <v/>
      </c>
      <c r="AB93">
        <f>HYPERLINK("https://klasma.github.io/Logging_0480/klagomålsmail/A 21129-2024 FSC-klagomål mail.docx", "A 21129-2024")</f>
        <v/>
      </c>
      <c r="AC93">
        <f>HYPERLINK("https://klasma.github.io/Logging_0480/tillsyn/A 21129-2024 tillsynsbegäran.docx", "A 21129-2024")</f>
        <v/>
      </c>
      <c r="AD93">
        <f>HYPERLINK("https://klasma.github.io/Logging_0480/tillsynsmail/A 21129-2024 tillsynsbegäran mail.docx", "A 21129-2024")</f>
        <v/>
      </c>
    </row>
    <row r="94" ht="15" customHeight="1">
      <c r="A94" t="inlineStr">
        <is>
          <t>A 5509-2023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46231</v>
      </c>
      <c r="F94" t="inlineStr">
        <is>
          <t>SÖDERMANLANDS LÄN</t>
        </is>
      </c>
      <c r="G94" t="inlineStr">
        <is>
          <t>NYKÖPING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HYPERLINK("https://klasma.github.io/Logging_0480/artfynd/A 5509-2023 artfynd.xlsx", "A 5509-2023")</f>
        <v/>
      </c>
      <c r="X94">
        <f>HYPERLINK("https://klasma.github.io/Logging_0480/kartor/A 5509-2023 karta.png", "A 5509-2023")</f>
        <v/>
      </c>
      <c r="Y94">
        <f>HYPERLINK("https://klasma.github.io/Logging_0480/kartor_geotiff/A 5509-2023 georefererad karta.tif", "A 5509-2023")</f>
        <v/>
      </c>
      <c r="AA94">
        <f>HYPERLINK("https://klasma.github.io/Logging_0480/klagomål/A 5509-2023 FSC-klagomål.docx", "A 5509-2023")</f>
        <v/>
      </c>
      <c r="AB94">
        <f>HYPERLINK("https://klasma.github.io/Logging_0480/klagomålsmail/A 5509-2023 FSC-klagomål mail.docx", "A 5509-2023")</f>
        <v/>
      </c>
      <c r="AC94">
        <f>HYPERLINK("https://klasma.github.io/Logging_0480/tillsyn/A 5509-2023 tillsynsbegäran.docx", "A 5509-2023")</f>
        <v/>
      </c>
      <c r="AD94">
        <f>HYPERLINK("https://klasma.github.io/Logging_0480/tillsynsmail/A 5509-2023 tillsynsbegäran mail.docx", "A 5509-2023")</f>
        <v/>
      </c>
    </row>
    <row r="95" ht="15" customHeight="1">
      <c r="A95" t="inlineStr">
        <is>
          <t>A 21021-2026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46145</v>
      </c>
      <c r="E95" s="1" t="n">
        <v>46231</v>
      </c>
      <c r="F95" t="inlineStr">
        <is>
          <t>SÖDERMANLANDS LÄN</t>
        </is>
      </c>
      <c r="G95" t="inlineStr">
        <is>
          <t>NYKÖPING</t>
        </is>
      </c>
      <c r="I95" t="n">
        <v>3.4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HYPERLINK("https://klasma.github.io/Logging_0480/artfynd/A 21021-2026 artfynd.xlsx", "A 21021-2026")</f>
        <v/>
      </c>
      <c r="X95">
        <f>HYPERLINK("https://klasma.github.io/Logging_0480/kartor/A 21021-2026 karta.png", "A 21021-2026")</f>
        <v/>
      </c>
      <c r="Y95">
        <f>HYPERLINK("https://klasma.github.io/Logging_0480/kartor_geotiff/A 21021-2026 georefererad karta.tif", "A 21021-2026")</f>
        <v/>
      </c>
      <c r="AA95">
        <f>HYPERLINK("https://klasma.github.io/Logging_0480/klagomål/A 21021-2026 FSC-klagomål.docx", "A 21021-2026")</f>
        <v/>
      </c>
      <c r="AB95">
        <f>HYPERLINK("https://klasma.github.io/Logging_0480/klagomålsmail/A 21021-2026 FSC-klagomål mail.docx", "A 21021-2026")</f>
        <v/>
      </c>
      <c r="AC95">
        <f>HYPERLINK("https://klasma.github.io/Logging_0480/tillsyn/A 21021-2026 tillsynsbegäran.docx", "A 21021-2026")</f>
        <v/>
      </c>
      <c r="AD95">
        <f>HYPERLINK("https://klasma.github.io/Logging_0480/tillsynsmail/A 21021-2026 tillsynsbegäran mail.docx", "A 21021-2026")</f>
        <v/>
      </c>
    </row>
    <row r="96" ht="15" customHeight="1">
      <c r="A96" t="inlineStr">
        <is>
          <t>A 28542-2023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46231</v>
      </c>
      <c r="F96" t="inlineStr">
        <is>
          <t>SÖDERMANLANDS LÄN</t>
        </is>
      </c>
      <c r="G96" t="inlineStr">
        <is>
          <t>NYKÖPING</t>
        </is>
      </c>
      <c r="I96" t="n">
        <v>2.8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HYPERLINK("https://klasma.github.io/Logging_0480/artfynd/A 28542-2023 artfynd.xlsx", "A 28542-2023")</f>
        <v/>
      </c>
      <c r="X96">
        <f>HYPERLINK("https://klasma.github.io/Logging_0480/kartor/A 28542-2023 karta.png", "A 28542-2023")</f>
        <v/>
      </c>
      <c r="Y96">
        <f>HYPERLINK("https://klasma.github.io/Logging_0480/kartor_geotiff/A 28542-2023 georefererad karta.tif", "A 28542-2023")</f>
        <v/>
      </c>
      <c r="Z96">
        <f>HYPERLINK("https://klasma.github.io/Logging_0480/knärot/A 28542-2023 karta knärot.png", "A 28542-2023")</f>
        <v/>
      </c>
      <c r="AA96">
        <f>HYPERLINK("https://klasma.github.io/Logging_0480/klagomål/A 28542-2023 FSC-klagomål.docx", "A 28542-2023")</f>
        <v/>
      </c>
      <c r="AB96">
        <f>HYPERLINK("https://klasma.github.io/Logging_0480/klagomålsmail/A 28542-2023 FSC-klagomål mail.docx", "A 28542-2023")</f>
        <v/>
      </c>
      <c r="AC96">
        <f>HYPERLINK("https://klasma.github.io/Logging_0480/tillsyn/A 28542-2023 tillsynsbegäran.docx", "A 28542-2023")</f>
        <v/>
      </c>
      <c r="AD96">
        <f>HYPERLINK("https://klasma.github.io/Logging_0480/tillsynsmail/A 28542-2023 tillsynsbegäran mail.docx", "A 28542-2023")</f>
        <v/>
      </c>
    </row>
    <row r="97" ht="15" customHeight="1">
      <c r="A97" t="inlineStr">
        <is>
          <t>A 50014-2025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46231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4.9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Sexfläckig bastardsvärmare</t>
        </is>
      </c>
      <c r="W97">
        <f>HYPERLINK("https://klasma.github.io/Logging_0480/artfynd/A 50014-2025 artfynd.xlsx", "A 50014-2025")</f>
        <v/>
      </c>
      <c r="X97">
        <f>HYPERLINK("https://klasma.github.io/Logging_0480/kartor/A 50014-2025 karta.png", "A 50014-2025")</f>
        <v/>
      </c>
      <c r="Y97">
        <f>HYPERLINK("https://klasma.github.io/Logging_0480/kartor_geotiff/A 50014-2025 georefererad karta.tif", "A 50014-2025")</f>
        <v/>
      </c>
      <c r="AA97">
        <f>HYPERLINK("https://klasma.github.io/Logging_0480/klagomål/A 50014-2025 FSC-klagomål.docx", "A 50014-2025")</f>
        <v/>
      </c>
      <c r="AB97">
        <f>HYPERLINK("https://klasma.github.io/Logging_0480/klagomålsmail/A 50014-2025 FSC-klagomål mail.docx", "A 50014-2025")</f>
        <v/>
      </c>
      <c r="AC97">
        <f>HYPERLINK("https://klasma.github.io/Logging_0480/tillsyn/A 50014-2025 tillsynsbegäran.docx", "A 50014-2025")</f>
        <v/>
      </c>
      <c r="AD97">
        <f>HYPERLINK("https://klasma.github.io/Logging_0480/tillsynsmail/A 50014-2025 tillsynsbegäran mail.docx", "A 50014-2025")</f>
        <v/>
      </c>
    </row>
    <row r="98" ht="15" customHeight="1">
      <c r="A98" t="inlineStr">
        <is>
          <t>A 22495-2026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46231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Vedticka</t>
        </is>
      </c>
      <c r="W98">
        <f>HYPERLINK("https://klasma.github.io/Logging_0480/artfynd/A 22495-2026 artfynd.xlsx", "A 22495-2026")</f>
        <v/>
      </c>
      <c r="X98">
        <f>HYPERLINK("https://klasma.github.io/Logging_0480/kartor/A 22495-2026 karta.png", "A 22495-2026")</f>
        <v/>
      </c>
      <c r="Y98">
        <f>HYPERLINK("https://klasma.github.io/Logging_0480/kartor_geotiff/A 22495-2026 georefererad karta.tif", "A 22495-2026")</f>
        <v/>
      </c>
      <c r="AA98">
        <f>HYPERLINK("https://klasma.github.io/Logging_0480/klagomål/A 22495-2026 FSC-klagomål.docx", "A 22495-2026")</f>
        <v/>
      </c>
      <c r="AB98">
        <f>HYPERLINK("https://klasma.github.io/Logging_0480/klagomålsmail/A 22495-2026 FSC-klagomål mail.docx", "A 22495-2026")</f>
        <v/>
      </c>
      <c r="AC98">
        <f>HYPERLINK("https://klasma.github.io/Logging_0480/tillsyn/A 22495-2026 tillsynsbegäran.docx", "A 22495-2026")</f>
        <v/>
      </c>
      <c r="AD98">
        <f>HYPERLINK("https://klasma.github.io/Logging_0480/tillsynsmail/A 22495-2026 tillsynsbegäran mail.docx", "A 22495-2026")</f>
        <v/>
      </c>
    </row>
    <row r="99" ht="15" customHeight="1">
      <c r="A99" t="inlineStr">
        <is>
          <t>A 50871-2025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46231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Nattskärra</t>
        </is>
      </c>
      <c r="W99">
        <f>HYPERLINK("https://klasma.github.io/Logging_0480/artfynd/A 50871-2025 artfynd.xlsx", "A 50871-2025")</f>
        <v/>
      </c>
      <c r="X99">
        <f>HYPERLINK("https://klasma.github.io/Logging_0480/kartor/A 50871-2025 karta.png", "A 50871-2025")</f>
        <v/>
      </c>
      <c r="Y99">
        <f>HYPERLINK("https://klasma.github.io/Logging_0480/kartor_geotiff/A 50871-2025 georefererad karta.tif", "A 50871-2025")</f>
        <v/>
      </c>
      <c r="AA99">
        <f>HYPERLINK("https://klasma.github.io/Logging_0480/klagomål/A 50871-2025 FSC-klagomål.docx", "A 50871-2025")</f>
        <v/>
      </c>
      <c r="AB99">
        <f>HYPERLINK("https://klasma.github.io/Logging_0480/klagomålsmail/A 50871-2025 FSC-klagomål mail.docx", "A 50871-2025")</f>
        <v/>
      </c>
      <c r="AC99">
        <f>HYPERLINK("https://klasma.github.io/Logging_0480/tillsyn/A 50871-2025 tillsynsbegäran.docx", "A 50871-2025")</f>
        <v/>
      </c>
      <c r="AD99">
        <f>HYPERLINK("https://klasma.github.io/Logging_0480/tillsynsmail/A 50871-2025 tillsynsbegäran mail.docx", "A 50871-2025")</f>
        <v/>
      </c>
      <c r="AE99">
        <f>HYPERLINK("https://klasma.github.io/Logging_0480/fåglar/A 50871-2025 prioriterade fågelarter.docx", "A 50871-2025")</f>
        <v/>
      </c>
    </row>
    <row r="100" ht="15" customHeight="1">
      <c r="A100" t="inlineStr">
        <is>
          <t>A 52384-2025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46231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Törnskata</t>
        </is>
      </c>
      <c r="W100">
        <f>HYPERLINK("https://klasma.github.io/Logging_0480/artfynd/A 52384-2025 artfynd.xlsx", "A 52384-2025")</f>
        <v/>
      </c>
      <c r="X100">
        <f>HYPERLINK("https://klasma.github.io/Logging_0480/kartor/A 52384-2025 karta.png", "A 52384-2025")</f>
        <v/>
      </c>
      <c r="Y100">
        <f>HYPERLINK("https://klasma.github.io/Logging_0480/kartor_geotiff/A 52384-2025 georefererad karta.tif", "A 52384-2025")</f>
        <v/>
      </c>
      <c r="AA100">
        <f>HYPERLINK("https://klasma.github.io/Logging_0480/klagomål/A 52384-2025 FSC-klagomål.docx", "A 52384-2025")</f>
        <v/>
      </c>
      <c r="AB100">
        <f>HYPERLINK("https://klasma.github.io/Logging_0480/klagomålsmail/A 52384-2025 FSC-klagomål mail.docx", "A 52384-2025")</f>
        <v/>
      </c>
      <c r="AC100">
        <f>HYPERLINK("https://klasma.github.io/Logging_0480/tillsyn/A 52384-2025 tillsynsbegäran.docx", "A 52384-2025")</f>
        <v/>
      </c>
      <c r="AD100">
        <f>HYPERLINK("https://klasma.github.io/Logging_0480/tillsynsmail/A 52384-2025 tillsynsbegäran mail.docx", "A 52384-2025")</f>
        <v/>
      </c>
      <c r="AE100">
        <f>HYPERLINK("https://klasma.github.io/Logging_0480/fåglar/A 52384-2025 prioriterade fågelarter.docx", "A 52384-2025")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46231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HYPERLINK("https://klasma.github.io/Logging_0480/artfynd/A 20415-2024 artfynd.xlsx", "A 20415-2024")</f>
        <v/>
      </c>
      <c r="X101">
        <f>HYPERLINK("https://klasma.github.io/Logging_0480/kartor/A 20415-2024 karta.png", "A 20415-2024")</f>
        <v/>
      </c>
      <c r="Y101">
        <f>HYPERLINK("https://klasma.github.io/Logging_0480/kartor_geotiff/A 20415-2024 georefererad karta.tif", "A 20415-2024")</f>
        <v/>
      </c>
      <c r="AA101">
        <f>HYPERLINK("https://klasma.github.io/Logging_0480/klagomål/A 20415-2024 FSC-klagomål.docx", "A 20415-2024")</f>
        <v/>
      </c>
      <c r="AB101">
        <f>HYPERLINK("https://klasma.github.io/Logging_0480/klagomålsmail/A 20415-2024 FSC-klagomål mail.docx", "A 20415-2024")</f>
        <v/>
      </c>
      <c r="AC101">
        <f>HYPERLINK("https://klasma.github.io/Logging_0480/tillsyn/A 20415-2024 tillsynsbegäran.docx", "A 20415-2024")</f>
        <v/>
      </c>
      <c r="AD101">
        <f>HYPERLINK("https://klasma.github.io/Logging_0480/tillsynsmail/A 20415-2024 tillsynsbegäran mail.docx", "A 20415-2024")</f>
        <v/>
      </c>
      <c r="AE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46231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50554-2023 artfynd.xlsx", "A 50554-2023")</f>
        <v/>
      </c>
      <c r="X102">
        <f>HYPERLINK("https://klasma.github.io/Logging_0480/kartor/A 50554-2023 karta.png", "A 50554-2023")</f>
        <v/>
      </c>
      <c r="Y102">
        <f>HYPERLINK("https://klasma.github.io/Logging_0480/kartor_geotiff/A 50554-2023 georefererad karta.tif", "A 50554-2023")</f>
        <v/>
      </c>
      <c r="AA102">
        <f>HYPERLINK("https://klasma.github.io/Logging_0480/klagomål/A 50554-2023 FSC-klagomål.docx", "A 50554-2023")</f>
        <v/>
      </c>
      <c r="AB102">
        <f>HYPERLINK("https://klasma.github.io/Logging_0480/klagomålsmail/A 50554-2023 FSC-klagomål mail.docx", "A 50554-2023")</f>
        <v/>
      </c>
      <c r="AC102">
        <f>HYPERLINK("https://klasma.github.io/Logging_0480/tillsyn/A 50554-2023 tillsynsbegäran.docx", "A 50554-2023")</f>
        <v/>
      </c>
      <c r="AD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46231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2837-2025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46231</v>
      </c>
      <c r="F104" t="inlineStr">
        <is>
          <t>SÖDERMANLANDS LÄN</t>
        </is>
      </c>
      <c r="G104" t="inlineStr">
        <is>
          <t>NYKÖPING</t>
        </is>
      </c>
      <c r="I104" t="n">
        <v>5.2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0</v>
      </c>
      <c r="V104" s="2" t="inlineStr">
        <is>
          <t>Hasselticka</t>
        </is>
      </c>
      <c r="W104">
        <f>HYPERLINK("https://klasma.github.io/Logging_0480/artfynd/A 2837-2025 artfynd.xlsx", "A 2837-2025")</f>
        <v/>
      </c>
      <c r="X104">
        <f>HYPERLINK("https://klasma.github.io/Logging_0480/kartor/A 2837-2025 karta.png", "A 2837-2025")</f>
        <v/>
      </c>
      <c r="Y104">
        <f>HYPERLINK("https://klasma.github.io/Logging_0480/kartor_geotiff/A 2837-2025 georefererad karta.tif", "A 2837-2025")</f>
        <v/>
      </c>
      <c r="AA104">
        <f>HYPERLINK("https://klasma.github.io/Logging_0480/klagomål/A 2837-2025 FSC-klagomål.docx", "A 2837-2025")</f>
        <v/>
      </c>
      <c r="AB104">
        <f>HYPERLINK("https://klasma.github.io/Logging_0480/klagomålsmail/A 2837-2025 FSC-klagomål mail.docx", "A 2837-2025")</f>
        <v/>
      </c>
      <c r="AC104">
        <f>HYPERLINK("https://klasma.github.io/Logging_0480/tillsyn/A 2837-2025 tillsynsbegäran.docx", "A 2837-2025")</f>
        <v/>
      </c>
      <c r="AD104">
        <f>HYPERLINK("https://klasma.github.io/Logging_0480/tillsynsmail/A 2837-2025 tillsynsbegäran mail.docx", "A 2837-2025")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46231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59905-2025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46231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11.7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Kattfotslav</t>
        </is>
      </c>
      <c r="W106">
        <f>HYPERLINK("https://klasma.github.io/Logging_0480/artfynd/A 59905-2025 artfynd.xlsx", "A 59905-2025")</f>
        <v/>
      </c>
      <c r="X106">
        <f>HYPERLINK("https://klasma.github.io/Logging_0480/kartor/A 59905-2025 karta.png", "A 59905-2025")</f>
        <v/>
      </c>
      <c r="Y106">
        <f>HYPERLINK("https://klasma.github.io/Logging_0480/kartor_geotiff/A 59905-2025 georefererad karta.tif", "A 59905-2025")</f>
        <v/>
      </c>
      <c r="AA106">
        <f>HYPERLINK("https://klasma.github.io/Logging_0480/klagomål/A 59905-2025 FSC-klagomål.docx", "A 59905-2025")</f>
        <v/>
      </c>
      <c r="AB106">
        <f>HYPERLINK("https://klasma.github.io/Logging_0480/klagomålsmail/A 59905-2025 FSC-klagomål mail.docx", "A 59905-2025")</f>
        <v/>
      </c>
      <c r="AC106">
        <f>HYPERLINK("https://klasma.github.io/Logging_0480/tillsyn/A 59905-2025 tillsynsbegäran.docx", "A 59905-2025")</f>
        <v/>
      </c>
      <c r="AD106">
        <f>HYPERLINK("https://klasma.github.io/Logging_0480/tillsynsmail/A 59905-2025 tillsynsbegäran mail.docx", "A 59905-2025")</f>
        <v/>
      </c>
    </row>
    <row r="107" ht="15" customHeight="1">
      <c r="A107" t="inlineStr">
        <is>
          <t>A 63423-2025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46231</v>
      </c>
      <c r="F107" t="inlineStr">
        <is>
          <t>SÖDERMANLANDS LÄN</t>
        </is>
      </c>
      <c r="G107" t="inlineStr">
        <is>
          <t>NYKÖPING</t>
        </is>
      </c>
      <c r="I107" t="n">
        <v>7.4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HYPERLINK("https://klasma.github.io/Logging_0480/artfynd/A 63423-2025 artfynd.xlsx", "A 63423-2025")</f>
        <v/>
      </c>
      <c r="X107">
        <f>HYPERLINK("https://klasma.github.io/Logging_0480/kartor/A 63423-2025 karta.png", "A 63423-2025")</f>
        <v/>
      </c>
      <c r="Y107">
        <f>HYPERLINK("https://klasma.github.io/Logging_0480/kartor_geotiff/A 63423-2025 georefererad karta.tif", "A 63423-2025")</f>
        <v/>
      </c>
      <c r="AA107">
        <f>HYPERLINK("https://klasma.github.io/Logging_0480/klagomål/A 63423-2025 FSC-klagomål.docx", "A 63423-2025")</f>
        <v/>
      </c>
      <c r="AB107">
        <f>HYPERLINK("https://klasma.github.io/Logging_0480/klagomålsmail/A 63423-2025 FSC-klagomål mail.docx", "A 63423-2025")</f>
        <v/>
      </c>
      <c r="AC107">
        <f>HYPERLINK("https://klasma.github.io/Logging_0480/tillsyn/A 63423-2025 tillsynsbegäran.docx", "A 63423-2025")</f>
        <v/>
      </c>
      <c r="AD107">
        <f>HYPERLINK("https://klasma.github.io/Logging_0480/tillsynsmail/A 63423-2025 tillsynsbegäran mail.docx", "A 63423-2025")</f>
        <v/>
      </c>
    </row>
    <row r="108" ht="15" customHeight="1">
      <c r="A108" t="inlineStr">
        <is>
          <t>A 4903-2022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46231</v>
      </c>
      <c r="F108" t="inlineStr">
        <is>
          <t>SÖDERMANLANDS LÄN</t>
        </is>
      </c>
      <c r="G108" t="inlineStr">
        <is>
          <t>NYKÖPING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HYPERLINK("https://klasma.github.io/Logging_0480/artfynd/A 4903-2022 artfynd.xlsx", "A 4903-2022")</f>
        <v/>
      </c>
      <c r="X108">
        <f>HYPERLINK("https://klasma.github.io/Logging_0480/kartor/A 4903-2022 karta.png", "A 4903-2022")</f>
        <v/>
      </c>
      <c r="Y108">
        <f>HYPERLINK("https://klasma.github.io/Logging_0480/kartor_geotiff/A 4903-2022 georefererad karta.tif", "A 4903-2022")</f>
        <v/>
      </c>
      <c r="Z108">
        <f>HYPERLINK("https://klasma.github.io/Logging_0480/knärot/A 4903-2022 karta knärot.png", "A 4903-2022")</f>
        <v/>
      </c>
      <c r="AA108">
        <f>HYPERLINK("https://klasma.github.io/Logging_0480/klagomål/A 4903-2022 FSC-klagomål.docx", "A 4903-2022")</f>
        <v/>
      </c>
      <c r="AB108">
        <f>HYPERLINK("https://klasma.github.io/Logging_0480/klagomålsmail/A 4903-2022 FSC-klagomål mail.docx", "A 4903-2022")</f>
        <v/>
      </c>
      <c r="AC108">
        <f>HYPERLINK("https://klasma.github.io/Logging_0480/tillsyn/A 4903-2022 tillsynsbegäran.docx", "A 4903-2022")</f>
        <v/>
      </c>
      <c r="AD108">
        <f>HYPERLINK("https://klasma.github.io/Logging_0480/tillsynsmail/A 4903-2022 tillsynsbegäran mail.docx", "A 4903-2022")</f>
        <v/>
      </c>
    </row>
    <row r="109" ht="15" customHeight="1">
      <c r="A109" t="inlineStr">
        <is>
          <t>A 52684-2021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46231</v>
      </c>
      <c r="F109" t="inlineStr">
        <is>
          <t>SÖDERMANLANDS LÄN</t>
        </is>
      </c>
      <c r="G109" t="inlineStr">
        <is>
          <t>NYKÖPING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Kråka</t>
        </is>
      </c>
      <c r="W109">
        <f>HYPERLINK("https://klasma.github.io/Logging_0480/artfynd/A 52684-2021 artfynd.xlsx", "A 52684-2021")</f>
        <v/>
      </c>
      <c r="X109">
        <f>HYPERLINK("https://klasma.github.io/Logging_0480/kartor/A 52684-2021 karta.png", "A 52684-2021")</f>
        <v/>
      </c>
      <c r="Y109">
        <f>HYPERLINK("https://klasma.github.io/Logging_0480/kartor_geotiff/A 52684-2021 georefererad karta.tif", "A 52684-2021")</f>
        <v/>
      </c>
      <c r="AA109">
        <f>HYPERLINK("https://klasma.github.io/Logging_0480/klagomål/A 52684-2021 FSC-klagomål.docx", "A 52684-2021")</f>
        <v/>
      </c>
      <c r="AB109">
        <f>HYPERLINK("https://klasma.github.io/Logging_0480/klagomålsmail/A 52684-2021 FSC-klagomål mail.docx", "A 52684-2021")</f>
        <v/>
      </c>
      <c r="AC109">
        <f>HYPERLINK("https://klasma.github.io/Logging_0480/tillsyn/A 52684-2021 tillsynsbegäran.docx", "A 52684-2021")</f>
        <v/>
      </c>
      <c r="AD109">
        <f>HYPERLINK("https://klasma.github.io/Logging_0480/tillsynsmail/A 52684-2021 tillsynsbegäran mail.docx", "A 52684-2021")</f>
        <v/>
      </c>
    </row>
    <row r="110" ht="15" customHeight="1">
      <c r="A110" t="inlineStr">
        <is>
          <t>A 65889-2021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46231</v>
      </c>
      <c r="F110" t="inlineStr">
        <is>
          <t>SÖDERMANLANDS LÄN</t>
        </is>
      </c>
      <c r="G110" t="inlineStr">
        <is>
          <t>NYKÖPING</t>
        </is>
      </c>
      <c r="I110" t="n">
        <v>4.8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Backstarr</t>
        </is>
      </c>
      <c r="W110">
        <f>HYPERLINK("https://klasma.github.io/Logging_0480/artfynd/A 65889-2021 artfynd.xlsx", "A 65889-2021")</f>
        <v/>
      </c>
      <c r="X110">
        <f>HYPERLINK("https://klasma.github.io/Logging_0480/kartor/A 65889-2021 karta.png", "A 65889-2021")</f>
        <v/>
      </c>
      <c r="Y110">
        <f>HYPERLINK("https://klasma.github.io/Logging_0480/kartor_geotiff/A 65889-2021 georefererad karta.tif", "A 65889-2021")</f>
        <v/>
      </c>
      <c r="AA110">
        <f>HYPERLINK("https://klasma.github.io/Logging_0480/klagomål/A 65889-2021 FSC-klagomål.docx", "A 65889-2021")</f>
        <v/>
      </c>
      <c r="AB110">
        <f>HYPERLINK("https://klasma.github.io/Logging_0480/klagomålsmail/A 65889-2021 FSC-klagomål mail.docx", "A 65889-2021")</f>
        <v/>
      </c>
      <c r="AC110">
        <f>HYPERLINK("https://klasma.github.io/Logging_0480/tillsyn/A 65889-2021 tillsynsbegäran.docx", "A 65889-2021")</f>
        <v/>
      </c>
      <c r="AD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13724-2024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46231</v>
      </c>
      <c r="F111" t="inlineStr">
        <is>
          <t>SÖDERMANLANDS LÄN</t>
        </is>
      </c>
      <c r="G111" t="inlineStr">
        <is>
          <t>NYKÖPING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HYPERLINK("https://klasma.github.io/Logging_0480/artfynd/A 13724-2024 artfynd.xlsx", "A 13724-2024")</f>
        <v/>
      </c>
      <c r="X111">
        <f>HYPERLINK("https://klasma.github.io/Logging_0480/kartor/A 13724-2024 karta.png", "A 13724-2024")</f>
        <v/>
      </c>
      <c r="Y111">
        <f>HYPERLINK("https://klasma.github.io/Logging_0480/kartor_geotiff/A 13724-2024 georefererad karta.tif", "A 13724-2024")</f>
        <v/>
      </c>
      <c r="AA111">
        <f>HYPERLINK("https://klasma.github.io/Logging_0480/klagomål/A 13724-2024 FSC-klagomål.docx", "A 13724-2024")</f>
        <v/>
      </c>
      <c r="AB111">
        <f>HYPERLINK("https://klasma.github.io/Logging_0480/klagomålsmail/A 13724-2024 FSC-klagomål mail.docx", "A 13724-2024")</f>
        <v/>
      </c>
      <c r="AC111">
        <f>HYPERLINK("https://klasma.github.io/Logging_0480/tillsyn/A 13724-2024 tillsynsbegäran.docx", "A 13724-2024")</f>
        <v/>
      </c>
      <c r="AD111">
        <f>HYPERLINK("https://klasma.github.io/Logging_0480/tillsynsmail/A 13724-2024 tillsynsbegäran mail.docx", "A 13724-2024")</f>
        <v/>
      </c>
    </row>
    <row r="112" ht="15" customHeight="1">
      <c r="A112" t="inlineStr">
        <is>
          <t>A 2829-2025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46231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Allmännings- och besparingsskogar</t>
        </is>
      </c>
      <c r="I112" t="n">
        <v>12.1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Nattskärra</t>
        </is>
      </c>
      <c r="W112">
        <f>HYPERLINK("https://klasma.github.io/Logging_0480/artfynd/A 2829-2025 artfynd.xlsx", "A 2829-2025")</f>
        <v/>
      </c>
      <c r="X112">
        <f>HYPERLINK("https://klasma.github.io/Logging_0480/kartor/A 2829-2025 karta.png", "A 2829-2025")</f>
        <v/>
      </c>
      <c r="Y112">
        <f>HYPERLINK("https://klasma.github.io/Logging_0480/kartor_geotiff/A 2829-2025 georefererad karta.tif", "A 2829-2025")</f>
        <v/>
      </c>
      <c r="AA112">
        <f>HYPERLINK("https://klasma.github.io/Logging_0480/klagomål/A 2829-2025 FSC-klagomål.docx", "A 2829-2025")</f>
        <v/>
      </c>
      <c r="AB112">
        <f>HYPERLINK("https://klasma.github.io/Logging_0480/klagomålsmail/A 2829-2025 FSC-klagomål mail.docx", "A 2829-2025")</f>
        <v/>
      </c>
      <c r="AC112">
        <f>HYPERLINK("https://klasma.github.io/Logging_0480/tillsyn/A 2829-2025 tillsynsbegäran.docx", "A 2829-2025")</f>
        <v/>
      </c>
      <c r="AD112">
        <f>HYPERLINK("https://klasma.github.io/Logging_0480/tillsynsmail/A 2829-2025 tillsynsbegäran mail.docx", "A 2829-2025")</f>
        <v/>
      </c>
      <c r="AE112">
        <f>HYPERLINK("https://klasma.github.io/Logging_0480/fåglar/A 2829-2025 prioriterade fågelarter.docx", "A 2829-2025")</f>
        <v/>
      </c>
    </row>
    <row r="113" ht="15" customHeight="1">
      <c r="A113" t="inlineStr">
        <is>
          <t>A 20425-2024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46231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HYPERLINK("https://klasma.github.io/Logging_0480/artfynd/A 20425-2024 artfynd.xlsx", "A 20425-2024")</f>
        <v/>
      </c>
      <c r="X113">
        <f>HYPERLINK("https://klasma.github.io/Logging_0480/kartor/A 20425-2024 karta.png", "A 20425-2024")</f>
        <v/>
      </c>
      <c r="Y113">
        <f>HYPERLINK("https://klasma.github.io/Logging_0480/kartor_geotiff/A 20425-2024 georefererad karta.tif", "A 20425-2024")</f>
        <v/>
      </c>
      <c r="AA113">
        <f>HYPERLINK("https://klasma.github.io/Logging_0480/klagomål/A 20425-2024 FSC-klagomål.docx", "A 20425-2024")</f>
        <v/>
      </c>
      <c r="AB113">
        <f>HYPERLINK("https://klasma.github.io/Logging_0480/klagomålsmail/A 20425-2024 FSC-klagomål mail.docx", "A 20425-2024")</f>
        <v/>
      </c>
      <c r="AC113">
        <f>HYPERLINK("https://klasma.github.io/Logging_0480/tillsyn/A 20425-2024 tillsynsbegäran.docx", "A 20425-2024")</f>
        <v/>
      </c>
      <c r="AD113">
        <f>HYPERLINK("https://klasma.github.io/Logging_0480/tillsynsmail/A 20425-2024 tillsynsbegäran mail.docx", "A 20425-2024")</f>
        <v/>
      </c>
    </row>
    <row r="114" ht="15" customHeight="1">
      <c r="A114" t="inlineStr">
        <is>
          <t>A 20325-2023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46231</v>
      </c>
      <c r="F114" t="inlineStr">
        <is>
          <t>SÖDERMANLANDS LÄN</t>
        </is>
      </c>
      <c r="G114" t="inlineStr">
        <is>
          <t>NYKÖPING</t>
        </is>
      </c>
      <c r="I114" t="n">
        <v>0.2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Kamjordstjärna</t>
        </is>
      </c>
      <c r="W114">
        <f>HYPERLINK("https://klasma.github.io/Logging_0480/artfynd/A 20325-2023 artfynd.xlsx", "A 20325-2023")</f>
        <v/>
      </c>
      <c r="X114">
        <f>HYPERLINK("https://klasma.github.io/Logging_0480/kartor/A 20325-2023 karta.png", "A 20325-2023")</f>
        <v/>
      </c>
      <c r="Y114">
        <f>HYPERLINK("https://klasma.github.io/Logging_0480/kartor_geotiff/A 20325-2023 georefererad karta.tif", "A 20325-2023")</f>
        <v/>
      </c>
      <c r="AA114">
        <f>HYPERLINK("https://klasma.github.io/Logging_0480/klagomål/A 20325-2023 FSC-klagomål.docx", "A 20325-2023")</f>
        <v/>
      </c>
      <c r="AB114">
        <f>HYPERLINK("https://klasma.github.io/Logging_0480/klagomålsmail/A 20325-2023 FSC-klagomål mail.docx", "A 20325-2023")</f>
        <v/>
      </c>
      <c r="AC114">
        <f>HYPERLINK("https://klasma.github.io/Logging_0480/tillsyn/A 20325-2023 tillsynsbegäran.docx", "A 20325-2023")</f>
        <v/>
      </c>
      <c r="AD114">
        <f>HYPERLINK("https://klasma.github.io/Logging_0480/tillsynsmail/A 20325-2023 tillsynsbegäran mail.docx", "A 20325-2023")</f>
        <v/>
      </c>
    </row>
    <row r="115" ht="15" customHeight="1">
      <c r="A115" t="inlineStr">
        <is>
          <t>A 59329-2023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46231</v>
      </c>
      <c r="F115" t="inlineStr">
        <is>
          <t>SÖDERMANLANDS LÄN</t>
        </is>
      </c>
      <c r="G115" t="inlineStr">
        <is>
          <t>NYKÖPING</t>
        </is>
      </c>
      <c r="I115" t="n">
        <v>22.1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HYPERLINK("https://klasma.github.io/Logging_0480/artfynd/A 59329-2023 artfynd.xlsx", "A 59329-2023")</f>
        <v/>
      </c>
      <c r="X115">
        <f>HYPERLINK("https://klasma.github.io/Logging_0480/kartor/A 59329-2023 karta.png", "A 59329-2023")</f>
        <v/>
      </c>
      <c r="Y115">
        <f>HYPERLINK("https://klasma.github.io/Logging_0480/kartor_geotiff/A 59329-2023 georefererad karta.tif", "A 59329-2023")</f>
        <v/>
      </c>
      <c r="AA115">
        <f>HYPERLINK("https://klasma.github.io/Logging_0480/klagomål/A 59329-2023 FSC-klagomål.docx", "A 59329-2023")</f>
        <v/>
      </c>
      <c r="AB115">
        <f>HYPERLINK("https://klasma.github.io/Logging_0480/klagomålsmail/A 59329-2023 FSC-klagomål mail.docx", "A 59329-2023")</f>
        <v/>
      </c>
      <c r="AC115">
        <f>HYPERLINK("https://klasma.github.io/Logging_0480/tillsyn/A 59329-2023 tillsynsbegäran.docx", "A 59329-2023")</f>
        <v/>
      </c>
      <c r="AD115">
        <f>HYPERLINK("https://klasma.github.io/Logging_0480/tillsynsmail/A 59329-2023 tillsynsbegäran mail.docx", "A 59329-2023")</f>
        <v/>
      </c>
    </row>
    <row r="116" ht="15" customHeight="1">
      <c r="A116" t="inlineStr">
        <is>
          <t>A 1105-2023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46231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Skuggblåslav</t>
        </is>
      </c>
      <c r="W116">
        <f>HYPERLINK("https://klasma.github.io/Logging_0480/artfynd/A 1105-2023 artfynd.xlsx", "A 1105-2023")</f>
        <v/>
      </c>
      <c r="X116">
        <f>HYPERLINK("https://klasma.github.io/Logging_0480/kartor/A 1105-2023 karta.png", "A 1105-2023")</f>
        <v/>
      </c>
      <c r="Y116">
        <f>HYPERLINK("https://klasma.github.io/Logging_0480/kartor_geotiff/A 1105-2023 georefererad karta.tif", "A 1105-2023")</f>
        <v/>
      </c>
      <c r="AA116">
        <f>HYPERLINK("https://klasma.github.io/Logging_0480/klagomål/A 1105-2023 FSC-klagomål.docx", "A 1105-2023")</f>
        <v/>
      </c>
      <c r="AB116">
        <f>HYPERLINK("https://klasma.github.io/Logging_0480/klagomålsmail/A 1105-2023 FSC-klagomål mail.docx", "A 1105-2023")</f>
        <v/>
      </c>
      <c r="AC116">
        <f>HYPERLINK("https://klasma.github.io/Logging_0480/tillsyn/A 1105-2023 tillsynsbegäran.docx", "A 1105-2023")</f>
        <v/>
      </c>
      <c r="AD116">
        <f>HYPERLINK("https://klasma.github.io/Logging_0480/tillsynsmail/A 1105-2023 tillsynsbegäran mail.docx", "A 1105-2023")</f>
        <v/>
      </c>
    </row>
    <row r="117" ht="15" customHeight="1">
      <c r="A117" t="inlineStr">
        <is>
          <t>A 51258-2024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46231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Sveaskog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HYPERLINK("https://klasma.github.io/Logging_0480/artfynd/A 51258-2024 artfynd.xlsx", "A 51258-2024")</f>
        <v/>
      </c>
      <c r="X117">
        <f>HYPERLINK("https://klasma.github.io/Logging_0480/kartor/A 51258-2024 karta.png", "A 51258-2024")</f>
        <v/>
      </c>
      <c r="Y117">
        <f>HYPERLINK("https://klasma.github.io/Logging_0480/kartor_geotiff/A 51258-2024 georefererad karta.tif", "A 51258-2024")</f>
        <v/>
      </c>
      <c r="AA117">
        <f>HYPERLINK("https://klasma.github.io/Logging_0480/klagomål/A 51258-2024 FSC-klagomål.docx", "A 51258-2024")</f>
        <v/>
      </c>
      <c r="AB117">
        <f>HYPERLINK("https://klasma.github.io/Logging_0480/klagomålsmail/A 51258-2024 FSC-klagomål mail.docx", "A 51258-2024")</f>
        <v/>
      </c>
      <c r="AC117">
        <f>HYPERLINK("https://klasma.github.io/Logging_0480/tillsyn/A 51258-2024 tillsynsbegäran.docx", "A 51258-2024")</f>
        <v/>
      </c>
      <c r="AD117">
        <f>HYPERLINK("https://klasma.github.io/Logging_0480/tillsynsmail/A 51258-2024 tillsynsbegäran mail.docx", "A 51258-2024")</f>
        <v/>
      </c>
    </row>
    <row r="118" ht="15" customHeight="1">
      <c r="A118" t="inlineStr">
        <is>
          <t>A 56080-2024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46231</v>
      </c>
      <c r="F118" t="inlineStr">
        <is>
          <t>SÖDERMANLANDS LÄN</t>
        </is>
      </c>
      <c r="G118" t="inlineStr">
        <is>
          <t>NYKÖPING</t>
        </is>
      </c>
      <c r="I118" t="n">
        <v>5.5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Ärtsångare</t>
        </is>
      </c>
      <c r="W118">
        <f>HYPERLINK("https://klasma.github.io/Logging_0480/artfynd/A 56080-2024 artfynd.xlsx", "A 56080-2024")</f>
        <v/>
      </c>
      <c r="X118">
        <f>HYPERLINK("https://klasma.github.io/Logging_0480/kartor/A 56080-2024 karta.png", "A 56080-2024")</f>
        <v/>
      </c>
      <c r="Y118">
        <f>HYPERLINK("https://klasma.github.io/Logging_0480/kartor_geotiff/A 56080-2024 georefererad karta.tif", "A 56080-2024")</f>
        <v/>
      </c>
      <c r="AA118">
        <f>HYPERLINK("https://klasma.github.io/Logging_0480/klagomål/A 56080-2024 FSC-klagomål.docx", "A 56080-2024")</f>
        <v/>
      </c>
      <c r="AB118">
        <f>HYPERLINK("https://klasma.github.io/Logging_0480/klagomålsmail/A 56080-2024 FSC-klagomål mail.docx", "A 56080-2024")</f>
        <v/>
      </c>
      <c r="AC118">
        <f>HYPERLINK("https://klasma.github.io/Logging_0480/tillsyn/A 56080-2024 tillsynsbegäran.docx", "A 56080-2024")</f>
        <v/>
      </c>
      <c r="AD118">
        <f>HYPERLINK("https://klasma.github.io/Logging_0480/tillsynsmail/A 56080-2024 tillsynsbegäran mail.docx", "A 56080-2024")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46231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HYPERLINK("https://klasma.github.io/Logging_0480/artfynd/S 447-2021 artfynd.xlsx", "S 447-2021")</f>
        <v/>
      </c>
      <c r="X119">
        <f>HYPERLINK("https://klasma.github.io/Logging_0480/kartor/S 447-2021 karta.png", "S 447-2021")</f>
        <v/>
      </c>
      <c r="Y119">
        <f>HYPERLINK("https://klasma.github.io/Logging_0480/kartor_geotiff/S 447-2021 georefererad karta.tif", "S 447-2021")</f>
        <v/>
      </c>
      <c r="AA119">
        <f>HYPERLINK("https://klasma.github.io/Logging_0480/klagomål/S 447-2021 FSC-klagomål.docx", "S 447-2021")</f>
        <v/>
      </c>
      <c r="AB119">
        <f>HYPERLINK("https://klasma.github.io/Logging_0480/klagomålsmail/S 447-2021 FSC-klagomål mail.docx", "S 447-2021")</f>
        <v/>
      </c>
      <c r="AC119">
        <f>HYPERLINK("https://klasma.github.io/Logging_0480/tillsyn/S 447-2021 tillsynsbegäran.docx", "S 447-2021")</f>
        <v/>
      </c>
      <c r="AD119">
        <f>HYPERLINK("https://klasma.github.io/Logging_0480/tillsynsmail/S 447-2021 tillsynsbegäran mail.docx", "S 447-2021")</f>
        <v/>
      </c>
    </row>
    <row r="120" ht="15" customHeight="1">
      <c r="A120" t="inlineStr">
        <is>
          <t>A 74404-2021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46231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44870</v>
      </c>
      <c r="E121" s="1" t="n">
        <v>46231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46231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46231</v>
      </c>
      <c r="F123" t="inlineStr">
        <is>
          <t>SÖDERMANLANDS LÄN</t>
        </is>
      </c>
      <c r="G123" t="inlineStr">
        <is>
          <t>NYKÖPING</t>
        </is>
      </c>
      <c r="I123" t="n">
        <v>21.9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46231</v>
      </c>
      <c r="F124" t="inlineStr">
        <is>
          <t>SÖDERMANLANDS LÄN</t>
        </is>
      </c>
      <c r="G124" t="inlineStr">
        <is>
          <t>NYKÖPING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46231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46231</v>
      </c>
      <c r="F126" t="inlineStr">
        <is>
          <t>SÖDERMANLANDS LÄN</t>
        </is>
      </c>
      <c r="G126" t="inlineStr">
        <is>
          <t>NYKÖPING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46231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46231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46231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46231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46231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46231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46231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46231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46231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46231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46231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46231</v>
      </c>
      <c r="F138" t="inlineStr">
        <is>
          <t>SÖDERMANLANDS LÄN</t>
        </is>
      </c>
      <c r="G138" t="inlineStr">
        <is>
          <t>NYKÖPING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46231</v>
      </c>
      <c r="F139" t="inlineStr">
        <is>
          <t>SÖDERMANLANDS LÄN</t>
        </is>
      </c>
      <c r="G139" t="inlineStr">
        <is>
          <t>NYKÖPING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46231</v>
      </c>
      <c r="F140" t="inlineStr">
        <is>
          <t>SÖDERMANLANDS LÄN</t>
        </is>
      </c>
      <c r="G140" t="inlineStr">
        <is>
          <t>NYKÖPING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46231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46231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46231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44416</v>
      </c>
      <c r="E144" s="1" t="n">
        <v>46231</v>
      </c>
      <c r="F144" t="inlineStr">
        <is>
          <t>SÖDERMANLANDS LÄN</t>
        </is>
      </c>
      <c r="G144" t="inlineStr">
        <is>
          <t>NYKÖPING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44873</v>
      </c>
      <c r="E145" s="1" t="n">
        <v>46231</v>
      </c>
      <c r="F145" t="inlineStr">
        <is>
          <t>SÖDERMANLANDS LÄN</t>
        </is>
      </c>
      <c r="G145" t="inlineStr">
        <is>
          <t>NYKÖPING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44623</v>
      </c>
      <c r="E146" s="1" t="n">
        <v>46231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46231</v>
      </c>
      <c r="F147" t="inlineStr">
        <is>
          <t>SÖDERMANLANDS LÄN</t>
        </is>
      </c>
      <c r="G147" t="inlineStr">
        <is>
          <t>NYKÖPING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44431</v>
      </c>
      <c r="E148" s="1" t="n">
        <v>46231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41721-2021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44425</v>
      </c>
      <c r="E149" s="1" t="n">
        <v>46231</v>
      </c>
      <c r="F149" t="inlineStr">
        <is>
          <t>SÖDERMANLANDS LÄN</t>
        </is>
      </c>
      <c r="G149" t="inlineStr">
        <is>
          <t>NYKÖPING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46231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44430</v>
      </c>
      <c r="E151" s="1" t="n">
        <v>46231</v>
      </c>
      <c r="F151" t="inlineStr">
        <is>
          <t>SÖDERMANLANDS LÄN</t>
        </is>
      </c>
      <c r="G151" t="inlineStr">
        <is>
          <t>NYKÖPING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46231</v>
      </c>
      <c r="F152" t="inlineStr">
        <is>
          <t>SÖDERMANLANDS LÄN</t>
        </is>
      </c>
      <c r="G152" t="inlineStr">
        <is>
          <t>NYKÖPING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44659</v>
      </c>
      <c r="E153" s="1" t="n">
        <v>46231</v>
      </c>
      <c r="F153" t="inlineStr">
        <is>
          <t>SÖDERMANLANDS LÄN</t>
        </is>
      </c>
      <c r="G153" t="inlineStr">
        <is>
          <t>NYKÖPING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46231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46231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46231</v>
      </c>
      <c r="F156" t="inlineStr">
        <is>
          <t>SÖDERMANLANDS LÄN</t>
        </is>
      </c>
      <c r="G156" t="inlineStr">
        <is>
          <t>NYKÖPING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46231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Kyrkan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46231</v>
      </c>
      <c r="F158" t="inlineStr">
        <is>
          <t>SÖDERMANLANDS LÄN</t>
        </is>
      </c>
      <c r="G158" t="inlineStr">
        <is>
          <t>NYKÖPING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46231</v>
      </c>
      <c r="F159" t="inlineStr">
        <is>
          <t>SÖDERMANLANDS LÄN</t>
        </is>
      </c>
      <c r="G159" t="inlineStr">
        <is>
          <t>NYKÖPING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46231</v>
      </c>
      <c r="F160" t="inlineStr">
        <is>
          <t>SÖDERMANLANDS LÄN</t>
        </is>
      </c>
      <c r="G160" t="inlineStr">
        <is>
          <t>NYKÖPING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44416</v>
      </c>
      <c r="E161" s="1" t="n">
        <v>46231</v>
      </c>
      <c r="F161" t="inlineStr">
        <is>
          <t>SÖDERMANLANDS LÄN</t>
        </is>
      </c>
      <c r="G161" t="inlineStr">
        <is>
          <t>NYKÖPING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46231</v>
      </c>
      <c r="F162" t="inlineStr">
        <is>
          <t>SÖDERMANLANDS LÄN</t>
        </is>
      </c>
      <c r="G162" t="inlineStr">
        <is>
          <t>NYKÖPING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46231</v>
      </c>
      <c r="F163" t="inlineStr">
        <is>
          <t>SÖDERMANLANDS LÄN</t>
        </is>
      </c>
      <c r="G163" t="inlineStr">
        <is>
          <t>NYKÖPING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46231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41723-2021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44425</v>
      </c>
      <c r="E165" s="1" t="n">
        <v>46231</v>
      </c>
      <c r="F165" t="inlineStr">
        <is>
          <t>SÖDERMANLANDS LÄN</t>
        </is>
      </c>
      <c r="G165" t="inlineStr">
        <is>
          <t>NYKÖPING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61248-2021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46231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46231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46231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46231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42417-2021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44427</v>
      </c>
      <c r="E170" s="1" t="n">
        <v>46231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46231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46231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44446</v>
      </c>
      <c r="E173" s="1" t="n">
        <v>46231</v>
      </c>
      <c r="F173" t="inlineStr">
        <is>
          <t>SÖDERMANLANDS LÄN</t>
        </is>
      </c>
      <c r="G173" t="inlineStr">
        <is>
          <t>NYKÖPING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46231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44662</v>
      </c>
      <c r="E175" s="1" t="n">
        <v>46231</v>
      </c>
      <c r="F175" t="inlineStr">
        <is>
          <t>SÖDERMANLANDS LÄN</t>
        </is>
      </c>
      <c r="G175" t="inlineStr">
        <is>
          <t>NYKÖPING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46231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46231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46231</v>
      </c>
      <c r="F178" t="inlineStr">
        <is>
          <t>SÖDERMANLANDS LÄN</t>
        </is>
      </c>
      <c r="G178" t="inlineStr">
        <is>
          <t>NYKÖPING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46231</v>
      </c>
      <c r="F179" t="inlineStr">
        <is>
          <t>SÖDERMANLANDS LÄN</t>
        </is>
      </c>
      <c r="G179" t="inlineStr">
        <is>
          <t>NYKÖPING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46231</v>
      </c>
      <c r="F180" t="inlineStr">
        <is>
          <t>SÖDERMANLANDS LÄN</t>
        </is>
      </c>
      <c r="G180" t="inlineStr">
        <is>
          <t>NYKÖPING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44783</v>
      </c>
      <c r="E181" s="1" t="n">
        <v>46231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46231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46231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46231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40680-2021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44420</v>
      </c>
      <c r="E185" s="1" t="n">
        <v>46231</v>
      </c>
      <c r="F185" t="inlineStr">
        <is>
          <t>SÖDERMANLANDS LÄN</t>
        </is>
      </c>
      <c r="G185" t="inlineStr">
        <is>
          <t>NYKÖPING</t>
        </is>
      </c>
      <c r="I185" t="n">
        <v>11.1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46231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46231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46231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46231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46231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46231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46231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44536</v>
      </c>
      <c r="E193" s="1" t="n">
        <v>46231</v>
      </c>
      <c r="F193" t="inlineStr">
        <is>
          <t>SÖDERMANLANDS LÄN</t>
        </is>
      </c>
      <c r="G193" t="inlineStr">
        <is>
          <t>NYKÖPING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46231</v>
      </c>
      <c r="F194" t="inlineStr">
        <is>
          <t>SÖDERMANLANDS LÄN</t>
        </is>
      </c>
      <c r="G194" t="inlineStr">
        <is>
          <t>NYKÖPING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17541-2022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44679</v>
      </c>
      <c r="E195" s="1" t="n">
        <v>46231</v>
      </c>
      <c r="F195" t="inlineStr">
        <is>
          <t>SÖDERMANLANDS LÄN</t>
        </is>
      </c>
      <c r="G195" t="inlineStr">
        <is>
          <t>NYKÖPING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46231</v>
      </c>
      <c r="F196" t="inlineStr">
        <is>
          <t>SÖDERMANLANDS LÄN</t>
        </is>
      </c>
      <c r="G196" t="inlineStr">
        <is>
          <t>NYKÖPING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46231</v>
      </c>
      <c r="F197" t="inlineStr">
        <is>
          <t>SÖDERMANLANDS LÄN</t>
        </is>
      </c>
      <c r="G197" t="inlineStr">
        <is>
          <t>NYKÖPING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46231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46231</v>
      </c>
      <c r="F199" t="inlineStr">
        <is>
          <t>SÖDERMANLANDS LÄN</t>
        </is>
      </c>
      <c r="G199" t="inlineStr">
        <is>
          <t>NYKÖPING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46231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71175-2021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44539</v>
      </c>
      <c r="E201" s="1" t="n">
        <v>46231</v>
      </c>
      <c r="F201" t="inlineStr">
        <is>
          <t>SÖDERMANLANDS LÄN</t>
        </is>
      </c>
      <c r="G201" t="inlineStr">
        <is>
          <t>NYKÖPING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44658</v>
      </c>
      <c r="E202" s="1" t="n">
        <v>46231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46231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66860-2021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46231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46231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46231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46231</v>
      </c>
      <c r="F207" t="inlineStr">
        <is>
          <t>SÖDERMANLANDS LÄN</t>
        </is>
      </c>
      <c r="G207" t="inlineStr">
        <is>
          <t>NYKÖPING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46231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46231</v>
      </c>
      <c r="F209" t="inlineStr">
        <is>
          <t>SÖDERMANLANDS LÄN</t>
        </is>
      </c>
      <c r="G209" t="inlineStr">
        <is>
          <t>NYKÖPING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44425</v>
      </c>
      <c r="E210" s="1" t="n">
        <v>46231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46231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46231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46231</v>
      </c>
      <c r="F213" t="inlineStr">
        <is>
          <t>SÖDERMANLANDS LÄN</t>
        </is>
      </c>
      <c r="G213" t="inlineStr">
        <is>
          <t>NYKÖPING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46231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46231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46231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41437-2021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46231</v>
      </c>
      <c r="F217" t="inlineStr">
        <is>
          <t>SÖDERMANLANDS LÄN</t>
        </is>
      </c>
      <c r="G217" t="inlineStr">
        <is>
          <t>NYKÖPING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46231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46231</v>
      </c>
      <c r="F219" t="inlineStr">
        <is>
          <t>SÖDERMANLANDS LÄN</t>
        </is>
      </c>
      <c r="G219" t="inlineStr">
        <is>
          <t>NYKÖPING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46231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46231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46231</v>
      </c>
      <c r="F222" t="inlineStr">
        <is>
          <t>SÖDERMANLANDS LÄN</t>
        </is>
      </c>
      <c r="G222" t="inlineStr">
        <is>
          <t>NYKÖPING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25130-2022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44729</v>
      </c>
      <c r="E223" s="1" t="n">
        <v>46231</v>
      </c>
      <c r="F223" t="inlineStr">
        <is>
          <t>SÖDERMANLANDS LÄN</t>
        </is>
      </c>
      <c r="G223" t="inlineStr">
        <is>
          <t>NYKÖPING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46231</v>
      </c>
      <c r="F224" t="inlineStr">
        <is>
          <t>SÖDERMANLANDS LÄN</t>
        </is>
      </c>
      <c r="G224" t="inlineStr">
        <is>
          <t>NYKÖPING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55272-2021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44475</v>
      </c>
      <c r="E225" s="1" t="n">
        <v>46231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44446</v>
      </c>
      <c r="E226" s="1" t="n">
        <v>46231</v>
      </c>
      <c r="F226" t="inlineStr">
        <is>
          <t>SÖDERMANLANDS LÄN</t>
        </is>
      </c>
      <c r="G226" t="inlineStr">
        <is>
          <t>NYKÖPING</t>
        </is>
      </c>
      <c r="I226" t="n">
        <v>30.2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46231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46231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46231</v>
      </c>
      <c r="F229" t="inlineStr">
        <is>
          <t>SÖDERMANLANDS LÄN</t>
        </is>
      </c>
      <c r="G229" t="inlineStr">
        <is>
          <t>NYKÖPING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46231</v>
      </c>
      <c r="F230" t="inlineStr">
        <is>
          <t>SÖDERMANLANDS LÄN</t>
        </is>
      </c>
      <c r="G230" t="inlineStr">
        <is>
          <t>NYKÖPING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45008</v>
      </c>
      <c r="E231" s="1" t="n">
        <v>46231</v>
      </c>
      <c r="F231" t="inlineStr">
        <is>
          <t>SÖDERMANLANDS LÄN</t>
        </is>
      </c>
      <c r="G231" t="inlineStr">
        <is>
          <t>NYKÖPING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50158-2022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46231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46231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46231</v>
      </c>
      <c r="F234" t="inlineStr">
        <is>
          <t>SÖDERMANLANDS LÄN</t>
        </is>
      </c>
      <c r="G234" t="inlineStr">
        <is>
          <t>NYKÖPING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46231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49223-2022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44858</v>
      </c>
      <c r="E236" s="1" t="n">
        <v>46231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statliga verk och myndigheter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44881</v>
      </c>
      <c r="E237" s="1" t="n">
        <v>46231</v>
      </c>
      <c r="F237" t="inlineStr">
        <is>
          <t>SÖDERMANLANDS LÄN</t>
        </is>
      </c>
      <c r="G237" t="inlineStr">
        <is>
          <t>NYKÖPING</t>
        </is>
      </c>
      <c r="I237" t="n">
        <v>16.2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45378</v>
      </c>
      <c r="E238" s="1" t="n">
        <v>46231</v>
      </c>
      <c r="F238" t="inlineStr">
        <is>
          <t>SÖDERMANLANDS LÄN</t>
        </is>
      </c>
      <c r="G238" t="inlineStr">
        <is>
          <t>NYKÖPING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44830</v>
      </c>
      <c r="E239" s="1" t="n">
        <v>46231</v>
      </c>
      <c r="F239" t="inlineStr">
        <is>
          <t>SÖDERMANLANDS LÄN</t>
        </is>
      </c>
      <c r="G239" t="inlineStr">
        <is>
          <t>NYKÖPING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46231</v>
      </c>
      <c r="F240" t="inlineStr">
        <is>
          <t>SÖDERMANLANDS LÄN</t>
        </is>
      </c>
      <c r="G240" t="inlineStr">
        <is>
          <t>NYKÖPING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46231</v>
      </c>
      <c r="F241" t="inlineStr">
        <is>
          <t>SÖDERMANLANDS LÄN</t>
        </is>
      </c>
      <c r="G241" t="inlineStr">
        <is>
          <t>NYKÖPING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46231</v>
      </c>
      <c r="F242" t="inlineStr">
        <is>
          <t>SÖDERMANLANDS LÄN</t>
        </is>
      </c>
      <c r="G242" t="inlineStr">
        <is>
          <t>NYKÖPING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14930-2024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45398</v>
      </c>
      <c r="E243" s="1" t="n">
        <v>46231</v>
      </c>
      <c r="F243" t="inlineStr">
        <is>
          <t>SÖDERMANLANDS LÄN</t>
        </is>
      </c>
      <c r="G243" t="inlineStr">
        <is>
          <t>NYKÖPING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39368-2021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44414</v>
      </c>
      <c r="E244" s="1" t="n">
        <v>46231</v>
      </c>
      <c r="F244" t="inlineStr">
        <is>
          <t>SÖDERMANLANDS LÄN</t>
        </is>
      </c>
      <c r="G244" t="inlineStr">
        <is>
          <t>NYKÖPING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45224</v>
      </c>
      <c r="E245" s="1" t="n">
        <v>46231</v>
      </c>
      <c r="F245" t="inlineStr">
        <is>
          <t>SÖDERMANLANDS LÄN</t>
        </is>
      </c>
      <c r="G245" t="inlineStr">
        <is>
          <t>NYKÖPING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52374-2023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45224</v>
      </c>
      <c r="E246" s="1" t="n">
        <v>46231</v>
      </c>
      <c r="F246" t="inlineStr">
        <is>
          <t>SÖDERMANLANDS LÄN</t>
        </is>
      </c>
      <c r="G246" t="inlineStr">
        <is>
          <t>NYKÖPING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46231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46231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46231</v>
      </c>
      <c r="F249" t="inlineStr">
        <is>
          <t>SÖDERMANLANDS LÄN</t>
        </is>
      </c>
      <c r="G249" t="inlineStr">
        <is>
          <t>NYKÖPING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45856-2021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44433</v>
      </c>
      <c r="E250" s="1" t="n">
        <v>46231</v>
      </c>
      <c r="F250" t="inlineStr">
        <is>
          <t>SÖDERMANLANDS LÄN</t>
        </is>
      </c>
      <c r="G250" t="inlineStr">
        <is>
          <t>NYKÖPING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46231</v>
      </c>
      <c r="F251" t="inlineStr">
        <is>
          <t>SÖDERMANLANDS LÄN</t>
        </is>
      </c>
      <c r="G251" t="inlineStr">
        <is>
          <t>NYKÖPING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44430</v>
      </c>
      <c r="E252" s="1" t="n">
        <v>46231</v>
      </c>
      <c r="F252" t="inlineStr">
        <is>
          <t>SÖDERMANLANDS LÄN</t>
        </is>
      </c>
      <c r="G252" t="inlineStr">
        <is>
          <t>NYKÖPING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65923-2021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44517</v>
      </c>
      <c r="E253" s="1" t="n">
        <v>46231</v>
      </c>
      <c r="F253" t="inlineStr">
        <is>
          <t>SÖDERMANLANDS LÄN</t>
        </is>
      </c>
      <c r="G253" t="inlineStr">
        <is>
          <t>NYKÖPING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46231</v>
      </c>
      <c r="F254" t="inlineStr">
        <is>
          <t>SÖDERMANLANDS LÄN</t>
        </is>
      </c>
      <c r="G254" t="inlineStr">
        <is>
          <t>NYKÖPING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46231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46231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44837</v>
      </c>
      <c r="E257" s="1" t="n">
        <v>46231</v>
      </c>
      <c r="F257" t="inlineStr">
        <is>
          <t>SÖDERMANLANDS LÄN</t>
        </is>
      </c>
      <c r="G257" t="inlineStr">
        <is>
          <t>NYKÖPING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46231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46231</v>
      </c>
      <c r="F259" t="inlineStr">
        <is>
          <t>SÖDERMANLANDS LÄN</t>
        </is>
      </c>
      <c r="G259" t="inlineStr">
        <is>
          <t>NYKÖPING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41646-2021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44425</v>
      </c>
      <c r="E260" s="1" t="n">
        <v>46231</v>
      </c>
      <c r="F260" t="inlineStr">
        <is>
          <t>SÖDERMANLANDS LÄN</t>
        </is>
      </c>
      <c r="G260" t="inlineStr">
        <is>
          <t>NYKÖPING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46231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46231</v>
      </c>
      <c r="F262" t="inlineStr">
        <is>
          <t>SÖDERMANLANDS LÄN</t>
        </is>
      </c>
      <c r="G262" t="inlineStr">
        <is>
          <t>NYKÖPING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45518</v>
      </c>
      <c r="E263" s="1" t="n">
        <v>46231</v>
      </c>
      <c r="F263" t="inlineStr">
        <is>
          <t>SÖDERMANLANDS LÄN</t>
        </is>
      </c>
      <c r="G263" t="inlineStr">
        <is>
          <t>NYKÖPING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55983-2021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44477</v>
      </c>
      <c r="E264" s="1" t="n">
        <v>46231</v>
      </c>
      <c r="F264" t="inlineStr">
        <is>
          <t>SÖDERMANLANDS LÄN</t>
        </is>
      </c>
      <c r="G264" t="inlineStr">
        <is>
          <t>NYKÖPING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44452</v>
      </c>
      <c r="E265" s="1" t="n">
        <v>46231</v>
      </c>
      <c r="F265" t="inlineStr">
        <is>
          <t>SÖDERMANLANDS LÄN</t>
        </is>
      </c>
      <c r="G265" t="inlineStr">
        <is>
          <t>NYKÖPING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46231</v>
      </c>
      <c r="F266" t="inlineStr">
        <is>
          <t>SÖDERMANLANDS LÄN</t>
        </is>
      </c>
      <c r="G266" t="inlineStr">
        <is>
          <t>NYKÖPING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59733-2021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44494</v>
      </c>
      <c r="E267" s="1" t="n">
        <v>46231</v>
      </c>
      <c r="F267" t="inlineStr">
        <is>
          <t>SÖDERMANLANDS LÄN</t>
        </is>
      </c>
      <c r="G267" t="inlineStr">
        <is>
          <t>NYKÖPING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46231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51244-2024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46231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46231</v>
      </c>
      <c r="F270" t="inlineStr">
        <is>
          <t>SÖDERMANLANDS LÄN</t>
        </is>
      </c>
      <c r="G270" t="inlineStr">
        <is>
          <t>NYKÖPING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46231</v>
      </c>
      <c r="F271" t="inlineStr">
        <is>
          <t>SÖDERMANLANDS LÄN</t>
        </is>
      </c>
      <c r="G271" t="inlineStr">
        <is>
          <t>NYKÖPING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46231</v>
      </c>
      <c r="F272" t="inlineStr">
        <is>
          <t>SÖDERMANLANDS LÄN</t>
        </is>
      </c>
      <c r="G272" t="inlineStr">
        <is>
          <t>NYKÖPING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45856-2021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44433</v>
      </c>
      <c r="E273" s="1" t="n">
        <v>46231</v>
      </c>
      <c r="F273" t="inlineStr">
        <is>
          <t>SÖDERMANLANDS LÄN</t>
        </is>
      </c>
      <c r="G273" t="inlineStr">
        <is>
          <t>NYKÖPING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46027</v>
      </c>
      <c r="E274" s="1" t="n">
        <v>46231</v>
      </c>
      <c r="F274" t="inlineStr">
        <is>
          <t>SÖDERMANLANDS LÄN</t>
        </is>
      </c>
      <c r="G274" t="inlineStr">
        <is>
          <t>NYKÖPING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68401-2021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46231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Övriga Aktiebolag</t>
        </is>
      </c>
      <c r="I275" t="n">
        <v>16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70749-2021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44536</v>
      </c>
      <c r="E276" s="1" t="n">
        <v>46231</v>
      </c>
      <c r="F276" t="inlineStr">
        <is>
          <t>SÖDERMANLANDS LÄN</t>
        </is>
      </c>
      <c r="G276" t="inlineStr">
        <is>
          <t>NYKÖPING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46231</v>
      </c>
      <c r="F277" t="inlineStr">
        <is>
          <t>SÖDERMANLANDS LÄN</t>
        </is>
      </c>
      <c r="G277" t="inlineStr">
        <is>
          <t>NYKÖPING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46231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46231</v>
      </c>
      <c r="F279" t="inlineStr">
        <is>
          <t>SÖDERMANLANDS LÄN</t>
        </is>
      </c>
      <c r="G279" t="inlineStr">
        <is>
          <t>NYKÖPING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46231</v>
      </c>
      <c r="F280" t="inlineStr">
        <is>
          <t>SÖDERMANLANDS LÄN</t>
        </is>
      </c>
      <c r="G280" t="inlineStr">
        <is>
          <t>NYKÖPING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46231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46231</v>
      </c>
      <c r="F282" t="inlineStr">
        <is>
          <t>SÖDERMANLANDS LÄN</t>
        </is>
      </c>
      <c r="G282" t="inlineStr">
        <is>
          <t>NYKÖPING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46231</v>
      </c>
      <c r="F283" t="inlineStr">
        <is>
          <t>SÖDERMANLANDS LÄN</t>
        </is>
      </c>
      <c r="G283" t="inlineStr">
        <is>
          <t>NYKÖPING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61007-2021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44497</v>
      </c>
      <c r="E284" s="1" t="n">
        <v>46231</v>
      </c>
      <c r="F284" t="inlineStr">
        <is>
          <t>SÖDERMANLANDS LÄN</t>
        </is>
      </c>
      <c r="G284" t="inlineStr">
        <is>
          <t>NYKÖPING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46231</v>
      </c>
      <c r="F285" t="inlineStr">
        <is>
          <t>SÖDERMANLANDS LÄN</t>
        </is>
      </c>
      <c r="G285" t="inlineStr">
        <is>
          <t>NYKÖPING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46231</v>
      </c>
      <c r="F286" t="inlineStr">
        <is>
          <t>SÖDERMANLANDS LÄN</t>
        </is>
      </c>
      <c r="G286" t="inlineStr">
        <is>
          <t>NYKÖPING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46231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46231</v>
      </c>
      <c r="F288" t="inlineStr">
        <is>
          <t>SÖDERMANLANDS LÄN</t>
        </is>
      </c>
      <c r="G288" t="inlineStr">
        <is>
          <t>NYKÖPING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68041-2021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44525</v>
      </c>
      <c r="E289" s="1" t="n">
        <v>46231</v>
      </c>
      <c r="F289" t="inlineStr">
        <is>
          <t>SÖDERMANLANDS LÄN</t>
        </is>
      </c>
      <c r="G289" t="inlineStr">
        <is>
          <t>NYKÖPING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46231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46231</v>
      </c>
      <c r="F291" t="inlineStr">
        <is>
          <t>SÖDERMANLANDS LÄN</t>
        </is>
      </c>
      <c r="G291" t="inlineStr">
        <is>
          <t>NYKÖPING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45352</v>
      </c>
      <c r="E292" s="1" t="n">
        <v>46231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8392-2024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45352</v>
      </c>
      <c r="E293" s="1" t="n">
        <v>46231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44890</v>
      </c>
      <c r="E294" s="1" t="n">
        <v>46231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Övriga Aktiebolag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46231</v>
      </c>
      <c r="F295" t="inlineStr">
        <is>
          <t>SÖDERMANLANDS LÄN</t>
        </is>
      </c>
      <c r="G295" t="inlineStr">
        <is>
          <t>NYKÖPING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46231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45733</v>
      </c>
      <c r="E297" s="1" t="n">
        <v>46231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46231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43359-2021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44432</v>
      </c>
      <c r="E299" s="1" t="n">
        <v>46231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46231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46231</v>
      </c>
      <c r="F301" t="inlineStr">
        <is>
          <t>SÖDERMANLANDS LÄN</t>
        </is>
      </c>
      <c r="G301" t="inlineStr">
        <is>
          <t>NYKÖPING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46231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46231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45044</v>
      </c>
      <c r="E304" s="1" t="n">
        <v>46231</v>
      </c>
      <c r="F304" t="inlineStr">
        <is>
          <t>SÖDERMANLANDS LÄN</t>
        </is>
      </c>
      <c r="G304" t="inlineStr">
        <is>
          <t>NYKÖPING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68024-2021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44525</v>
      </c>
      <c r="E305" s="1" t="n">
        <v>46231</v>
      </c>
      <c r="F305" t="inlineStr">
        <is>
          <t>SÖDERMANLANDS LÄN</t>
        </is>
      </c>
      <c r="G305" t="inlineStr">
        <is>
          <t>NYKÖPING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68030-2021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44525</v>
      </c>
      <c r="E306" s="1" t="n">
        <v>46231</v>
      </c>
      <c r="F306" t="inlineStr">
        <is>
          <t>SÖDERMANLANDS LÄN</t>
        </is>
      </c>
      <c r="G306" t="inlineStr">
        <is>
          <t>NYKÖPING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46231</v>
      </c>
      <c r="F307" t="inlineStr">
        <is>
          <t>SÖDERMANLANDS LÄN</t>
        </is>
      </c>
      <c r="G307" t="inlineStr">
        <is>
          <t>NYKÖPING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46231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46231</v>
      </c>
      <c r="F309" t="inlineStr">
        <is>
          <t>SÖDERMANLANDS LÄN</t>
        </is>
      </c>
      <c r="G309" t="inlineStr">
        <is>
          <t>NYKÖPING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46231</v>
      </c>
      <c r="F310" t="inlineStr">
        <is>
          <t>SÖDERMANLANDS LÄN</t>
        </is>
      </c>
      <c r="G310" t="inlineStr">
        <is>
          <t>NYKÖPING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46231</v>
      </c>
      <c r="F311" t="inlineStr">
        <is>
          <t>SÖDERMANLANDS LÄN</t>
        </is>
      </c>
      <c r="G311" t="inlineStr">
        <is>
          <t>NYKÖPING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46231</v>
      </c>
      <c r="F312" t="inlineStr">
        <is>
          <t>SÖDERMANLANDS LÄN</t>
        </is>
      </c>
      <c r="G312" t="inlineStr">
        <is>
          <t>NYKÖPING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46231</v>
      </c>
      <c r="F313" t="inlineStr">
        <is>
          <t>SÖDERMANLANDS LÄN</t>
        </is>
      </c>
      <c r="G313" t="inlineStr">
        <is>
          <t>NYKÖPING</t>
        </is>
      </c>
      <c r="I313" t="n">
        <v>9.5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46231</v>
      </c>
      <c r="F314" t="inlineStr">
        <is>
          <t>SÖDERMANLANDS LÄN</t>
        </is>
      </c>
      <c r="G314" t="inlineStr">
        <is>
          <t>NYKÖPING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45743</v>
      </c>
      <c r="E315" s="1" t="n">
        <v>46231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46231</v>
      </c>
      <c r="F316" t="inlineStr">
        <is>
          <t>SÖDERMANLANDS LÄN</t>
        </is>
      </c>
      <c r="G316" t="inlineStr">
        <is>
          <t>NYKÖPING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51558-2024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46231</v>
      </c>
      <c r="F317" t="inlineStr">
        <is>
          <t>SÖDERMANLANDS LÄN</t>
        </is>
      </c>
      <c r="G317" t="inlineStr">
        <is>
          <t>NYKÖPING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46231</v>
      </c>
      <c r="F318" t="inlineStr">
        <is>
          <t>SÖDERMANLANDS LÄN</t>
        </is>
      </c>
      <c r="G318" t="inlineStr">
        <is>
          <t>NYKÖPING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46231</v>
      </c>
      <c r="F319" t="inlineStr">
        <is>
          <t>SÖDERMANLANDS LÄN</t>
        </is>
      </c>
      <c r="G319" t="inlineStr">
        <is>
          <t>NYKÖPING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31034-2025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45831</v>
      </c>
      <c r="E320" s="1" t="n">
        <v>46231</v>
      </c>
      <c r="F320" t="inlineStr">
        <is>
          <t>SÖDERMANLANDS LÄN</t>
        </is>
      </c>
      <c r="G320" t="inlineStr">
        <is>
          <t>NYKÖPING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46231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44938</v>
      </c>
      <c r="E322" s="1" t="n">
        <v>46231</v>
      </c>
      <c r="F322" t="inlineStr">
        <is>
          <t>SÖDERMANLANDS LÄN</t>
        </is>
      </c>
      <c r="G322" t="inlineStr">
        <is>
          <t>NYKÖPING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46231</v>
      </c>
      <c r="F323" t="inlineStr">
        <is>
          <t>SÖDERMANLANDS LÄN</t>
        </is>
      </c>
      <c r="G323" t="inlineStr">
        <is>
          <t>NYKÖPING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44620</v>
      </c>
      <c r="E324" s="1" t="n">
        <v>46231</v>
      </c>
      <c r="F324" t="inlineStr">
        <is>
          <t>SÖDERMANLANDS LÄN</t>
        </is>
      </c>
      <c r="G324" t="inlineStr">
        <is>
          <t>NYKÖPING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31923-2025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45834</v>
      </c>
      <c r="E325" s="1" t="n">
        <v>46231</v>
      </c>
      <c r="F325" t="inlineStr">
        <is>
          <t>SÖDERMANLANDS LÄN</t>
        </is>
      </c>
      <c r="G325" t="inlineStr">
        <is>
          <t>NYKÖPING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46231</v>
      </c>
      <c r="F326" t="inlineStr">
        <is>
          <t>SÖDERMANLANDS LÄN</t>
        </is>
      </c>
      <c r="G326" t="inlineStr">
        <is>
          <t>NYKÖPING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58653-2025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45986</v>
      </c>
      <c r="E327" s="1" t="n">
        <v>46231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45370</v>
      </c>
      <c r="E328" s="1" t="n">
        <v>46231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Kommuner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46231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46231</v>
      </c>
      <c r="F330" t="inlineStr">
        <is>
          <t>SÖDERMANLANDS LÄN</t>
        </is>
      </c>
      <c r="G330" t="inlineStr">
        <is>
          <t>NYKÖPING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31922-2025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45834</v>
      </c>
      <c r="E331" s="1" t="n">
        <v>46231</v>
      </c>
      <c r="F331" t="inlineStr">
        <is>
          <t>SÖDERMANLANDS LÄN</t>
        </is>
      </c>
      <c r="G331" t="inlineStr">
        <is>
          <t>NYKÖPING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31928-2025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46231</v>
      </c>
      <c r="F332" t="inlineStr">
        <is>
          <t>SÖDERMANLANDS LÄN</t>
        </is>
      </c>
      <c r="G332" t="inlineStr">
        <is>
          <t>NYKÖPING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46231</v>
      </c>
      <c r="F333" t="inlineStr">
        <is>
          <t>SÖDERMANLANDS LÄN</t>
        </is>
      </c>
      <c r="G333" t="inlineStr">
        <is>
          <t>NYKÖPING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46231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45986</v>
      </c>
      <c r="E335" s="1" t="n">
        <v>46231</v>
      </c>
      <c r="F335" t="inlineStr">
        <is>
          <t>SÖDERMANLANDS LÄN</t>
        </is>
      </c>
      <c r="G335" t="inlineStr">
        <is>
          <t>NYKÖPING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46231</v>
      </c>
      <c r="F336" t="inlineStr">
        <is>
          <t>SÖDERMANLANDS LÄN</t>
        </is>
      </c>
      <c r="G336" t="inlineStr">
        <is>
          <t>NYKÖPING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71115-2021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46231</v>
      </c>
      <c r="F337" t="inlineStr">
        <is>
          <t>SÖDERMANLANDS LÄN</t>
        </is>
      </c>
      <c r="G337" t="inlineStr">
        <is>
          <t>NYKÖPING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44957</v>
      </c>
      <c r="E338" s="1" t="n">
        <v>46231</v>
      </c>
      <c r="F338" t="inlineStr">
        <is>
          <t>SÖDERMANLANDS LÄN</t>
        </is>
      </c>
      <c r="G338" t="inlineStr">
        <is>
          <t>NYKÖPING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46231</v>
      </c>
      <c r="F339" t="inlineStr">
        <is>
          <t>SÖDERMANLANDS LÄN</t>
        </is>
      </c>
      <c r="G339" t="inlineStr">
        <is>
          <t>NYKÖPING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45842</v>
      </c>
      <c r="E340" s="1" t="n">
        <v>46231</v>
      </c>
      <c r="F340" t="inlineStr">
        <is>
          <t>SÖDERMANLANDS LÄN</t>
        </is>
      </c>
      <c r="G340" t="inlineStr">
        <is>
          <t>NYKÖPING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46231</v>
      </c>
      <c r="F341" t="inlineStr">
        <is>
          <t>SÖDERMANLANDS LÄN</t>
        </is>
      </c>
      <c r="G341" t="inlineStr">
        <is>
          <t>NYKÖPING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9453-2026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46231</v>
      </c>
      <c r="F342" t="inlineStr">
        <is>
          <t>SÖDERMANLANDS LÄN</t>
        </is>
      </c>
      <c r="G342" t="inlineStr">
        <is>
          <t>NYKÖPING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45051</v>
      </c>
      <c r="E343" s="1" t="n">
        <v>46231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45842</v>
      </c>
      <c r="E344" s="1" t="n">
        <v>46231</v>
      </c>
      <c r="F344" t="inlineStr">
        <is>
          <t>SÖDERMANLANDS LÄN</t>
        </is>
      </c>
      <c r="G344" t="inlineStr">
        <is>
          <t>NYKÖPING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44944</v>
      </c>
      <c r="E345" s="1" t="n">
        <v>46231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46231</v>
      </c>
      <c r="F346" t="inlineStr">
        <is>
          <t>SÖDERMANLANDS LÄN</t>
        </is>
      </c>
      <c r="G346" t="inlineStr">
        <is>
          <t>NYKÖPING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46231</v>
      </c>
      <c r="F347" t="inlineStr">
        <is>
          <t>SÖDERMANLANDS LÄN</t>
        </is>
      </c>
      <c r="G347" t="inlineStr">
        <is>
          <t>NYKÖPING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46231</v>
      </c>
      <c r="F348" t="inlineStr">
        <is>
          <t>SÖDERMANLANDS LÄN</t>
        </is>
      </c>
      <c r="G348" t="inlineStr">
        <is>
          <t>NYKÖPING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45844</v>
      </c>
      <c r="E349" s="1" t="n">
        <v>46231</v>
      </c>
      <c r="F349" t="inlineStr">
        <is>
          <t>SÖDERMANLANDS LÄN</t>
        </is>
      </c>
      <c r="G349" t="inlineStr">
        <is>
          <t>NYKÖPING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55312-2021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46231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46231</v>
      </c>
      <c r="F351" t="inlineStr">
        <is>
          <t>SÖDERMANLANDS LÄN</t>
        </is>
      </c>
      <c r="G351" t="inlineStr">
        <is>
          <t>NYKÖPING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45737</v>
      </c>
      <c r="E352" s="1" t="n">
        <v>46231</v>
      </c>
      <c r="F352" t="inlineStr">
        <is>
          <t>SÖDERMANLANDS LÄN</t>
        </is>
      </c>
      <c r="G352" t="inlineStr">
        <is>
          <t>NYKÖPING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45860</v>
      </c>
      <c r="E353" s="1" t="n">
        <v>46231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46231</v>
      </c>
      <c r="F354" t="inlineStr">
        <is>
          <t>SÖDERMANLANDS LÄN</t>
        </is>
      </c>
      <c r="G354" t="inlineStr">
        <is>
          <t>NYKÖPING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32837-2022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44784</v>
      </c>
      <c r="E355" s="1" t="n">
        <v>46231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46231</v>
      </c>
      <c r="F356" t="inlineStr">
        <is>
          <t>SÖDERMANLANDS LÄN</t>
        </is>
      </c>
      <c r="G356" t="inlineStr">
        <is>
          <t>NYKÖPING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44944</v>
      </c>
      <c r="E357" s="1" t="n">
        <v>46231</v>
      </c>
      <c r="F357" t="inlineStr">
        <is>
          <t>SÖDERMANLANDS LÄN</t>
        </is>
      </c>
      <c r="G357" t="inlineStr">
        <is>
          <t>NYKÖPING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46231</v>
      </c>
      <c r="F358" t="inlineStr">
        <is>
          <t>SÖDERMANLANDS LÄN</t>
        </is>
      </c>
      <c r="G358" t="inlineStr">
        <is>
          <t>NYKÖPING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44992</v>
      </c>
      <c r="E359" s="1" t="n">
        <v>46231</v>
      </c>
      <c r="F359" t="inlineStr">
        <is>
          <t>SÖDERMANLANDS LÄN</t>
        </is>
      </c>
      <c r="G359" t="inlineStr">
        <is>
          <t>NYKÖPING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46231</v>
      </c>
      <c r="F360" t="inlineStr">
        <is>
          <t>SÖDERMANLANDS LÄN</t>
        </is>
      </c>
      <c r="G360" t="inlineStr">
        <is>
          <t>NYKÖPING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58857-2021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44489</v>
      </c>
      <c r="E361" s="1" t="n">
        <v>46231</v>
      </c>
      <c r="F361" t="inlineStr">
        <is>
          <t>SÖDERMANLANDS LÄN</t>
        </is>
      </c>
      <c r="G361" t="inlineStr">
        <is>
          <t>NYKÖPING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45547</v>
      </c>
      <c r="E362" s="1" t="n">
        <v>46231</v>
      </c>
      <c r="F362" t="inlineStr">
        <is>
          <t>SÖDERMANLANDS LÄN</t>
        </is>
      </c>
      <c r="G362" t="inlineStr">
        <is>
          <t>NYKÖPING</t>
        </is>
      </c>
      <c r="I362" t="n">
        <v>10.3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45854</v>
      </c>
      <c r="E363" s="1" t="n">
        <v>46231</v>
      </c>
      <c r="F363" t="inlineStr">
        <is>
          <t>SÖDERMANLANDS LÄN</t>
        </is>
      </c>
      <c r="G363" t="inlineStr">
        <is>
          <t>NYKÖPING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44990</v>
      </c>
      <c r="E364" s="1" t="n">
        <v>46231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Allmännings- och besparingsskogar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45888</v>
      </c>
      <c r="E365" s="1" t="n">
        <v>46231</v>
      </c>
      <c r="F365" t="inlineStr">
        <is>
          <t>SÖDERMANLANDS LÄN</t>
        </is>
      </c>
      <c r="G365" t="inlineStr">
        <is>
          <t>NYKÖPING</t>
        </is>
      </c>
      <c r="I365" t="n">
        <v>15.2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45712</v>
      </c>
      <c r="E366" s="1" t="n">
        <v>46231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44784</v>
      </c>
      <c r="E367" s="1" t="n">
        <v>46231</v>
      </c>
      <c r="F367" t="inlineStr">
        <is>
          <t>SÖDERMANLANDS LÄN</t>
        </is>
      </c>
      <c r="G367" t="inlineStr">
        <is>
          <t>NYKÖPING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46231</v>
      </c>
      <c r="F368" t="inlineStr">
        <is>
          <t>SÖDERMANLANDS LÄN</t>
        </is>
      </c>
      <c r="G368" t="inlineStr">
        <is>
          <t>NYKÖPING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46093</v>
      </c>
      <c r="E369" s="1" t="n">
        <v>46231</v>
      </c>
      <c r="F369" t="inlineStr">
        <is>
          <t>SÖDERMANLANDS LÄN</t>
        </is>
      </c>
      <c r="G369" t="inlineStr">
        <is>
          <t>NYKÖPING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45343</v>
      </c>
      <c r="E370" s="1" t="n">
        <v>46231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Kommuner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45027</v>
      </c>
      <c r="E371" s="1" t="n">
        <v>46231</v>
      </c>
      <c r="F371" t="inlineStr">
        <is>
          <t>SÖDERMANLANDS LÄN</t>
        </is>
      </c>
      <c r="G371" t="inlineStr">
        <is>
          <t>NYKÖPING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27975-2022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44744</v>
      </c>
      <c r="E372" s="1" t="n">
        <v>46231</v>
      </c>
      <c r="F372" t="inlineStr">
        <is>
          <t>SÖDERMANLANDS LÄN</t>
        </is>
      </c>
      <c r="G372" t="inlineStr">
        <is>
          <t>NYKÖPING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46231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Övriga Aktiebolag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56491-2022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44893</v>
      </c>
      <c r="E374" s="1" t="n">
        <v>46231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46231</v>
      </c>
      <c r="F375" t="inlineStr">
        <is>
          <t>SÖDERMANLANDS LÄN</t>
        </is>
      </c>
      <c r="G375" t="inlineStr">
        <is>
          <t>NYKÖPING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45365</v>
      </c>
      <c r="E376" s="1" t="n">
        <v>46231</v>
      </c>
      <c r="F376" t="inlineStr">
        <is>
          <t>SÖDERMANLANDS LÄN</t>
        </is>
      </c>
      <c r="G376" t="inlineStr">
        <is>
          <t>NYKÖPING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44812</v>
      </c>
      <c r="E377" s="1" t="n">
        <v>46231</v>
      </c>
      <c r="F377" t="inlineStr">
        <is>
          <t>SÖDERMANLANDS LÄN</t>
        </is>
      </c>
      <c r="G377" t="inlineStr">
        <is>
          <t>NYKÖPING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68401-2021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44529</v>
      </c>
      <c r="E378" s="1" t="n">
        <v>46231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46231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44462</v>
      </c>
      <c r="E380" s="1" t="n">
        <v>46231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46231</v>
      </c>
      <c r="F381" t="inlineStr">
        <is>
          <t>SÖDERMANLANDS LÄN</t>
        </is>
      </c>
      <c r="G381" t="inlineStr">
        <is>
          <t>NYKÖPING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46231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56228-2024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45624</v>
      </c>
      <c r="E383" s="1" t="n">
        <v>46231</v>
      </c>
      <c r="F383" t="inlineStr">
        <is>
          <t>SÖDERMANLANDS LÄN</t>
        </is>
      </c>
      <c r="G383" t="inlineStr">
        <is>
          <t>NYKÖPING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46231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44958</v>
      </c>
      <c r="E385" s="1" t="n">
        <v>46231</v>
      </c>
      <c r="F385" t="inlineStr">
        <is>
          <t>SÖDERMANLANDS LÄN</t>
        </is>
      </c>
      <c r="G385" t="inlineStr">
        <is>
          <t>NYKÖPING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44960</v>
      </c>
      <c r="E386" s="1" t="n">
        <v>46231</v>
      </c>
      <c r="F386" t="inlineStr">
        <is>
          <t>SÖDERMANLANDS LÄN</t>
        </is>
      </c>
      <c r="G386" t="inlineStr">
        <is>
          <t>NYKÖPING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49494-2021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44454</v>
      </c>
      <c r="E387" s="1" t="n">
        <v>46231</v>
      </c>
      <c r="F387" t="inlineStr">
        <is>
          <t>SÖDERMANLANDS LÄN</t>
        </is>
      </c>
      <c r="G387" t="inlineStr">
        <is>
          <t>NYKÖPING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44690</v>
      </c>
      <c r="E388" s="1" t="n">
        <v>46231</v>
      </c>
      <c r="F388" t="inlineStr">
        <is>
          <t>SÖDERMANLANDS LÄN</t>
        </is>
      </c>
      <c r="G388" t="inlineStr">
        <is>
          <t>NYKÖPING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46231</v>
      </c>
      <c r="F389" t="inlineStr">
        <is>
          <t>SÖDERMANLANDS LÄN</t>
        </is>
      </c>
      <c r="G389" t="inlineStr">
        <is>
          <t>NYKÖPING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44965</v>
      </c>
      <c r="E390" s="1" t="n">
        <v>46231</v>
      </c>
      <c r="F390" t="inlineStr">
        <is>
          <t>SÖDERMANLANDS LÄN</t>
        </is>
      </c>
      <c r="G390" t="inlineStr">
        <is>
          <t>NYKÖPING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45037</v>
      </c>
      <c r="E391" s="1" t="n">
        <v>46231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Sveaskog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6519-2023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44965</v>
      </c>
      <c r="E392" s="1" t="n">
        <v>46231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Kyrkan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44988</v>
      </c>
      <c r="E393" s="1" t="n">
        <v>46231</v>
      </c>
      <c r="F393" t="inlineStr">
        <is>
          <t>SÖDERMANLANDS LÄN</t>
        </is>
      </c>
      <c r="G393" t="inlineStr">
        <is>
          <t>NYKÖPING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17315-2024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45414</v>
      </c>
      <c r="E394" s="1" t="n">
        <v>46231</v>
      </c>
      <c r="F394" t="inlineStr">
        <is>
          <t>SÖDERMANLANDS LÄN</t>
        </is>
      </c>
      <c r="G394" t="inlineStr">
        <is>
          <t>NYKÖPING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35019-2023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45143</v>
      </c>
      <c r="E395" s="1" t="n">
        <v>46231</v>
      </c>
      <c r="F395" t="inlineStr">
        <is>
          <t>SÖDERMANLANDS LÄN</t>
        </is>
      </c>
      <c r="G395" t="inlineStr">
        <is>
          <t>NYKÖPING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46231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9.800000000000001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30639-2023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45112</v>
      </c>
      <c r="E397" s="1" t="n">
        <v>46231</v>
      </c>
      <c r="F397" t="inlineStr">
        <is>
          <t>SÖDERMANLANDS LÄN</t>
        </is>
      </c>
      <c r="G397" t="inlineStr">
        <is>
          <t>NYKÖPING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46231</v>
      </c>
      <c r="F398" t="inlineStr">
        <is>
          <t>SÖDERMANLANDS LÄN</t>
        </is>
      </c>
      <c r="G398" t="inlineStr">
        <is>
          <t>NYKÖPING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44678</v>
      </c>
      <c r="E399" s="1" t="n">
        <v>46231</v>
      </c>
      <c r="F399" t="inlineStr">
        <is>
          <t>SÖDERMANLANDS LÄN</t>
        </is>
      </c>
      <c r="G399" t="inlineStr">
        <is>
          <t>NYKÖPING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45033</v>
      </c>
      <c r="E400" s="1" t="n">
        <v>46231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45385</v>
      </c>
      <c r="E401" s="1" t="n">
        <v>46231</v>
      </c>
      <c r="F401" t="inlineStr">
        <is>
          <t>SÖDERMANLANDS LÄN</t>
        </is>
      </c>
      <c r="G401" t="inlineStr">
        <is>
          <t>NYKÖPING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46231</v>
      </c>
      <c r="F402" t="inlineStr">
        <is>
          <t>SÖDERMANLANDS LÄN</t>
        </is>
      </c>
      <c r="G402" t="inlineStr">
        <is>
          <t>NYKÖPING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46231</v>
      </c>
      <c r="F403" t="inlineStr">
        <is>
          <t>SÖDERMANLANDS LÄN</t>
        </is>
      </c>
      <c r="G403" t="inlineStr">
        <is>
          <t>NYKÖPING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59613-2021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44491</v>
      </c>
      <c r="E404" s="1" t="n">
        <v>46231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Övriga Aktiebolag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50698-2024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46231</v>
      </c>
      <c r="F405" t="inlineStr">
        <is>
          <t>SÖDERMANLANDS LÄN</t>
        </is>
      </c>
      <c r="G405" t="inlineStr">
        <is>
          <t>NYKÖPING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46231</v>
      </c>
      <c r="F406" t="inlineStr">
        <is>
          <t>SÖDERMANLANDS LÄN</t>
        </is>
      </c>
      <c r="G406" t="inlineStr">
        <is>
          <t>NYKÖPING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45443</v>
      </c>
      <c r="E407" s="1" t="n">
        <v>46231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46737-2025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45926</v>
      </c>
      <c r="E408" s="1" t="n">
        <v>46231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9.4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45908</v>
      </c>
      <c r="E409" s="1" t="n">
        <v>46231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44733</v>
      </c>
      <c r="E410" s="1" t="n">
        <v>46231</v>
      </c>
      <c r="F410" t="inlineStr">
        <is>
          <t>SÖDERMANLANDS LÄN</t>
        </is>
      </c>
      <c r="G410" t="inlineStr">
        <is>
          <t>NYKÖPING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45210</v>
      </c>
      <c r="E411" s="1" t="n">
        <v>46231</v>
      </c>
      <c r="F411" t="inlineStr">
        <is>
          <t>SÖDERMANLANDS LÄN</t>
        </is>
      </c>
      <c r="G411" t="inlineStr">
        <is>
          <t>NYKÖPING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46125</v>
      </c>
      <c r="E412" s="1" t="n">
        <v>46231</v>
      </c>
      <c r="F412" t="inlineStr">
        <is>
          <t>SÖDERMANLANDS LÄN</t>
        </is>
      </c>
      <c r="G412" t="inlineStr">
        <is>
          <t>NYKÖPING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24631-2022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44727</v>
      </c>
      <c r="E413" s="1" t="n">
        <v>46231</v>
      </c>
      <c r="F413" t="inlineStr">
        <is>
          <t>SÖDERMANLANDS LÄN</t>
        </is>
      </c>
      <c r="G413" t="inlineStr">
        <is>
          <t>NYKÖPING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45727</v>
      </c>
      <c r="E414" s="1" t="n">
        <v>46231</v>
      </c>
      <c r="F414" t="inlineStr">
        <is>
          <t>SÖDERMANLANDS LÄN</t>
        </is>
      </c>
      <c r="G414" t="inlineStr">
        <is>
          <t>NYKÖPING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26993-2022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44740</v>
      </c>
      <c r="E415" s="1" t="n">
        <v>46231</v>
      </c>
      <c r="F415" t="inlineStr">
        <is>
          <t>SÖDERMANLANDS LÄN</t>
        </is>
      </c>
      <c r="G415" t="inlineStr">
        <is>
          <t>NYKÖPING</t>
        </is>
      </c>
      <c r="I415" t="n">
        <v>13.1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46231</v>
      </c>
      <c r="F416" t="inlineStr">
        <is>
          <t>SÖDERMANLANDS LÄN</t>
        </is>
      </c>
      <c r="G416" t="inlineStr">
        <is>
          <t>NYKÖPING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16906-2022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44676</v>
      </c>
      <c r="E417" s="1" t="n">
        <v>46231</v>
      </c>
      <c r="F417" t="inlineStr">
        <is>
          <t>SÖDERMANLANDS LÄN</t>
        </is>
      </c>
      <c r="G417" t="inlineStr">
        <is>
          <t>NYKÖPING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45085</v>
      </c>
      <c r="E418" s="1" t="n">
        <v>46231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44582</v>
      </c>
      <c r="E419" s="1" t="n">
        <v>46231</v>
      </c>
      <c r="F419" t="inlineStr">
        <is>
          <t>SÖDERMANLANDS LÄN</t>
        </is>
      </c>
      <c r="G419" t="inlineStr">
        <is>
          <t>NYKÖPING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46231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46231</v>
      </c>
      <c r="F421" t="inlineStr">
        <is>
          <t>SÖDERMANLANDS LÄN</t>
        </is>
      </c>
      <c r="G421" t="inlineStr">
        <is>
          <t>NYKÖPING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45819</v>
      </c>
      <c r="E422" s="1" t="n">
        <v>46231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52068-2023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46231</v>
      </c>
      <c r="F423" t="inlineStr">
        <is>
          <t>SÖDERMANLANDS LÄN</t>
        </is>
      </c>
      <c r="G423" t="inlineStr">
        <is>
          <t>NYKÖPING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38149-2024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45545</v>
      </c>
      <c r="E424" s="1" t="n">
        <v>46231</v>
      </c>
      <c r="F424" t="inlineStr">
        <is>
          <t>SÖDERMANLANDS LÄN</t>
        </is>
      </c>
      <c r="G424" t="inlineStr">
        <is>
          <t>NYKÖPING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46231</v>
      </c>
      <c r="F425" t="inlineStr">
        <is>
          <t>SÖDERMANLANDS LÄN</t>
        </is>
      </c>
      <c r="G425" t="inlineStr">
        <is>
          <t>NYKÖPING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48484-2022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46231</v>
      </c>
      <c r="F426" t="inlineStr">
        <is>
          <t>SÖDERMANLANDS LÄN</t>
        </is>
      </c>
      <c r="G426" t="inlineStr">
        <is>
          <t>NYKÖPING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46135</v>
      </c>
      <c r="E427" s="1" t="n">
        <v>46231</v>
      </c>
      <c r="F427" t="inlineStr">
        <is>
          <t>SÖDERMANLANDS LÄN</t>
        </is>
      </c>
      <c r="G427" t="inlineStr">
        <is>
          <t>NYKÖPING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54065-2025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46231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44757</v>
      </c>
      <c r="E429" s="1" t="n">
        <v>46231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45559</v>
      </c>
      <c r="E430" s="1" t="n">
        <v>46231</v>
      </c>
      <c r="F430" t="inlineStr">
        <is>
          <t>SÖDERMANLANDS LÄN</t>
        </is>
      </c>
      <c r="G430" t="inlineStr">
        <is>
          <t>NYKÖPING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47390-2025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45930</v>
      </c>
      <c r="E431" s="1" t="n">
        <v>46231</v>
      </c>
      <c r="F431" t="inlineStr">
        <is>
          <t>SÖDERMANLANDS LÄN</t>
        </is>
      </c>
      <c r="G431" t="inlineStr">
        <is>
          <t>NYKÖPING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46231</v>
      </c>
      <c r="F432" t="inlineStr">
        <is>
          <t>SÖDERMANLANDS LÄN</t>
        </is>
      </c>
      <c r="G432" t="inlineStr">
        <is>
          <t>NYKÖPING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46231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Sveaskog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46231</v>
      </c>
      <c r="F434" t="inlineStr">
        <is>
          <t>SÖDERMANLANDS LÄN</t>
        </is>
      </c>
      <c r="G434" t="inlineStr">
        <is>
          <t>NYKÖPING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41748-2021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44425</v>
      </c>
      <c r="E435" s="1" t="n">
        <v>46231</v>
      </c>
      <c r="F435" t="inlineStr">
        <is>
          <t>SÖDERMANLANDS LÄN</t>
        </is>
      </c>
      <c r="G435" t="inlineStr">
        <is>
          <t>NYKÖPING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46231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41719-2021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44425</v>
      </c>
      <c r="E437" s="1" t="n">
        <v>46231</v>
      </c>
      <c r="F437" t="inlineStr">
        <is>
          <t>SÖDERMANLANDS LÄN</t>
        </is>
      </c>
      <c r="G437" t="inlineStr">
        <is>
          <t>NYKÖPING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46139</v>
      </c>
      <c r="E438" s="1" t="n">
        <v>46231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45729</v>
      </c>
      <c r="E439" s="1" t="n">
        <v>46231</v>
      </c>
      <c r="F439" t="inlineStr">
        <is>
          <t>SÖDERMANLANDS LÄN</t>
        </is>
      </c>
      <c r="G439" t="inlineStr">
        <is>
          <t>NYKÖPING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44473-2021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44435</v>
      </c>
      <c r="E440" s="1" t="n">
        <v>46231</v>
      </c>
      <c r="F440" t="inlineStr">
        <is>
          <t>SÖDERMANLANDS LÄN</t>
        </is>
      </c>
      <c r="G440" t="inlineStr">
        <is>
          <t>NYKÖPING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45123-2025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46231</v>
      </c>
      <c r="F441" t="inlineStr">
        <is>
          <t>SÖDERMANLANDS LÄN</t>
        </is>
      </c>
      <c r="G441" t="inlineStr">
        <is>
          <t>NYKÖPING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44575</v>
      </c>
      <c r="E442" s="1" t="n">
        <v>46231</v>
      </c>
      <c r="F442" t="inlineStr">
        <is>
          <t>SÖDERMANLANDS LÄN</t>
        </is>
      </c>
      <c r="G442" t="inlineStr">
        <is>
          <t>NYKÖPING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12144-2025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45729</v>
      </c>
      <c r="E443" s="1" t="n">
        <v>46231</v>
      </c>
      <c r="F443" t="inlineStr">
        <is>
          <t>SÖDERMANLANDS LÄN</t>
        </is>
      </c>
      <c r="G443" t="inlineStr">
        <is>
          <t>NYKÖPING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46231</v>
      </c>
      <c r="F444" t="inlineStr">
        <is>
          <t>SÖDERMANLANDS LÄN</t>
        </is>
      </c>
      <c r="G444" t="inlineStr">
        <is>
          <t>NYKÖPING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45761</v>
      </c>
      <c r="E445" s="1" t="n">
        <v>46231</v>
      </c>
      <c r="F445" t="inlineStr">
        <is>
          <t>SÖDERMANLANDS LÄN</t>
        </is>
      </c>
      <c r="G445" t="inlineStr">
        <is>
          <t>NYKÖPING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46231</v>
      </c>
      <c r="F446" t="inlineStr">
        <is>
          <t>SÖDERMANLANDS LÄN</t>
        </is>
      </c>
      <c r="G446" t="inlineStr">
        <is>
          <t>NYKÖPING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18551-2024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45425</v>
      </c>
      <c r="E447" s="1" t="n">
        <v>46231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47260-2023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45202</v>
      </c>
      <c r="E448" s="1" t="n">
        <v>46231</v>
      </c>
      <c r="F448" t="inlineStr">
        <is>
          <t>SÖDERMANLANDS LÄN</t>
        </is>
      </c>
      <c r="G448" t="inlineStr">
        <is>
          <t>NYKÖPING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46231</v>
      </c>
      <c r="F449" t="inlineStr">
        <is>
          <t>SÖDERMANLANDS LÄN</t>
        </is>
      </c>
      <c r="G449" t="inlineStr">
        <is>
          <t>NYKÖPING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50156-2021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44456</v>
      </c>
      <c r="E450" s="1" t="n">
        <v>46231</v>
      </c>
      <c r="F450" t="inlineStr">
        <is>
          <t>SÖDERMANLANDS LÄN</t>
        </is>
      </c>
      <c r="G450" t="inlineStr">
        <is>
          <t>NYKÖPING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41735-2021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44425</v>
      </c>
      <c r="E451" s="1" t="n">
        <v>46231</v>
      </c>
      <c r="F451" t="inlineStr">
        <is>
          <t>SÖDERMANLANDS LÄN</t>
        </is>
      </c>
      <c r="G451" t="inlineStr">
        <is>
          <t>NYKÖPING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21917-2022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46231</v>
      </c>
      <c r="F452" t="inlineStr">
        <is>
          <t>SÖDERMANLANDS LÄN</t>
        </is>
      </c>
      <c r="G452" t="inlineStr">
        <is>
          <t>NYKÖPING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43306-2023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45183</v>
      </c>
      <c r="E453" s="1" t="n">
        <v>46231</v>
      </c>
      <c r="F453" t="inlineStr">
        <is>
          <t>SÖDERMANLANDS LÄN</t>
        </is>
      </c>
      <c r="G453" t="inlineStr">
        <is>
          <t>NYKÖPING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45069</v>
      </c>
      <c r="E454" s="1" t="n">
        <v>46231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44910</v>
      </c>
      <c r="E455" s="1" t="n">
        <v>46231</v>
      </c>
      <c r="F455" t="inlineStr">
        <is>
          <t>SÖDERMANLANDS LÄN</t>
        </is>
      </c>
      <c r="G455" t="inlineStr">
        <is>
          <t>NYKÖPING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46231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46231</v>
      </c>
      <c r="F457" t="inlineStr">
        <is>
          <t>SÖDERMANLANDS LÄN</t>
        </is>
      </c>
      <c r="G457" t="inlineStr">
        <is>
          <t>NYKÖPING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41099-2022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44825</v>
      </c>
      <c r="E458" s="1" t="n">
        <v>46231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46231</v>
      </c>
      <c r="F459" t="inlineStr">
        <is>
          <t>SÖDERMANLANDS LÄN</t>
        </is>
      </c>
      <c r="G459" t="inlineStr">
        <is>
          <t>NYKÖPING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46231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46231</v>
      </c>
      <c r="F461" t="inlineStr">
        <is>
          <t>SÖDERMANLANDS LÄN</t>
        </is>
      </c>
      <c r="G461" t="inlineStr">
        <is>
          <t>NYKÖPING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45076</v>
      </c>
      <c r="E462" s="1" t="n">
        <v>46231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Övriga Aktiebolag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53335-2023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45229</v>
      </c>
      <c r="E463" s="1" t="n">
        <v>46231</v>
      </c>
      <c r="F463" t="inlineStr">
        <is>
          <t>SÖDERMANLANDS LÄN</t>
        </is>
      </c>
      <c r="G463" t="inlineStr">
        <is>
          <t>NYKÖPING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52045-2021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44463</v>
      </c>
      <c r="E464" s="1" t="n">
        <v>46231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Sveaskog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52055-2021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44462</v>
      </c>
      <c r="E465" s="1" t="n">
        <v>46231</v>
      </c>
      <c r="F465" t="inlineStr">
        <is>
          <t>SÖDERMANLANDS LÄN</t>
        </is>
      </c>
      <c r="G465" t="inlineStr">
        <is>
          <t>NYKÖPING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35419-2025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45855</v>
      </c>
      <c r="E466" s="1" t="n">
        <v>46231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45855</v>
      </c>
      <c r="E467" s="1" t="n">
        <v>46231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46231</v>
      </c>
      <c r="F468" t="inlineStr">
        <is>
          <t>SÖDERMANLANDS LÄN</t>
        </is>
      </c>
      <c r="G468" t="inlineStr">
        <is>
          <t>NYKÖPING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44462</v>
      </c>
      <c r="E469" s="1" t="n">
        <v>46231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46145</v>
      </c>
      <c r="E470" s="1" t="n">
        <v>46231</v>
      </c>
      <c r="F470" t="inlineStr">
        <is>
          <t>SÖDERMANLANDS LÄN</t>
        </is>
      </c>
      <c r="G470" t="inlineStr">
        <is>
          <t>NYKÖPING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46145</v>
      </c>
      <c r="E471" s="1" t="n">
        <v>46231</v>
      </c>
      <c r="F471" t="inlineStr">
        <is>
          <t>SÖDERMANLANDS LÄN</t>
        </is>
      </c>
      <c r="G471" t="inlineStr">
        <is>
          <t>NYKÖPING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45686</v>
      </c>
      <c r="E472" s="1" t="n">
        <v>46231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45058</v>
      </c>
      <c r="E473" s="1" t="n">
        <v>46231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46231</v>
      </c>
      <c r="F474" t="inlineStr">
        <is>
          <t>SÖDERMANLANDS LÄN</t>
        </is>
      </c>
      <c r="G474" t="inlineStr">
        <is>
          <t>NYKÖPING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41222-2023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46231</v>
      </c>
      <c r="F475" t="inlineStr">
        <is>
          <t>SÖDERMANLANDS LÄN</t>
        </is>
      </c>
      <c r="G475" t="inlineStr">
        <is>
          <t>NYKÖPING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38607-2023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46231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44901</v>
      </c>
      <c r="E477" s="1" t="n">
        <v>46231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46231</v>
      </c>
      <c r="F478" t="inlineStr">
        <is>
          <t>SÖDERMANLANDS LÄN</t>
        </is>
      </c>
      <c r="G478" t="inlineStr">
        <is>
          <t>NYKÖPING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45307</v>
      </c>
      <c r="E479" s="1" t="n">
        <v>46231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Kommuner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46231</v>
      </c>
      <c r="F480" t="inlineStr">
        <is>
          <t>SÖDERMANLANDS LÄN</t>
        </is>
      </c>
      <c r="G480" t="inlineStr">
        <is>
          <t>NYKÖPING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45379</v>
      </c>
      <c r="E481" s="1" t="n">
        <v>46231</v>
      </c>
      <c r="F481" t="inlineStr">
        <is>
          <t>SÖDERMANLANDS LÄN</t>
        </is>
      </c>
      <c r="G481" t="inlineStr">
        <is>
          <t>NYKÖPING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46231</v>
      </c>
      <c r="F482" t="inlineStr">
        <is>
          <t>SÖDERMANLANDS LÄN</t>
        </is>
      </c>
      <c r="G482" t="inlineStr">
        <is>
          <t>NYKÖPING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46231</v>
      </c>
      <c r="F483" t="inlineStr">
        <is>
          <t>SÖDERMANLANDS LÄN</t>
        </is>
      </c>
      <c r="G483" t="inlineStr">
        <is>
          <t>NYKÖPING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46231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45855</v>
      </c>
      <c r="E485" s="1" t="n">
        <v>46231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46231</v>
      </c>
      <c r="F486" t="inlineStr">
        <is>
          <t>SÖDERMANLANDS LÄN</t>
        </is>
      </c>
      <c r="G486" t="inlineStr">
        <is>
          <t>NYKÖPING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35455-2025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45855</v>
      </c>
      <c r="E487" s="1" t="n">
        <v>46231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46231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46231</v>
      </c>
      <c r="F489" t="inlineStr">
        <is>
          <t>SÖDERMANLANDS LÄN</t>
        </is>
      </c>
      <c r="G489" t="inlineStr">
        <is>
          <t>NYKÖPING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45040</v>
      </c>
      <c r="E490" s="1" t="n">
        <v>46231</v>
      </c>
      <c r="F490" t="inlineStr">
        <is>
          <t>SÖDERMANLANDS LÄN</t>
        </is>
      </c>
      <c r="G490" t="inlineStr">
        <is>
          <t>NYKÖPING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46231</v>
      </c>
      <c r="F491" t="inlineStr">
        <is>
          <t>SÖDERMANLANDS LÄN</t>
        </is>
      </c>
      <c r="G491" t="inlineStr">
        <is>
          <t>NYKÖPING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45350</v>
      </c>
      <c r="E492" s="1" t="n">
        <v>46231</v>
      </c>
      <c r="F492" t="inlineStr">
        <is>
          <t>SÖDERMANLANDS LÄN</t>
        </is>
      </c>
      <c r="G492" t="inlineStr">
        <is>
          <t>NYKÖPING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69244-2021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44530</v>
      </c>
      <c r="E493" s="1" t="n">
        <v>46231</v>
      </c>
      <c r="F493" t="inlineStr">
        <is>
          <t>SÖDERMANLANDS LÄN</t>
        </is>
      </c>
      <c r="G493" t="inlineStr">
        <is>
          <t>NYKÖPING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45132</v>
      </c>
      <c r="E494" s="1" t="n">
        <v>46231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60512-2021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44496</v>
      </c>
      <c r="E495" s="1" t="n">
        <v>46231</v>
      </c>
      <c r="F495" t="inlineStr">
        <is>
          <t>SÖDERMANLANDS LÄN</t>
        </is>
      </c>
      <c r="G495" t="inlineStr">
        <is>
          <t>NYKÖPING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10435-2022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44623</v>
      </c>
      <c r="E496" s="1" t="n">
        <v>46231</v>
      </c>
      <c r="F496" t="inlineStr">
        <is>
          <t>SÖDERMANLANDS LÄN</t>
        </is>
      </c>
      <c r="G496" t="inlineStr">
        <is>
          <t>NYKÖPING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46231</v>
      </c>
      <c r="F497" t="inlineStr">
        <is>
          <t>SÖDERMANLANDS LÄN</t>
        </is>
      </c>
      <c r="G497" t="inlineStr">
        <is>
          <t>NYKÖPING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50340-2025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46231</v>
      </c>
      <c r="F498" t="inlineStr">
        <is>
          <t>SÖDERMANLANDS LÄN</t>
        </is>
      </c>
      <c r="G498" t="inlineStr">
        <is>
          <t>NYKÖPING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44579</v>
      </c>
      <c r="E499" s="1" t="n">
        <v>46231</v>
      </c>
      <c r="F499" t="inlineStr">
        <is>
          <t>SÖDERMANLANDS LÄN</t>
        </is>
      </c>
      <c r="G499" t="inlineStr">
        <is>
          <t>NYKÖPING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45335</v>
      </c>
      <c r="E500" s="1" t="n">
        <v>46231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45279</v>
      </c>
      <c r="E501" s="1" t="n">
        <v>46231</v>
      </c>
      <c r="F501" t="inlineStr">
        <is>
          <t>SÖDERMANLANDS LÄN</t>
        </is>
      </c>
      <c r="G501" t="inlineStr">
        <is>
          <t>NYKÖPING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22475-2026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46155</v>
      </c>
      <c r="E502" s="1" t="n">
        <v>46231</v>
      </c>
      <c r="F502" t="inlineStr">
        <is>
          <t>SÖDERMANLANDS LÄN</t>
        </is>
      </c>
      <c r="G502" t="inlineStr">
        <is>
          <t>NYKÖPING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45940</v>
      </c>
      <c r="E503" s="1" t="n">
        <v>46231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17897-2024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45419</v>
      </c>
      <c r="E504" s="1" t="n">
        <v>46231</v>
      </c>
      <c r="F504" t="inlineStr">
        <is>
          <t>SÖDERMANLANDS LÄN</t>
        </is>
      </c>
      <c r="G504" t="inlineStr">
        <is>
          <t>NYKÖPING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45419</v>
      </c>
      <c r="E505" s="1" t="n">
        <v>46231</v>
      </c>
      <c r="F505" t="inlineStr">
        <is>
          <t>SÖDERMANLANDS LÄN</t>
        </is>
      </c>
      <c r="G505" t="inlineStr">
        <is>
          <t>NYKÖPING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45938</v>
      </c>
      <c r="E506" s="1" t="n">
        <v>46231</v>
      </c>
      <c r="F506" t="inlineStr">
        <is>
          <t>SÖDERMANLANDS LÄN</t>
        </is>
      </c>
      <c r="G506" t="inlineStr">
        <is>
          <t>NYKÖPING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45351</v>
      </c>
      <c r="E507" s="1" t="n">
        <v>46231</v>
      </c>
      <c r="F507" t="inlineStr">
        <is>
          <t>SÖDERMANLANDS LÄN</t>
        </is>
      </c>
      <c r="G507" t="inlineStr">
        <is>
          <t>NYKÖPING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45159</v>
      </c>
      <c r="E508" s="1" t="n">
        <v>46231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Kommuner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73877-2021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46231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9167-2023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46231</v>
      </c>
      <c r="F510" t="inlineStr">
        <is>
          <t>SÖDERMANLANDS LÄN</t>
        </is>
      </c>
      <c r="G510" t="inlineStr">
        <is>
          <t>NYKÖPING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11978-2023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44995</v>
      </c>
      <c r="E511" s="1" t="n">
        <v>46231</v>
      </c>
      <c r="F511" t="inlineStr">
        <is>
          <t>SÖDERMANLANDS LÄN</t>
        </is>
      </c>
      <c r="G511" t="inlineStr">
        <is>
          <t>NYKÖPING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50688-2025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45945</v>
      </c>
      <c r="E512" s="1" t="n">
        <v>46231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Kyrkan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44976</v>
      </c>
      <c r="E513" s="1" t="n">
        <v>46231</v>
      </c>
      <c r="F513" t="inlineStr">
        <is>
          <t>SÖDERMANLANDS LÄN</t>
        </is>
      </c>
      <c r="G513" t="inlineStr">
        <is>
          <t>NYKÖPING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47138-2023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45201</v>
      </c>
      <c r="E514" s="1" t="n">
        <v>46231</v>
      </c>
      <c r="F514" t="inlineStr">
        <is>
          <t>SÖDERMANLANDS LÄN</t>
        </is>
      </c>
      <c r="G514" t="inlineStr">
        <is>
          <t>NYKÖPING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16460-2023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45029</v>
      </c>
      <c r="E515" s="1" t="n">
        <v>46231</v>
      </c>
      <c r="F515" t="inlineStr">
        <is>
          <t>SÖDERMANLANDS LÄN</t>
        </is>
      </c>
      <c r="G515" t="inlineStr">
        <is>
          <t>NYKÖPING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45945</v>
      </c>
      <c r="E516" s="1" t="n">
        <v>46231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Kyrkan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50874-2025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45946</v>
      </c>
      <c r="E517" s="1" t="n">
        <v>46231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44579</v>
      </c>
      <c r="E518" s="1" t="n">
        <v>46231</v>
      </c>
      <c r="F518" t="inlineStr">
        <is>
          <t>SÖDERMANLANDS LÄN</t>
        </is>
      </c>
      <c r="G518" t="inlineStr">
        <is>
          <t>NYKÖPING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67857-2021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44525</v>
      </c>
      <c r="E519" s="1" t="n">
        <v>46231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17832-2024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45418</v>
      </c>
      <c r="E520" s="1" t="n">
        <v>46231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Kommuner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44938</v>
      </c>
      <c r="E521" s="1" t="n">
        <v>46231</v>
      </c>
      <c r="F521" t="inlineStr">
        <is>
          <t>SÖDERMANLANDS LÄN</t>
        </is>
      </c>
      <c r="G521" t="inlineStr">
        <is>
          <t>NYKÖPING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46231</v>
      </c>
      <c r="F522" t="inlineStr">
        <is>
          <t>SÖDERMANLANDS LÄN</t>
        </is>
      </c>
      <c r="G522" t="inlineStr">
        <is>
          <t>NYKÖPING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45148</v>
      </c>
      <c r="E523" s="1" t="n">
        <v>46231</v>
      </c>
      <c r="F523" t="inlineStr">
        <is>
          <t>SÖDERMANLANDS LÄN</t>
        </is>
      </c>
      <c r="G523" t="inlineStr">
        <is>
          <t>NYKÖPING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72679-2021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44546</v>
      </c>
      <c r="E524" s="1" t="n">
        <v>46231</v>
      </c>
      <c r="F524" t="inlineStr">
        <is>
          <t>SÖDERMANLANDS LÄN</t>
        </is>
      </c>
      <c r="G524" t="inlineStr">
        <is>
          <t>NYKÖPING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46231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Övriga Aktiebolag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57633-2024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45630</v>
      </c>
      <c r="E526" s="1" t="n">
        <v>46231</v>
      </c>
      <c r="F526" t="inlineStr">
        <is>
          <t>SÖDERMANLANDS LÄN</t>
        </is>
      </c>
      <c r="G526" t="inlineStr">
        <is>
          <t>NYKÖPING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45306</v>
      </c>
      <c r="E527" s="1" t="n">
        <v>46231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23207-2024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45452</v>
      </c>
      <c r="E528" s="1" t="n">
        <v>46231</v>
      </c>
      <c r="F528" t="inlineStr">
        <is>
          <t>SÖDERMANLANDS LÄN</t>
        </is>
      </c>
      <c r="G528" t="inlineStr">
        <is>
          <t>NYKÖPING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45978</v>
      </c>
      <c r="E529" s="1" t="n">
        <v>46231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46231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Kommuner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46231</v>
      </c>
      <c r="F531" t="inlineStr">
        <is>
          <t>SÖDERMANLANDS LÄN</t>
        </is>
      </c>
      <c r="G531" t="inlineStr">
        <is>
          <t>NYKÖPING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56845-2025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46231</v>
      </c>
      <c r="F532" t="inlineStr">
        <is>
          <t>SÖDERMANLANDS LÄN</t>
        </is>
      </c>
      <c r="G532" t="inlineStr">
        <is>
          <t>NYKÖPING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70092-2021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44536</v>
      </c>
      <c r="E533" s="1" t="n">
        <v>46231</v>
      </c>
      <c r="F533" t="inlineStr">
        <is>
          <t>SÖDERMANLANDS LÄN</t>
        </is>
      </c>
      <c r="G533" t="inlineStr">
        <is>
          <t>NYKÖPING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46231</v>
      </c>
      <c r="F534" t="inlineStr">
        <is>
          <t>SÖDERMANLANDS LÄN</t>
        </is>
      </c>
      <c r="G534" t="inlineStr">
        <is>
          <t>NYKÖPING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45132</v>
      </c>
      <c r="E535" s="1" t="n">
        <v>46231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33670-2023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45132</v>
      </c>
      <c r="E536" s="1" t="n">
        <v>46231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45148</v>
      </c>
      <c r="E537" s="1" t="n">
        <v>46231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46231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Kommuner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46231</v>
      </c>
      <c r="F539" t="inlineStr">
        <is>
          <t>SÖDERMANLANDS LÄN</t>
        </is>
      </c>
      <c r="G539" t="inlineStr">
        <is>
          <t>NYKÖPING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45162</v>
      </c>
      <c r="E540" s="1" t="n">
        <v>46231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56322-2023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45243</v>
      </c>
      <c r="E541" s="1" t="n">
        <v>46231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46231</v>
      </c>
      <c r="F542" t="inlineStr">
        <is>
          <t>SÖDERMANLANDS LÄN</t>
        </is>
      </c>
      <c r="G542" t="inlineStr">
        <is>
          <t>NYKÖPING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46231</v>
      </c>
      <c r="F543" t="inlineStr">
        <is>
          <t>SÖDERMANLANDS LÄN</t>
        </is>
      </c>
      <c r="G543" t="inlineStr">
        <is>
          <t>NYKÖPING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41353-2025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45900</v>
      </c>
      <c r="E544" s="1" t="n">
        <v>46231</v>
      </c>
      <c r="F544" t="inlineStr">
        <is>
          <t>SÖDERMANLANDS LÄN</t>
        </is>
      </c>
      <c r="G544" t="inlineStr">
        <is>
          <t>NYKÖPING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44575</v>
      </c>
      <c r="E545" s="1" t="n">
        <v>46231</v>
      </c>
      <c r="F545" t="inlineStr">
        <is>
          <t>SÖDERMANLANDS LÄN</t>
        </is>
      </c>
      <c r="G545" t="inlineStr">
        <is>
          <t>NYKÖPING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46231</v>
      </c>
      <c r="F546" t="inlineStr">
        <is>
          <t>SÖDERMANLANDS LÄN</t>
        </is>
      </c>
      <c r="G546" t="inlineStr">
        <is>
          <t>NYKÖPING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52572-2025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45954</v>
      </c>
      <c r="E547" s="1" t="n">
        <v>46231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46072</v>
      </c>
      <c r="E548" s="1" t="n">
        <v>46231</v>
      </c>
      <c r="F548" t="inlineStr">
        <is>
          <t>SÖDERMANLANDS LÄN</t>
        </is>
      </c>
      <c r="G548" t="inlineStr">
        <is>
          <t>NYKÖPING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46231</v>
      </c>
      <c r="F549" t="inlineStr">
        <is>
          <t>SÖDERMANLANDS LÄN</t>
        </is>
      </c>
      <c r="G549" t="inlineStr">
        <is>
          <t>NYKÖPING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44581</v>
      </c>
      <c r="E550" s="1" t="n">
        <v>46231</v>
      </c>
      <c r="F550" t="inlineStr">
        <is>
          <t>SÖDERMANLANDS LÄN</t>
        </is>
      </c>
      <c r="G550" t="inlineStr">
        <is>
          <t>NYKÖPING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46231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45146</v>
      </c>
      <c r="E552" s="1" t="n">
        <v>46231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45160</v>
      </c>
      <c r="E553" s="1" t="n">
        <v>46231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Kommuner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44995</v>
      </c>
      <c r="E554" s="1" t="n">
        <v>46231</v>
      </c>
      <c r="F554" t="inlineStr">
        <is>
          <t>SÖDERMANLANDS LÄN</t>
        </is>
      </c>
      <c r="G554" t="inlineStr">
        <is>
          <t>NYKÖPING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65109-2021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44515</v>
      </c>
      <c r="E555" s="1" t="n">
        <v>46231</v>
      </c>
      <c r="F555" t="inlineStr">
        <is>
          <t>SÖDERMANLANDS LÄN</t>
        </is>
      </c>
      <c r="G555" t="inlineStr">
        <is>
          <t>NYKÖPING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45721</v>
      </c>
      <c r="E556" s="1" t="n">
        <v>46231</v>
      </c>
      <c r="F556" t="inlineStr">
        <is>
          <t>SÖDERMANLANDS LÄN</t>
        </is>
      </c>
      <c r="G556" t="inlineStr">
        <is>
          <t>NYKÖPING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23637-2026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46163</v>
      </c>
      <c r="E557" s="1" t="n">
        <v>46231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Kyrkan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52585-2025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45954</v>
      </c>
      <c r="E558" s="1" t="n">
        <v>46231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45820</v>
      </c>
      <c r="E559" s="1" t="n">
        <v>46231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4885-2024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45329</v>
      </c>
      <c r="E560" s="1" t="n">
        <v>46231</v>
      </c>
      <c r="F560" t="inlineStr">
        <is>
          <t>SÖDERMANLANDS LÄN</t>
        </is>
      </c>
      <c r="G560" t="inlineStr">
        <is>
          <t>NYKÖPING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45329</v>
      </c>
      <c r="E561" s="1" t="n">
        <v>46231</v>
      </c>
      <c r="F561" t="inlineStr">
        <is>
          <t>SÖDERMANLANDS LÄN</t>
        </is>
      </c>
      <c r="G561" t="inlineStr">
        <is>
          <t>NYKÖPING</t>
        </is>
      </c>
      <c r="I561" t="n">
        <v>17.8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58685-2025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45986</v>
      </c>
      <c r="E562" s="1" t="n">
        <v>46231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45798</v>
      </c>
      <c r="E563" s="1" t="n">
        <v>46231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44585</v>
      </c>
      <c r="E564" s="1" t="n">
        <v>46231</v>
      </c>
      <c r="F564" t="inlineStr">
        <is>
          <t>SÖDERMANLANDS LÄN</t>
        </is>
      </c>
      <c r="G564" t="inlineStr">
        <is>
          <t>NYKÖPING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46231</v>
      </c>
      <c r="F565" t="inlineStr">
        <is>
          <t>SÖDERMANLANDS LÄN</t>
        </is>
      </c>
      <c r="G565" t="inlineStr">
        <is>
          <t>NYKÖPING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46086</v>
      </c>
      <c r="E566" s="1" t="n">
        <v>46231</v>
      </c>
      <c r="F566" t="inlineStr">
        <is>
          <t>SÖDERMANLANDS LÄN</t>
        </is>
      </c>
      <c r="G566" t="inlineStr">
        <is>
          <t>NYKÖPING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13863-2022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44649</v>
      </c>
      <c r="E567" s="1" t="n">
        <v>46231</v>
      </c>
      <c r="F567" t="inlineStr">
        <is>
          <t>SÖDERMANLANDS LÄN</t>
        </is>
      </c>
      <c r="G567" t="inlineStr">
        <is>
          <t>NYKÖPING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45170</v>
      </c>
      <c r="E568" s="1" t="n">
        <v>46231</v>
      </c>
      <c r="F568" t="inlineStr">
        <is>
          <t>SÖDERMANLANDS LÄN</t>
        </is>
      </c>
      <c r="G568" t="inlineStr">
        <is>
          <t>NYKÖPING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24152-2026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46231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Kyrkan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46231</v>
      </c>
      <c r="F570" t="inlineStr">
        <is>
          <t>SÖDERMANLANDS LÄN</t>
        </is>
      </c>
      <c r="G570" t="inlineStr">
        <is>
          <t>NYKÖPING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46169</v>
      </c>
      <c r="E571" s="1" t="n">
        <v>46231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Kyrkan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45721</v>
      </c>
      <c r="E572" s="1" t="n">
        <v>46231</v>
      </c>
      <c r="F572" t="inlineStr">
        <is>
          <t>SÖDERMANLANDS LÄN</t>
        </is>
      </c>
      <c r="G572" t="inlineStr">
        <is>
          <t>NYKÖPING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30695-2026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46211</v>
      </c>
      <c r="E573" s="1" t="n">
        <v>46231</v>
      </c>
      <c r="F573" t="inlineStr">
        <is>
          <t>SÖDERMANLANDS LÄN</t>
        </is>
      </c>
      <c r="G573" t="inlineStr">
        <is>
          <t>NYKÖPING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46231</v>
      </c>
      <c r="F574" t="inlineStr">
        <is>
          <t>SÖDERMANLANDS LÄN</t>
        </is>
      </c>
      <c r="G574" t="inlineStr">
        <is>
          <t>NYKÖPING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51241-2024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45603</v>
      </c>
      <c r="E575" s="1" t="n">
        <v>46231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Sveaskog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7253-2022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44606</v>
      </c>
      <c r="E576" s="1" t="n">
        <v>46231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Allmännings- och besparingsskogar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10689-2023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44988</v>
      </c>
      <c r="E577" s="1" t="n">
        <v>46231</v>
      </c>
      <c r="F577" t="inlineStr">
        <is>
          <t>SÖDERMANLANDS LÄN</t>
        </is>
      </c>
      <c r="G577" t="inlineStr">
        <is>
          <t>NYKÖPING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52551-2023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45218</v>
      </c>
      <c r="E578" s="1" t="n">
        <v>46231</v>
      </c>
      <c r="F578" t="inlineStr">
        <is>
          <t>SÖDERMANLANDS LÄN</t>
        </is>
      </c>
      <c r="G578" t="inlineStr">
        <is>
          <t>NYKÖPING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44820-2022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44839</v>
      </c>
      <c r="E579" s="1" t="n">
        <v>46231</v>
      </c>
      <c r="F579" t="inlineStr">
        <is>
          <t>SÖDERMANLANDS LÄN</t>
        </is>
      </c>
      <c r="G579" t="inlineStr">
        <is>
          <t>NYKÖPING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44908-2022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44840</v>
      </c>
      <c r="E580" s="1" t="n">
        <v>46231</v>
      </c>
      <c r="F580" t="inlineStr">
        <is>
          <t>SÖDERMANLANDS LÄN</t>
        </is>
      </c>
      <c r="G580" t="inlineStr">
        <is>
          <t>NYKÖPING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46231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24497-2025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45798</v>
      </c>
      <c r="E582" s="1" t="n">
        <v>46231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46231</v>
      </c>
      <c r="F583" t="inlineStr">
        <is>
          <t>SÖDERMANLANDS LÄN</t>
        </is>
      </c>
      <c r="G583" t="inlineStr">
        <is>
          <t>NYKÖPING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46231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Kommuner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14370-2022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44652</v>
      </c>
      <c r="E585" s="1" t="n">
        <v>46231</v>
      </c>
      <c r="F585" t="inlineStr">
        <is>
          <t>SÖDERMANLANDS LÄN</t>
        </is>
      </c>
      <c r="G585" t="inlineStr">
        <is>
          <t>NYKÖPING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45044</v>
      </c>
      <c r="E586" s="1" t="n">
        <v>46231</v>
      </c>
      <c r="F586" t="inlineStr">
        <is>
          <t>SÖDERMANLANDS LÄN</t>
        </is>
      </c>
      <c r="G586" t="inlineStr">
        <is>
          <t>NYKÖPING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45044</v>
      </c>
      <c r="E587" s="1" t="n">
        <v>46231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12538-2025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45730</v>
      </c>
      <c r="E588" s="1" t="n">
        <v>46231</v>
      </c>
      <c r="F588" t="inlineStr">
        <is>
          <t>SÖDERMANLANDS LÄN</t>
        </is>
      </c>
      <c r="G588" t="inlineStr">
        <is>
          <t>NYKÖPING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58496-2025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45985</v>
      </c>
      <c r="E589" s="1" t="n">
        <v>46231</v>
      </c>
      <c r="F589" t="inlineStr">
        <is>
          <t>SÖDERMANLANDS LÄN</t>
        </is>
      </c>
      <c r="G589" t="inlineStr">
        <is>
          <t>NYKÖPING</t>
        </is>
      </c>
      <c r="I589" t="n">
        <v>9.699999999999999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35463-2025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45855</v>
      </c>
      <c r="E590" s="1" t="n">
        <v>46231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11728-2022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44634</v>
      </c>
      <c r="E591" s="1" t="n">
        <v>46231</v>
      </c>
      <c r="F591" t="inlineStr">
        <is>
          <t>SÖDERMANLANDS LÄN</t>
        </is>
      </c>
      <c r="G591" t="inlineStr">
        <is>
          <t>NYKÖPING</t>
        </is>
      </c>
      <c r="I591" t="n">
        <v>11.4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21062-2023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45061</v>
      </c>
      <c r="E592" s="1" t="n">
        <v>46231</v>
      </c>
      <c r="F592" t="inlineStr">
        <is>
          <t>SÖDERMANLANDS LÄN</t>
        </is>
      </c>
      <c r="G592" t="inlineStr">
        <is>
          <t>NYKÖPING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45187</v>
      </c>
      <c r="E593" s="1" t="n">
        <v>46231</v>
      </c>
      <c r="F593" t="inlineStr">
        <is>
          <t>SÖDERMANLANDS LÄN</t>
        </is>
      </c>
      <c r="G593" t="inlineStr">
        <is>
          <t>NYKÖPING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46231</v>
      </c>
      <c r="F594" t="inlineStr">
        <is>
          <t>SÖDERMANLANDS LÄN</t>
        </is>
      </c>
      <c r="G594" t="inlineStr">
        <is>
          <t>NYKÖPING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46231</v>
      </c>
      <c r="F595" t="inlineStr">
        <is>
          <t>SÖDERMANLANDS LÄN</t>
        </is>
      </c>
      <c r="G595" t="inlineStr">
        <is>
          <t>NYKÖPING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2598-2025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45674</v>
      </c>
      <c r="E596" s="1" t="n">
        <v>46231</v>
      </c>
      <c r="F596" t="inlineStr">
        <is>
          <t>SÖDERMANLANDS LÄN</t>
        </is>
      </c>
      <c r="G596" t="inlineStr">
        <is>
          <t>NYKÖPING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25336-2026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46176</v>
      </c>
      <c r="E597" s="1" t="n">
        <v>46231</v>
      </c>
      <c r="F597" t="inlineStr">
        <is>
          <t>SÖDERMANLANDS LÄN</t>
        </is>
      </c>
      <c r="G597" t="inlineStr">
        <is>
          <t>NYKÖPING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55311-2025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45970</v>
      </c>
      <c r="E598" s="1" t="n">
        <v>46231</v>
      </c>
      <c r="F598" t="inlineStr">
        <is>
          <t>SÖDERMANLANDS LÄN</t>
        </is>
      </c>
      <c r="G598" t="inlineStr">
        <is>
          <t>NYKÖPING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46231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44582</v>
      </c>
      <c r="E600" s="1" t="n">
        <v>46231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56128-2025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45974</v>
      </c>
      <c r="E601" s="1" t="n">
        <v>46231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Holmen skog AB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38745-2023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45161</v>
      </c>
      <c r="E602" s="1" t="n">
        <v>46231</v>
      </c>
      <c r="F602" t="inlineStr">
        <is>
          <t>SÖDERMANLANDS LÄN</t>
        </is>
      </c>
      <c r="G602" t="inlineStr">
        <is>
          <t>NYKÖPING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35458-2023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45146</v>
      </c>
      <c r="E603" s="1" t="n">
        <v>46231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31469-2026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46222</v>
      </c>
      <c r="E604" s="1" t="n">
        <v>46231</v>
      </c>
      <c r="F604" t="inlineStr">
        <is>
          <t>SÖDERMANLANDS LÄN</t>
        </is>
      </c>
      <c r="G604" t="inlineStr">
        <is>
          <t>NYKÖPING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45974</v>
      </c>
      <c r="E605" s="1" t="n">
        <v>46231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39356-2023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45166</v>
      </c>
      <c r="E606" s="1" t="n">
        <v>46231</v>
      </c>
      <c r="F606" t="inlineStr">
        <is>
          <t>SÖDERMANLANDS LÄN</t>
        </is>
      </c>
      <c r="G606" t="inlineStr">
        <is>
          <t>NYKÖPING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21925-2022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44711</v>
      </c>
      <c r="E607" s="1" t="n">
        <v>46231</v>
      </c>
      <c r="F607" t="inlineStr">
        <is>
          <t>SÖDERMANLANDS LÄN</t>
        </is>
      </c>
      <c r="G607" t="inlineStr">
        <is>
          <t>NYKÖPING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44649</v>
      </c>
      <c r="E608" s="1" t="n">
        <v>46231</v>
      </c>
      <c r="F608" t="inlineStr">
        <is>
          <t>SÖDERMANLANDS LÄN</t>
        </is>
      </c>
      <c r="G608" t="inlineStr">
        <is>
          <t>NYKÖPING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37907-2022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44811</v>
      </c>
      <c r="E609" s="1" t="n">
        <v>46231</v>
      </c>
      <c r="F609" t="inlineStr">
        <is>
          <t>SÖDERMANLANDS LÄN</t>
        </is>
      </c>
      <c r="G609" t="inlineStr">
        <is>
          <t>NYKÖPING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37911-2022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44810</v>
      </c>
      <c r="E610" s="1" t="n">
        <v>46231</v>
      </c>
      <c r="F610" t="inlineStr">
        <is>
          <t>SÖDERMANLANDS LÄN</t>
        </is>
      </c>
      <c r="G610" t="inlineStr">
        <is>
          <t>NYKÖPING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43952-2022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44838</v>
      </c>
      <c r="E611" s="1" t="n">
        <v>46231</v>
      </c>
      <c r="F611" t="inlineStr">
        <is>
          <t>SÖDERMANLANDS LÄN</t>
        </is>
      </c>
      <c r="G611" t="inlineStr">
        <is>
          <t>NYKÖPING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44191-2022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46231</v>
      </c>
      <c r="F612" t="inlineStr">
        <is>
          <t>SÖDERMANLANDS LÄN</t>
        </is>
      </c>
      <c r="G612" t="inlineStr">
        <is>
          <t>NYKÖPING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46131</v>
      </c>
      <c r="E613" s="1" t="n">
        <v>46231</v>
      </c>
      <c r="F613" t="inlineStr">
        <is>
          <t>SÖDERMANLANDS LÄN</t>
        </is>
      </c>
      <c r="G613" t="inlineStr">
        <is>
          <t>NYKÖPING</t>
        </is>
      </c>
      <c r="I613" t="n">
        <v>12.4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46231</v>
      </c>
      <c r="F614" t="inlineStr">
        <is>
          <t>SÖDERMANLANDS LÄN</t>
        </is>
      </c>
      <c r="G614" t="inlineStr">
        <is>
          <t>NYKÖPING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46231</v>
      </c>
      <c r="F615" t="inlineStr">
        <is>
          <t>SÖDERMANLANDS LÄN</t>
        </is>
      </c>
      <c r="G615" t="inlineStr">
        <is>
          <t>NYKÖPING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24798-2022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44728</v>
      </c>
      <c r="E616" s="1" t="n">
        <v>46231</v>
      </c>
      <c r="F616" t="inlineStr">
        <is>
          <t>SÖDERMANLANDS LÄN</t>
        </is>
      </c>
      <c r="G616" t="inlineStr">
        <is>
          <t>NYKÖPING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46183</v>
      </c>
      <c r="E617" s="1" t="n">
        <v>46231</v>
      </c>
      <c r="F617" t="inlineStr">
        <is>
          <t>SÖDERMANLANDS LÄN</t>
        </is>
      </c>
      <c r="G617" t="inlineStr">
        <is>
          <t>NYKÖPING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46231</v>
      </c>
      <c r="F618" t="inlineStr">
        <is>
          <t>SÖDERMANLANDS LÄN</t>
        </is>
      </c>
      <c r="G618" t="inlineStr">
        <is>
          <t>NYKÖPING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45166</v>
      </c>
      <c r="E619" s="1" t="n">
        <v>46231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57324-2025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45980</v>
      </c>
      <c r="E620" s="1" t="n">
        <v>46231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46231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Sveaskog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45685</v>
      </c>
      <c r="E622" s="1" t="n">
        <v>46231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57074-2025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45979</v>
      </c>
      <c r="E623" s="1" t="n">
        <v>46231</v>
      </c>
      <c r="F623" t="inlineStr">
        <is>
          <t>SÖDERMANLANDS LÄN</t>
        </is>
      </c>
      <c r="G623" t="inlineStr">
        <is>
          <t>NYKÖPING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46231</v>
      </c>
      <c r="F624" t="inlineStr">
        <is>
          <t>SÖDERMANLANDS LÄN</t>
        </is>
      </c>
      <c r="G624" t="inlineStr">
        <is>
          <t>NYKÖPING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45685</v>
      </c>
      <c r="E625" s="1" t="n">
        <v>46231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46231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46231</v>
      </c>
      <c r="F627" t="inlineStr">
        <is>
          <t>SÖDERMANLANDS LÄN</t>
        </is>
      </c>
      <c r="G627" t="inlineStr">
        <is>
          <t>NYKÖPING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45982</v>
      </c>
      <c r="E628" s="1" t="n">
        <v>46231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44725</v>
      </c>
      <c r="E629" s="1" t="n">
        <v>46231</v>
      </c>
      <c r="F629" t="inlineStr">
        <is>
          <t>SÖDERMANLANDS LÄN</t>
        </is>
      </c>
      <c r="G629" t="inlineStr">
        <is>
          <t>NYKÖPING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26643-2026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46184</v>
      </c>
      <c r="E630" s="1" t="n">
        <v>46231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31424-2022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44774</v>
      </c>
      <c r="E631" s="1" t="n">
        <v>46231</v>
      </c>
      <c r="F631" t="inlineStr">
        <is>
          <t>SÖDERMANLANDS LÄN</t>
        </is>
      </c>
      <c r="G631" t="inlineStr">
        <is>
          <t>NYKÖPING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47370-2022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44853</v>
      </c>
      <c r="E632" s="1" t="n">
        <v>46231</v>
      </c>
      <c r="F632" t="inlineStr">
        <is>
          <t>SÖDERMANLANDS LÄN</t>
        </is>
      </c>
      <c r="G632" t="inlineStr">
        <is>
          <t>NYKÖPING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38508-2023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45162</v>
      </c>
      <c r="E633" s="1" t="n">
        <v>46231</v>
      </c>
      <c r="F633" t="inlineStr">
        <is>
          <t>SÖDERMANLANDS LÄN</t>
        </is>
      </c>
      <c r="G633" t="inlineStr">
        <is>
          <t>NYKÖPING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13455-2022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44645</v>
      </c>
      <c r="E634" s="1" t="n">
        <v>46231</v>
      </c>
      <c r="F634" t="inlineStr">
        <is>
          <t>SÖDERMANLANDS LÄN</t>
        </is>
      </c>
      <c r="G634" t="inlineStr">
        <is>
          <t>NYKÖPING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58786-2025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46231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49223-2022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44858</v>
      </c>
      <c r="E636" s="1" t="n">
        <v>46231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Övriga statliga verk och myndigheter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58788-2025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45986</v>
      </c>
      <c r="E637" s="1" t="n">
        <v>46231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46228</v>
      </c>
      <c r="E638" s="1" t="n">
        <v>46231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45222</v>
      </c>
      <c r="E639" s="1" t="n">
        <v>46231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24829-2024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45461</v>
      </c>
      <c r="E640" s="1" t="n">
        <v>46231</v>
      </c>
      <c r="F640" t="inlineStr">
        <is>
          <t>SÖDERMANLANDS LÄN</t>
        </is>
      </c>
      <c r="G640" t="inlineStr">
        <is>
          <t>NYKÖPING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35532-2022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44799</v>
      </c>
      <c r="E641" s="1" t="n">
        <v>46231</v>
      </c>
      <c r="F641" t="inlineStr">
        <is>
          <t>SÖDERMANLANDS LÄN</t>
        </is>
      </c>
      <c r="G641" t="inlineStr">
        <is>
          <t>NYKÖPING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7428-2025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45705</v>
      </c>
      <c r="E642" s="1" t="n">
        <v>46231</v>
      </c>
      <c r="F642" t="inlineStr">
        <is>
          <t>SÖDERMANLANDS LÄN</t>
        </is>
      </c>
      <c r="G642" t="inlineStr">
        <is>
          <t>NYKÖPING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8787-2025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45712</v>
      </c>
      <c r="E643" s="1" t="n">
        <v>46231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24197-2022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44725</v>
      </c>
      <c r="E644" s="1" t="n">
        <v>46231</v>
      </c>
      <c r="F644" t="inlineStr">
        <is>
          <t>SÖDERMANLANDS LÄN</t>
        </is>
      </c>
      <c r="G644" t="inlineStr">
        <is>
          <t>NYKÖPING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65231-2023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45289</v>
      </c>
      <c r="E645" s="1" t="n">
        <v>46231</v>
      </c>
      <c r="F645" t="inlineStr">
        <is>
          <t>SÖDERMANLANDS LÄN</t>
        </is>
      </c>
      <c r="G645" t="inlineStr">
        <is>
          <t>NYKÖPING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35252-2022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44798</v>
      </c>
      <c r="E646" s="1" t="n">
        <v>46231</v>
      </c>
      <c r="F646" t="inlineStr">
        <is>
          <t>SÖDERMANLANDS LÄN</t>
        </is>
      </c>
      <c r="G646" t="inlineStr">
        <is>
          <t>NYKÖPING</t>
        </is>
      </c>
      <c r="I646" t="n">
        <v>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45993</v>
      </c>
      <c r="E647" s="1" t="n">
        <v>46231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59995-2025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45993</v>
      </c>
      <c r="E648" s="1" t="n">
        <v>46231</v>
      </c>
      <c r="F648" t="inlineStr">
        <is>
          <t>SÖDERMANLANDS LÄN</t>
        </is>
      </c>
      <c r="G648" t="inlineStr">
        <is>
          <t>NYKÖPING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45993</v>
      </c>
      <c r="E649" s="1" t="n">
        <v>46231</v>
      </c>
      <c r="F649" t="inlineStr">
        <is>
          <t>SÖDERMANLANDS LÄN</t>
        </is>
      </c>
      <c r="G649" t="inlineStr">
        <is>
          <t>NYKÖPING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59992-2025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45993</v>
      </c>
      <c r="E650" s="1" t="n">
        <v>46231</v>
      </c>
      <c r="F650" t="inlineStr">
        <is>
          <t>SÖDERMANLANDS LÄN</t>
        </is>
      </c>
      <c r="G650" t="inlineStr">
        <is>
          <t>NYKÖPING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59998-2025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46231</v>
      </c>
      <c r="F651" t="inlineStr">
        <is>
          <t>SÖDERMANLANDS LÄN</t>
        </is>
      </c>
      <c r="G651" t="inlineStr">
        <is>
          <t>NYKÖPING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59917-2025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45993</v>
      </c>
      <c r="E652" s="1" t="n">
        <v>46231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30907-2022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44767</v>
      </c>
      <c r="E653" s="1" t="n">
        <v>46231</v>
      </c>
      <c r="F653" t="inlineStr">
        <is>
          <t>SÖDERMANLANDS LÄN</t>
        </is>
      </c>
      <c r="G653" t="inlineStr">
        <is>
          <t>NYKÖPING</t>
        </is>
      </c>
      <c r="I653" t="n">
        <v>9.1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45926-2022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44846</v>
      </c>
      <c r="E654" s="1" t="n">
        <v>46231</v>
      </c>
      <c r="F654" t="inlineStr">
        <is>
          <t>SÖDERMANLANDS LÄN</t>
        </is>
      </c>
      <c r="G654" t="inlineStr">
        <is>
          <t>NYKÖPING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7756-2024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45348</v>
      </c>
      <c r="E655" s="1" t="n">
        <v>46231</v>
      </c>
      <c r="F655" t="inlineStr">
        <is>
          <t>SÖDERMANLANDS LÄN</t>
        </is>
      </c>
      <c r="G655" t="inlineStr">
        <is>
          <t>NYKÖPING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45349</v>
      </c>
      <c r="E656" s="1" t="n">
        <v>46231</v>
      </c>
      <c r="F656" t="inlineStr">
        <is>
          <t>SÖDERMANLANDS LÄN</t>
        </is>
      </c>
      <c r="G656" t="inlineStr">
        <is>
          <t>NYKÖPING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7496-2022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44607</v>
      </c>
      <c r="E657" s="1" t="n">
        <v>46231</v>
      </c>
      <c r="F657" t="inlineStr">
        <is>
          <t>SÖDERMANLANDS LÄN</t>
        </is>
      </c>
      <c r="G657" t="inlineStr">
        <is>
          <t>NYKÖPING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61253-2025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45999</v>
      </c>
      <c r="E658" s="1" t="n">
        <v>46231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Allmännings- och besparingsskogar</t>
        </is>
      </c>
      <c r="I658" t="n">
        <v>13.5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37941-2022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44810</v>
      </c>
      <c r="E659" s="1" t="n">
        <v>46231</v>
      </c>
      <c r="F659" t="inlineStr">
        <is>
          <t>SÖDERMANLANDS LÄN</t>
        </is>
      </c>
      <c r="G659" t="inlineStr">
        <is>
          <t>NYKÖPING</t>
        </is>
      </c>
      <c r="I659" t="n">
        <v>13.5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45999</v>
      </c>
      <c r="E660" s="1" t="n">
        <v>46231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Allmännings- och besparingsskogar</t>
        </is>
      </c>
      <c r="I660" t="n">
        <v>10.6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46231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48459-2021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44452</v>
      </c>
      <c r="E662" s="1" t="n">
        <v>46231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62323-2025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46003</v>
      </c>
      <c r="E663" s="1" t="n">
        <v>46231</v>
      </c>
      <c r="F663" t="inlineStr">
        <is>
          <t>SÖDERMANLANDS LÄN</t>
        </is>
      </c>
      <c r="G663" t="inlineStr">
        <is>
          <t>NYKÖPING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8140-2023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44974</v>
      </c>
      <c r="E664" s="1" t="n">
        <v>46231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26561-2023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45092</v>
      </c>
      <c r="E665" s="1" t="n">
        <v>46231</v>
      </c>
      <c r="F665" t="inlineStr">
        <is>
          <t>SÖDERMANLANDS LÄN</t>
        </is>
      </c>
      <c r="G665" t="inlineStr">
        <is>
          <t>NYKÖPING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62115-2025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46006</v>
      </c>
      <c r="E666" s="1" t="n">
        <v>46231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62113-2025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46006</v>
      </c>
      <c r="E667" s="1" t="n">
        <v>46231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1930-2022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44575</v>
      </c>
      <c r="E668" s="1" t="n">
        <v>46231</v>
      </c>
      <c r="F668" t="inlineStr">
        <is>
          <t>SÖDERMANLANDS LÄN</t>
        </is>
      </c>
      <c r="G668" t="inlineStr">
        <is>
          <t>NYKÖPING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62517-2025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46007</v>
      </c>
      <c r="E669" s="1" t="n">
        <v>46231</v>
      </c>
      <c r="F669" t="inlineStr">
        <is>
          <t>SÖDERMANLANDS LÄN</t>
        </is>
      </c>
      <c r="G669" t="inlineStr">
        <is>
          <t>NYKÖPING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62948-2023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45271</v>
      </c>
      <c r="E670" s="1" t="n">
        <v>46231</v>
      </c>
      <c r="F670" t="inlineStr">
        <is>
          <t>SÖDERMANLANDS LÄN</t>
        </is>
      </c>
      <c r="G670" t="inlineStr">
        <is>
          <t>NYKÖPING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45743</v>
      </c>
      <c r="E671" s="1" t="n">
        <v>46231</v>
      </c>
      <c r="F671" t="inlineStr">
        <is>
          <t>SÖDERMANLANDS LÄN</t>
        </is>
      </c>
      <c r="G671" t="inlineStr">
        <is>
          <t>NYKÖPING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62492-2025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46231</v>
      </c>
      <c r="F672" t="inlineStr">
        <is>
          <t>SÖDERMANLANDS LÄN</t>
        </is>
      </c>
      <c r="G672" t="inlineStr">
        <is>
          <t>NYKÖPING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62491-2025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46007</v>
      </c>
      <c r="E673" s="1" t="n">
        <v>46231</v>
      </c>
      <c r="F673" t="inlineStr">
        <is>
          <t>SÖDERMANLANDS LÄN</t>
        </is>
      </c>
      <c r="G673" t="inlineStr">
        <is>
          <t>NYKÖPING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32594-2022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44783</v>
      </c>
      <c r="E674" s="1" t="n">
        <v>46231</v>
      </c>
      <c r="F674" t="inlineStr">
        <is>
          <t>SÖDERMANLANDS LÄN</t>
        </is>
      </c>
      <c r="G674" t="inlineStr">
        <is>
          <t>NYKÖPING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63293-2025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46010</v>
      </c>
      <c r="E675" s="1" t="n">
        <v>46231</v>
      </c>
      <c r="F675" t="inlineStr">
        <is>
          <t>SÖDERMANLANDS LÄN</t>
        </is>
      </c>
      <c r="G675" t="inlineStr">
        <is>
          <t>NYKÖPING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63882-2023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46231</v>
      </c>
      <c r="F676" t="inlineStr">
        <is>
          <t>SÖDERMANLANDS LÄN</t>
        </is>
      </c>
      <c r="G676" t="inlineStr">
        <is>
          <t>NYKÖPING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63246-2025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46010</v>
      </c>
      <c r="E677" s="1" t="n">
        <v>46231</v>
      </c>
      <c r="F677" t="inlineStr">
        <is>
          <t>SÖDERMANLANDS LÄN</t>
        </is>
      </c>
      <c r="G677" t="inlineStr">
        <is>
          <t>NYKÖPING</t>
        </is>
      </c>
      <c r="I677" t="n">
        <v>7.9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62917-2025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46231</v>
      </c>
      <c r="F678" t="inlineStr">
        <is>
          <t>SÖDERMANLANDS LÄN</t>
        </is>
      </c>
      <c r="G678" t="inlineStr">
        <is>
          <t>NYKÖPING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63322-2025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46010</v>
      </c>
      <c r="E679" s="1" t="n">
        <v>46231</v>
      </c>
      <c r="F679" t="inlineStr">
        <is>
          <t>SÖDERMANLANDS LÄN</t>
        </is>
      </c>
      <c r="G679" t="inlineStr">
        <is>
          <t>NYKÖPING</t>
        </is>
      </c>
      <c r="I679" t="n">
        <v>21.2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9913-2022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44620</v>
      </c>
      <c r="E680" s="1" t="n">
        <v>46231</v>
      </c>
      <c r="F680" t="inlineStr">
        <is>
          <t>SÖDERMANLANDS LÄN</t>
        </is>
      </c>
      <c r="G680" t="inlineStr">
        <is>
          <t>NYKÖPING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46231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Övriga Aktiebolag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57028-2024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45628</v>
      </c>
      <c r="E682" s="1" t="n">
        <v>46231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20131-2022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44698</v>
      </c>
      <c r="E683" s="1" t="n">
        <v>46231</v>
      </c>
      <c r="F683" t="inlineStr">
        <is>
          <t>SÖDERMANLANDS LÄN</t>
        </is>
      </c>
      <c r="G683" t="inlineStr">
        <is>
          <t>NYKÖPING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71555-2021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44540</v>
      </c>
      <c r="E684" s="1" t="n">
        <v>46231</v>
      </c>
      <c r="F684" t="inlineStr">
        <is>
          <t>SÖDERMANLANDS LÄN</t>
        </is>
      </c>
      <c r="G684" t="inlineStr">
        <is>
          <t>NYKÖPING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6976-2023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44967</v>
      </c>
      <c r="E685" s="1" t="n">
        <v>46231</v>
      </c>
      <c r="F685" t="inlineStr">
        <is>
          <t>SÖDERMANLANDS LÄN</t>
        </is>
      </c>
      <c r="G685" t="inlineStr">
        <is>
          <t>NYKÖPING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42246-2022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44830</v>
      </c>
      <c r="E686" s="1" t="n">
        <v>46231</v>
      </c>
      <c r="F686" t="inlineStr">
        <is>
          <t>SÖDERMANLANDS LÄN</t>
        </is>
      </c>
      <c r="G686" t="inlineStr">
        <is>
          <t>NYKÖPING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34218-2024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45524</v>
      </c>
      <c r="E687" s="1" t="n">
        <v>46231</v>
      </c>
      <c r="F687" t="inlineStr">
        <is>
          <t>SÖDERMANLANDS LÄN</t>
        </is>
      </c>
      <c r="G687" t="inlineStr">
        <is>
          <t>NYKÖPING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55506-2021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44475</v>
      </c>
      <c r="E688" s="1" t="n">
        <v>46231</v>
      </c>
      <c r="F688" t="inlineStr">
        <is>
          <t>SÖDERMANLANDS LÄN</t>
        </is>
      </c>
      <c r="G688" t="inlineStr">
        <is>
          <t>NYKÖPING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4406-2024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45327</v>
      </c>
      <c r="E689" s="1" t="n">
        <v>46231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46231</v>
      </c>
      <c r="F690" t="inlineStr">
        <is>
          <t>SÖDERMANLANDS LÄN</t>
        </is>
      </c>
      <c r="G690" t="inlineStr">
        <is>
          <t>NYKÖPING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7223-2023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44970</v>
      </c>
      <c r="E691" s="1" t="n">
        <v>46231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33863-2022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44790</v>
      </c>
      <c r="E692" s="1" t="n">
        <v>46231</v>
      </c>
      <c r="F692" t="inlineStr">
        <is>
          <t>SÖDERMANLANDS LÄN</t>
        </is>
      </c>
      <c r="G692" t="inlineStr">
        <is>
          <t>NYKÖPING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53738-2022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44880</v>
      </c>
      <c r="E693" s="1" t="n">
        <v>46231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Övriga Aktiebolag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13963-2022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44650</v>
      </c>
      <c r="E694" s="1" t="n">
        <v>46231</v>
      </c>
      <c r="F694" t="inlineStr">
        <is>
          <t>SÖDERMANLANDS LÄN</t>
        </is>
      </c>
      <c r="G694" t="inlineStr">
        <is>
          <t>NYKÖPING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43581-2022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44837</v>
      </c>
      <c r="E695" s="1" t="n">
        <v>46231</v>
      </c>
      <c r="F695" t="inlineStr">
        <is>
          <t>SÖDERMANLANDS LÄN</t>
        </is>
      </c>
      <c r="G695" t="inlineStr">
        <is>
          <t>NYKÖPING</t>
        </is>
      </c>
      <c r="I695" t="n">
        <v>7.8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53569-2022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44879</v>
      </c>
      <c r="E696" s="1" t="n">
        <v>46231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Övriga Aktiebolag</t>
        </is>
      </c>
      <c r="I696" t="n">
        <v>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53413-2022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44879</v>
      </c>
      <c r="E697" s="1" t="n">
        <v>46231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Övriga Aktiebolag</t>
        </is>
      </c>
      <c r="I697" t="n">
        <v>8.800000000000001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40291-2021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44419</v>
      </c>
      <c r="E698" s="1" t="n">
        <v>46231</v>
      </c>
      <c r="F698" t="inlineStr">
        <is>
          <t>SÖDERMANLANDS LÄN</t>
        </is>
      </c>
      <c r="G698" t="inlineStr">
        <is>
          <t>NYKÖPING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12800-2023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45001</v>
      </c>
      <c r="E699" s="1" t="n">
        <v>46231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Kyrkan</t>
        </is>
      </c>
      <c r="I699" t="n">
        <v>5.6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46231</v>
      </c>
      <c r="F700" t="inlineStr">
        <is>
          <t>SÖDERMANLANDS LÄN</t>
        </is>
      </c>
      <c r="G700" t="inlineStr">
        <is>
          <t>NYKÖPING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61618-2022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44916</v>
      </c>
      <c r="E701" s="1" t="n">
        <v>46231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15397-2023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45019</v>
      </c>
      <c r="E702" s="1" t="n">
        <v>46231</v>
      </c>
      <c r="F702" t="inlineStr">
        <is>
          <t>SÖDERMANLANDS LÄN</t>
        </is>
      </c>
      <c r="G702" t="inlineStr">
        <is>
          <t>NYKÖPING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38410-2022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44812</v>
      </c>
      <c r="E703" s="1" t="n">
        <v>46231</v>
      </c>
      <c r="F703" t="inlineStr">
        <is>
          <t>SÖDERMANLANDS LÄN</t>
        </is>
      </c>
      <c r="G703" t="inlineStr">
        <is>
          <t>NYKÖPING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44960</v>
      </c>
      <c r="E704" s="1" t="n">
        <v>46231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1739-2023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44938</v>
      </c>
      <c r="E705" s="1" t="n">
        <v>46231</v>
      </c>
      <c r="F705" t="inlineStr">
        <is>
          <t>SÖDERMANLANDS LÄN</t>
        </is>
      </c>
      <c r="G705" t="inlineStr">
        <is>
          <t>NYKÖPING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23114-2023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46231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72985-2021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44549</v>
      </c>
      <c r="E707" s="1" t="n">
        <v>46231</v>
      </c>
      <c r="F707" t="inlineStr">
        <is>
          <t>SÖDERMANLANDS LÄN</t>
        </is>
      </c>
      <c r="G707" t="inlineStr">
        <is>
          <t>NYKÖPING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8407-2023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44977</v>
      </c>
      <c r="E708" s="1" t="n">
        <v>46231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Övriga Aktiebolag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44869</v>
      </c>
      <c r="E709" s="1" t="n">
        <v>46231</v>
      </c>
      <c r="F709" t="inlineStr">
        <is>
          <t>SÖDERMANLANDS LÄN</t>
        </is>
      </c>
      <c r="G709" t="inlineStr">
        <is>
          <t>NYKÖPING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39310-2023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46231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4854-2023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44957</v>
      </c>
      <c r="E711" s="1" t="n">
        <v>46231</v>
      </c>
      <c r="F711" t="inlineStr">
        <is>
          <t>SÖDERMANLANDS LÄN</t>
        </is>
      </c>
      <c r="G711" t="inlineStr">
        <is>
          <t>NYKÖPING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21257-2023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45062</v>
      </c>
      <c r="E712" s="1" t="n">
        <v>46231</v>
      </c>
      <c r="F712" t="inlineStr">
        <is>
          <t>SÖDERMANLANDS LÄN</t>
        </is>
      </c>
      <c r="G712" t="inlineStr">
        <is>
          <t>NYKÖPING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11068-2024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45370</v>
      </c>
      <c r="E713" s="1" t="n">
        <v>46231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Kommuner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46575-2021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44445</v>
      </c>
      <c r="E714" s="1" t="n">
        <v>46231</v>
      </c>
      <c r="F714" t="inlineStr">
        <is>
          <t>SÖDERMANLANDS LÄN</t>
        </is>
      </c>
      <c r="G714" t="inlineStr">
        <is>
          <t>NYKÖPING</t>
        </is>
      </c>
      <c r="I714" t="n">
        <v>19.1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51556-2024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45604</v>
      </c>
      <c r="E715" s="1" t="n">
        <v>46231</v>
      </c>
      <c r="F715" t="inlineStr">
        <is>
          <t>SÖDERMANLANDS LÄN</t>
        </is>
      </c>
      <c r="G715" t="inlineStr">
        <is>
          <t>NYKÖPING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44946</v>
      </c>
      <c r="E716" s="1" t="n">
        <v>46231</v>
      </c>
      <c r="F716" t="inlineStr">
        <is>
          <t>SÖDERMANLANDS LÄN</t>
        </is>
      </c>
      <c r="G716" t="inlineStr">
        <is>
          <t>NYKÖPING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45424</v>
      </c>
      <c r="E717" s="1" t="n">
        <v>46231</v>
      </c>
      <c r="F717" t="inlineStr">
        <is>
          <t>SÖDERMANLANDS LÄN</t>
        </is>
      </c>
      <c r="G717" t="inlineStr">
        <is>
          <t>NYKÖPING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44959</v>
      </c>
      <c r="E718" s="1" t="n">
        <v>46231</v>
      </c>
      <c r="F718" t="inlineStr">
        <is>
          <t>SÖDERMANLANDS LÄN</t>
        </is>
      </c>
      <c r="G718" t="inlineStr">
        <is>
          <t>NYKÖPING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42858-2021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44430</v>
      </c>
      <c r="E719" s="1" t="n">
        <v>46231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49942-2022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44865</v>
      </c>
      <c r="E720" s="1" t="n">
        <v>46231</v>
      </c>
      <c r="F720" t="inlineStr">
        <is>
          <t>SÖDERMANLANDS LÄN</t>
        </is>
      </c>
      <c r="G720" t="inlineStr">
        <is>
          <t>NYKÖPING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51880-2023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45216</v>
      </c>
      <c r="E721" s="1" t="n">
        <v>46231</v>
      </c>
      <c r="F721" t="inlineStr">
        <is>
          <t>SÖDERMANLANDS LÄN</t>
        </is>
      </c>
      <c r="G721" t="inlineStr">
        <is>
          <t>NYKÖPING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53374-2021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44468</v>
      </c>
      <c r="E722" s="1" t="n">
        <v>46231</v>
      </c>
      <c r="F722" t="inlineStr">
        <is>
          <t>SÖDERMANLANDS LÄN</t>
        </is>
      </c>
      <c r="G722" t="inlineStr">
        <is>
          <t>NYKÖPING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72666-2021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44546</v>
      </c>
      <c r="E723" s="1" t="n">
        <v>46231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44968</v>
      </c>
      <c r="E724" s="1" t="n">
        <v>46231</v>
      </c>
      <c r="F724" t="inlineStr">
        <is>
          <t>SÖDERMANLANDS LÄN</t>
        </is>
      </c>
      <c r="G724" t="inlineStr">
        <is>
          <t>NYKÖPING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5485-2023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44960</v>
      </c>
      <c r="E725" s="1" t="n">
        <v>46231</v>
      </c>
      <c r="F725" t="inlineStr">
        <is>
          <t>SÖDERMANLANDS LÄN</t>
        </is>
      </c>
      <c r="G725" t="inlineStr">
        <is>
          <t>NYKÖPING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46231</v>
      </c>
      <c r="F726" t="inlineStr">
        <is>
          <t>SÖDERMANLANDS LÄN</t>
        </is>
      </c>
      <c r="G726" t="inlineStr">
        <is>
          <t>NYKÖPING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45166</v>
      </c>
      <c r="E727" s="1" t="n">
        <v>46231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27563-2024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45474</v>
      </c>
      <c r="E728" s="1" t="n">
        <v>46231</v>
      </c>
      <c r="F728" t="inlineStr">
        <is>
          <t>SÖDERMANLANDS LÄN</t>
        </is>
      </c>
      <c r="G728" t="inlineStr">
        <is>
          <t>NYKÖPING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72117-2021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44543</v>
      </c>
      <c r="E729" s="1" t="n">
        <v>46231</v>
      </c>
      <c r="F729" t="inlineStr">
        <is>
          <t>SÖDERMANLANDS LÄN</t>
        </is>
      </c>
      <c r="G729" t="inlineStr">
        <is>
          <t>NYKÖPING</t>
        </is>
      </c>
      <c r="I729" t="n">
        <v>14.9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50776-2022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44867</v>
      </c>
      <c r="E730" s="1" t="n">
        <v>46231</v>
      </c>
      <c r="F730" t="inlineStr">
        <is>
          <t>SÖDERMANLANDS LÄN</t>
        </is>
      </c>
      <c r="G730" t="inlineStr">
        <is>
          <t>NYKÖPING</t>
        </is>
      </c>
      <c r="I730" t="n">
        <v>13.4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9469-2022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44616</v>
      </c>
      <c r="E731" s="1" t="n">
        <v>46231</v>
      </c>
      <c r="F731" t="inlineStr">
        <is>
          <t>SÖDERMANLANDS LÄN</t>
        </is>
      </c>
      <c r="G731" t="inlineStr">
        <is>
          <t>NYKÖPING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28973-2023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45096</v>
      </c>
      <c r="E732" s="1" t="n">
        <v>46231</v>
      </c>
      <c r="F732" t="inlineStr">
        <is>
          <t>SÖDERMANLANDS LÄN</t>
        </is>
      </c>
      <c r="G732" t="inlineStr">
        <is>
          <t>NYKÖPING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27915-2023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45098</v>
      </c>
      <c r="E733" s="1" t="n">
        <v>46231</v>
      </c>
      <c r="F733" t="inlineStr">
        <is>
          <t>SÖDERMANLANDS LÄN</t>
        </is>
      </c>
      <c r="G733" t="inlineStr">
        <is>
          <t>NYKÖPING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27933-2023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45098</v>
      </c>
      <c r="E734" s="1" t="n">
        <v>46231</v>
      </c>
      <c r="F734" t="inlineStr">
        <is>
          <t>SÖDERMANLANDS LÄN</t>
        </is>
      </c>
      <c r="G734" t="inlineStr">
        <is>
          <t>NYKÖPING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27944-2023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45098</v>
      </c>
      <c r="E735" s="1" t="n">
        <v>46231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45029</v>
      </c>
      <c r="E736" s="1" t="n">
        <v>46231</v>
      </c>
      <c r="F736" t="inlineStr">
        <is>
          <t>SÖDERMANLANDS LÄN</t>
        </is>
      </c>
      <c r="G736" t="inlineStr">
        <is>
          <t>NYKÖPING</t>
        </is>
      </c>
      <c r="I736" t="n">
        <v>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67736-2021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44525</v>
      </c>
      <c r="E737" s="1" t="n">
        <v>46231</v>
      </c>
      <c r="F737" t="inlineStr">
        <is>
          <t>SÖDERMANLANDS LÄN</t>
        </is>
      </c>
      <c r="G737" t="inlineStr">
        <is>
          <t>NYKÖPING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51410-2022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44869</v>
      </c>
      <c r="E738" s="1" t="n">
        <v>46231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45034</v>
      </c>
      <c r="E739" s="1" t="n">
        <v>46231</v>
      </c>
      <c r="F739" t="inlineStr">
        <is>
          <t>SÖDERMANLANDS LÄN</t>
        </is>
      </c>
      <c r="G739" t="inlineStr">
        <is>
          <t>NYKÖPING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8340-2023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44976</v>
      </c>
      <c r="E740" s="1" t="n">
        <v>46231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6125-2023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44964</v>
      </c>
      <c r="E741" s="1" t="n">
        <v>46231</v>
      </c>
      <c r="F741" t="inlineStr">
        <is>
          <t>SÖDERMANLANDS LÄN</t>
        </is>
      </c>
      <c r="G741" t="inlineStr">
        <is>
          <t>NYKÖPING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64159-2021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44510</v>
      </c>
      <c r="E742" s="1" t="n">
        <v>46231</v>
      </c>
      <c r="F742" t="inlineStr">
        <is>
          <t>SÖDERMANLANDS LÄN</t>
        </is>
      </c>
      <c r="G742" t="inlineStr">
        <is>
          <t>NYKÖPING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45160</v>
      </c>
      <c r="E743" s="1" t="n">
        <v>46231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Kommuner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38063-2023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45160</v>
      </c>
      <c r="E744" s="1" t="n">
        <v>46231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43657-2022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44837</v>
      </c>
      <c r="E745" s="1" t="n">
        <v>46231</v>
      </c>
      <c r="F745" t="inlineStr">
        <is>
          <t>SÖDERMANLANDS LÄN</t>
        </is>
      </c>
      <c r="G745" t="inlineStr">
        <is>
          <t>NYKÖPING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42368-2024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45564</v>
      </c>
      <c r="E746" s="1" t="n">
        <v>46231</v>
      </c>
      <c r="F746" t="inlineStr">
        <is>
          <t>SÖDERMANLANDS LÄN</t>
        </is>
      </c>
      <c r="G746" t="inlineStr">
        <is>
          <t>NYKÖPING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12153-2025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45729</v>
      </c>
      <c r="E747" s="1" t="n">
        <v>46231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44938</v>
      </c>
      <c r="E748" s="1" t="n">
        <v>46231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8573-2023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44977</v>
      </c>
      <c r="E749" s="1" t="n">
        <v>46231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Övriga Aktiebolag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64099-2021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44509</v>
      </c>
      <c r="E750" s="1" t="n">
        <v>46231</v>
      </c>
      <c r="F750" t="inlineStr">
        <is>
          <t>SÖDERMANLANDS LÄN</t>
        </is>
      </c>
      <c r="G750" t="inlineStr">
        <is>
          <t>NYKÖPING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57836-2023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45247</v>
      </c>
      <c r="E751" s="1" t="n">
        <v>46231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Övriga Aktiebolag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20985-2023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45061</v>
      </c>
      <c r="E752" s="1" t="n">
        <v>46231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44579</v>
      </c>
      <c r="E753" s="1" t="n">
        <v>46231</v>
      </c>
      <c r="F753" t="inlineStr">
        <is>
          <t>SÖDERMANLANDS LÄN</t>
        </is>
      </c>
      <c r="G753" t="inlineStr">
        <is>
          <t>NYKÖPING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44579</v>
      </c>
      <c r="E754" s="1" t="n">
        <v>46231</v>
      </c>
      <c r="F754" t="inlineStr">
        <is>
          <t>SÖDERMANLANDS LÄN</t>
        </is>
      </c>
      <c r="G754" t="inlineStr">
        <is>
          <t>NYKÖPING</t>
        </is>
      </c>
      <c r="I754" t="n">
        <v>6.7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10981-2024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45370</v>
      </c>
      <c r="E755" s="1" t="n">
        <v>46231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44579</v>
      </c>
      <c r="E756" s="1" t="n">
        <v>46231</v>
      </c>
      <c r="F756" t="inlineStr">
        <is>
          <t>SÖDERMANLANDS LÄN</t>
        </is>
      </c>
      <c r="G756" t="inlineStr">
        <is>
          <t>NYKÖPING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38846-2023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45163</v>
      </c>
      <c r="E757" s="1" t="n">
        <v>46231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44578</v>
      </c>
      <c r="E758" s="1" t="n">
        <v>46231</v>
      </c>
      <c r="F758" t="inlineStr">
        <is>
          <t>SÖDERMANLANDS LÄN</t>
        </is>
      </c>
      <c r="G758" t="inlineStr">
        <is>
          <t>NYKÖPING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33653-2024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45520</v>
      </c>
      <c r="E759" s="1" t="n">
        <v>46231</v>
      </c>
      <c r="F759" t="inlineStr">
        <is>
          <t>SÖDERMANLANDS LÄN</t>
        </is>
      </c>
      <c r="G759" t="inlineStr">
        <is>
          <t>NYKÖPING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21249-2023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45062</v>
      </c>
      <c r="E760" s="1" t="n">
        <v>46231</v>
      </c>
      <c r="F760" t="inlineStr">
        <is>
          <t>SÖDERMANLANDS LÄN</t>
        </is>
      </c>
      <c r="G760" t="inlineStr">
        <is>
          <t>NYKÖPING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45282-2022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44844</v>
      </c>
      <c r="E761" s="1" t="n">
        <v>46231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35020-2023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45143</v>
      </c>
      <c r="E762" s="1" t="n">
        <v>46231</v>
      </c>
      <c r="F762" t="inlineStr">
        <is>
          <t>SÖDERMANLANDS LÄN</t>
        </is>
      </c>
      <c r="G762" t="inlineStr">
        <is>
          <t>NYKÖPING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24285-2022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44725</v>
      </c>
      <c r="E763" s="1" t="n">
        <v>46231</v>
      </c>
      <c r="F763" t="inlineStr">
        <is>
          <t>SÖDERMANLANDS LÄN</t>
        </is>
      </c>
      <c r="G763" t="inlineStr">
        <is>
          <t>NYKÖPING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14848-2024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45398</v>
      </c>
      <c r="E764" s="1" t="n">
        <v>46231</v>
      </c>
      <c r="F764" t="inlineStr">
        <is>
          <t>SÖDERMANLANDS LÄN</t>
        </is>
      </c>
      <c r="G764" t="inlineStr">
        <is>
          <t>NYKÖPING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45667</v>
      </c>
      <c r="E765" s="1" t="n">
        <v>46231</v>
      </c>
      <c r="F765" t="inlineStr">
        <is>
          <t>SÖDERMANLANDS LÄN</t>
        </is>
      </c>
      <c r="G765" t="inlineStr">
        <is>
          <t>NYKÖPING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16881-2024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45410</v>
      </c>
      <c r="E766" s="1" t="n">
        <v>46231</v>
      </c>
      <c r="F766" t="inlineStr">
        <is>
          <t>SÖDERMANLANDS LÄN</t>
        </is>
      </c>
      <c r="G766" t="inlineStr">
        <is>
          <t>NYKÖPING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57621-2024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45630</v>
      </c>
      <c r="E767" s="1" t="n">
        <v>46231</v>
      </c>
      <c r="F767" t="inlineStr">
        <is>
          <t>SÖDERMANLANDS LÄN</t>
        </is>
      </c>
      <c r="G767" t="inlineStr">
        <is>
          <t>NYKÖPING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45310</v>
      </c>
      <c r="E768" s="1" t="n">
        <v>46231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31401-2022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44774</v>
      </c>
      <c r="E769" s="1" t="n">
        <v>46231</v>
      </c>
      <c r="F769" t="inlineStr">
        <is>
          <t>SÖDERMANLANDS LÄN</t>
        </is>
      </c>
      <c r="G769" t="inlineStr">
        <is>
          <t>NYKÖPING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7036-2023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44968</v>
      </c>
      <c r="E770" s="1" t="n">
        <v>46231</v>
      </c>
      <c r="F770" t="inlineStr">
        <is>
          <t>SÖDERMANLANDS LÄN</t>
        </is>
      </c>
      <c r="G770" t="inlineStr">
        <is>
          <t>NYKÖPING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18604-2023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45043</v>
      </c>
      <c r="E771" s="1" t="n">
        <v>46231</v>
      </c>
      <c r="F771" t="inlineStr">
        <is>
          <t>SÖDERMANLANDS LÄN</t>
        </is>
      </c>
      <c r="G771" t="inlineStr">
        <is>
          <t>NYKÖPING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53800-2022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44880</v>
      </c>
      <c r="E772" s="1" t="n">
        <v>46231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45364</v>
      </c>
      <c r="E773" s="1" t="n">
        <v>46231</v>
      </c>
      <c r="F773" t="inlineStr">
        <is>
          <t>SÖDERMANLANDS LÄN</t>
        </is>
      </c>
      <c r="G773" t="inlineStr">
        <is>
          <t>NYKÖPING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54183-2022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44881</v>
      </c>
      <c r="E774" s="1" t="n">
        <v>46231</v>
      </c>
      <c r="F774" t="inlineStr">
        <is>
          <t>SÖDERMANLANDS LÄN</t>
        </is>
      </c>
      <c r="G774" t="inlineStr">
        <is>
          <t>NYKÖPING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18478-2025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45762</v>
      </c>
      <c r="E775" s="1" t="n">
        <v>46231</v>
      </c>
      <c r="F775" t="inlineStr">
        <is>
          <t>SÖDERMANLANDS LÄN</t>
        </is>
      </c>
      <c r="G775" t="inlineStr">
        <is>
          <t>NYKÖPING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36000-2023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45148</v>
      </c>
      <c r="E776" s="1" t="n">
        <v>46231</v>
      </c>
      <c r="F776" t="inlineStr">
        <is>
          <t>SÖDERMANLANDS LÄN</t>
        </is>
      </c>
      <c r="G776" t="inlineStr">
        <is>
          <t>NYKÖPING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32875-2022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44784</v>
      </c>
      <c r="E777" s="1" t="n">
        <v>46231</v>
      </c>
      <c r="F777" t="inlineStr">
        <is>
          <t>SÖDERMANLANDS LÄN</t>
        </is>
      </c>
      <c r="G777" t="inlineStr">
        <is>
          <t>NYKÖPING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21137-2023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45062</v>
      </c>
      <c r="E778" s="1" t="n">
        <v>46231</v>
      </c>
      <c r="F778" t="inlineStr">
        <is>
          <t>SÖDERMANLANDS LÄN</t>
        </is>
      </c>
      <c r="G778" t="inlineStr">
        <is>
          <t>NYKÖPING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10639-2025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45721</v>
      </c>
      <c r="E779" s="1" t="n">
        <v>46231</v>
      </c>
      <c r="F779" t="inlineStr">
        <is>
          <t>SÖDERMANLANDS LÄN</t>
        </is>
      </c>
      <c r="G779" t="inlineStr">
        <is>
          <t>NYKÖPING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926-2023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44932</v>
      </c>
      <c r="E780" s="1" t="n">
        <v>46231</v>
      </c>
      <c r="F780" t="inlineStr">
        <is>
          <t>SÖDERMANLANDS LÄN</t>
        </is>
      </c>
      <c r="G780" t="inlineStr">
        <is>
          <t>NYKÖPING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44932</v>
      </c>
      <c r="E781" s="1" t="n">
        <v>46231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2368-2023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44942</v>
      </c>
      <c r="E782" s="1" t="n">
        <v>46231</v>
      </c>
      <c r="F782" t="inlineStr">
        <is>
          <t>SÖDERMANLANDS LÄN</t>
        </is>
      </c>
      <c r="G782" t="inlineStr">
        <is>
          <t>NYKÖPING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41288-2023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45174</v>
      </c>
      <c r="E783" s="1" t="n">
        <v>46231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31392-2022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44774</v>
      </c>
      <c r="E784" s="1" t="n">
        <v>46231</v>
      </c>
      <c r="F784" t="inlineStr">
        <is>
          <t>SÖDERMANLANDS LÄN</t>
        </is>
      </c>
      <c r="G784" t="inlineStr">
        <is>
          <t>NYKÖPING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42251-2022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44830</v>
      </c>
      <c r="E785" s="1" t="n">
        <v>46231</v>
      </c>
      <c r="F785" t="inlineStr">
        <is>
          <t>SÖDERMANLANDS LÄN</t>
        </is>
      </c>
      <c r="G785" t="inlineStr">
        <is>
          <t>NYKÖPING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44965</v>
      </c>
      <c r="E786" s="1" t="n">
        <v>46231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Kyrkan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37361-2024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45540</v>
      </c>
      <c r="E787" s="1" t="n">
        <v>46231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Holmen skog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12139-2025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45729</v>
      </c>
      <c r="E788" s="1" t="n">
        <v>46231</v>
      </c>
      <c r="F788" t="inlineStr">
        <is>
          <t>SÖDERMANLANDS LÄN</t>
        </is>
      </c>
      <c r="G788" t="inlineStr">
        <is>
          <t>NYKÖPING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12140-2025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45729</v>
      </c>
      <c r="E789" s="1" t="n">
        <v>46231</v>
      </c>
      <c r="F789" t="inlineStr">
        <is>
          <t>SÖDERMANLANDS LÄN</t>
        </is>
      </c>
      <c r="G789" t="inlineStr">
        <is>
          <t>NYKÖPING</t>
        </is>
      </c>
      <c r="I789" t="n">
        <v>6.3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62432-2023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45268</v>
      </c>
      <c r="E790" s="1" t="n">
        <v>46231</v>
      </c>
      <c r="F790" t="inlineStr">
        <is>
          <t>SÖDERMANLANDS LÄN</t>
        </is>
      </c>
      <c r="G790" t="inlineStr">
        <is>
          <t>NYKÖPING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65174-2023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45288</v>
      </c>
      <c r="E791" s="1" t="n">
        <v>46231</v>
      </c>
      <c r="F791" t="inlineStr">
        <is>
          <t>SÖDERMANLANDS LÄN</t>
        </is>
      </c>
      <c r="G791" t="inlineStr">
        <is>
          <t>NYKÖPING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68500-2021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44529</v>
      </c>
      <c r="E792" s="1" t="n">
        <v>46231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Övriga Aktiebolag</t>
        </is>
      </c>
      <c r="I792" t="n">
        <v>13.1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39429-2021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44414</v>
      </c>
      <c r="E793" s="1" t="n">
        <v>46231</v>
      </c>
      <c r="F793" t="inlineStr">
        <is>
          <t>SÖDERMANLANDS LÄN</t>
        </is>
      </c>
      <c r="G793" t="inlineStr">
        <is>
          <t>NYKÖPING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42856-2021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44430</v>
      </c>
      <c r="E794" s="1" t="n">
        <v>46231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12826-2024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45384</v>
      </c>
      <c r="E795" s="1" t="n">
        <v>46231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29551-2023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45106</v>
      </c>
      <c r="E796" s="1" t="n">
        <v>46231</v>
      </c>
      <c r="F796" t="inlineStr">
        <is>
          <t>SÖDERMANLANDS LÄN</t>
        </is>
      </c>
      <c r="G796" t="inlineStr">
        <is>
          <t>NYKÖPING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1558-2024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45306</v>
      </c>
      <c r="E797" s="1" t="n">
        <v>46231</v>
      </c>
      <c r="F797" t="inlineStr">
        <is>
          <t>SÖDERMANLANDS LÄN</t>
        </is>
      </c>
      <c r="G797" t="inlineStr">
        <is>
          <t>NYKÖPING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51259-2024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45603</v>
      </c>
      <c r="E798" s="1" t="n">
        <v>46231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Sveaskog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45443</v>
      </c>
      <c r="E799" s="1" t="n">
        <v>46231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18525-2024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45424</v>
      </c>
      <c r="E800" s="1" t="n">
        <v>46231</v>
      </c>
      <c r="F800" t="inlineStr">
        <is>
          <t>SÖDERMANLANDS LÄN</t>
        </is>
      </c>
      <c r="G800" t="inlineStr">
        <is>
          <t>NYKÖPING</t>
        </is>
      </c>
      <c r="I800" t="n">
        <v>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3571-2023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44950</v>
      </c>
      <c r="E801" s="1" t="n">
        <v>46231</v>
      </c>
      <c r="F801" t="inlineStr">
        <is>
          <t>SÖDERMANLANDS LÄN</t>
        </is>
      </c>
      <c r="G801" t="inlineStr">
        <is>
          <t>NYKÖPING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8324-2024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46231</v>
      </c>
      <c r="F802" t="inlineStr">
        <is>
          <t>SÖDERMANLANDS LÄN</t>
        </is>
      </c>
      <c r="G802" t="inlineStr">
        <is>
          <t>NYKÖPING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45315</v>
      </c>
      <c r="E803" s="1" t="n">
        <v>46231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Kyrkan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44824-2023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45190</v>
      </c>
      <c r="E804" s="1" t="n">
        <v>46231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44968</v>
      </c>
      <c r="E805" s="1" t="n">
        <v>46231</v>
      </c>
      <c r="F805" t="inlineStr">
        <is>
          <t>SÖDERMANLANDS LÄN</t>
        </is>
      </c>
      <c r="G805" t="inlineStr">
        <is>
          <t>NYKÖPING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20482-2025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45775</v>
      </c>
      <c r="E806" s="1" t="n">
        <v>46231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Kommuner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58553-2024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45635</v>
      </c>
      <c r="E807" s="1" t="n">
        <v>46231</v>
      </c>
      <c r="F807" t="inlineStr">
        <is>
          <t>SÖDERMANLANDS LÄN</t>
        </is>
      </c>
      <c r="G807" t="inlineStr">
        <is>
          <t>NYKÖPING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34203-2024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45524</v>
      </c>
      <c r="E808" s="1" t="n">
        <v>46231</v>
      </c>
      <c r="F808" t="inlineStr">
        <is>
          <t>SÖDERMANLANDS LÄN</t>
        </is>
      </c>
      <c r="G808" t="inlineStr">
        <is>
          <t>NYKÖPING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59148-2024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46231</v>
      </c>
      <c r="F809" t="inlineStr">
        <is>
          <t>SÖDERMANLANDS LÄN</t>
        </is>
      </c>
      <c r="G809" t="inlineStr">
        <is>
          <t>NYKÖPING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42977-2021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44430</v>
      </c>
      <c r="E810" s="1" t="n">
        <v>46231</v>
      </c>
      <c r="F810" t="inlineStr">
        <is>
          <t>SÖDERMANLANDS LÄN</t>
        </is>
      </c>
      <c r="G810" t="inlineStr">
        <is>
          <t>NYKÖPING</t>
        </is>
      </c>
      <c r="I810" t="n">
        <v>25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53071-2024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45611</v>
      </c>
      <c r="E811" s="1" t="n">
        <v>46231</v>
      </c>
      <c r="F811" t="inlineStr">
        <is>
          <t>SÖDERMANLANDS LÄN</t>
        </is>
      </c>
      <c r="G811" t="inlineStr">
        <is>
          <t>NYKÖPING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1999-2020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44092</v>
      </c>
      <c r="E812" s="1" t="n">
        <v>46231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Kommuner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1573-2020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44013</v>
      </c>
      <c r="E813" s="1" t="n">
        <v>46231</v>
      </c>
      <c r="F813" t="inlineStr">
        <is>
          <t>SÖDERMANLANDS LÄN</t>
        </is>
      </c>
      <c r="G813" t="inlineStr">
        <is>
          <t>NYKÖPING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2311-2022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44684</v>
      </c>
      <c r="E814" s="1" t="n">
        <v>46231</v>
      </c>
      <c r="F814" t="inlineStr">
        <is>
          <t>SÖDERMANLANDS LÄN</t>
        </is>
      </c>
      <c r="G814" t="inlineStr">
        <is>
          <t>NYKÖPING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3579-2022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44735</v>
      </c>
      <c r="E815" s="1" t="n">
        <v>46231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Sveaskog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46231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220-2023</t>
        </is>
      </c>
      <c r="B817" t="inlineStr">
        <is>
          <t>samrådsanmälan</t>
        </is>
      </c>
      <c r="C817" t="inlineStr">
        <is>
          <t>Stubbskörd</t>
        </is>
      </c>
      <c r="D817" s="1" t="n">
        <v>44949</v>
      </c>
      <c r="E817" s="1" t="n">
        <v>46231</v>
      </c>
      <c r="F817" t="inlineStr">
        <is>
          <t>SÖDERMANLANDS LÄN</t>
        </is>
      </c>
      <c r="G817" t="inlineStr">
        <is>
          <t>NYKÖPING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1224-2023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45029</v>
      </c>
      <c r="E818" s="1" t="n">
        <v>46231</v>
      </c>
      <c r="F818" t="inlineStr">
        <is>
          <t>SÖDERMANLANDS LÄN</t>
        </is>
      </c>
      <c r="G818" t="inlineStr">
        <is>
          <t>NYKÖPING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633-2025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45714</v>
      </c>
      <c r="E819" s="1" t="n">
        <v>46231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Holmen skog AB</t>
        </is>
      </c>
      <c r="I819" t="n">
        <v>39.6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3071-2024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45517</v>
      </c>
      <c r="E820" s="1" t="n">
        <v>46231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2818-2025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45939</v>
      </c>
      <c r="E821" s="1" t="n">
        <v>46231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46050</v>
      </c>
      <c r="E822" s="1" t="n">
        <v>46231</v>
      </c>
      <c r="F822" t="inlineStr">
        <is>
          <t>SÖDERMANLANDS LÄN</t>
        </is>
      </c>
      <c r="G822" t="inlineStr">
        <is>
          <t>NYKÖPING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641-2026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46090</v>
      </c>
      <c r="E823" s="1" t="n">
        <v>46231</v>
      </c>
      <c r="F823" t="inlineStr">
        <is>
          <t>SÖDERMANLANDS LÄN</t>
        </is>
      </c>
      <c r="G823" t="inlineStr">
        <is>
          <t>NYKÖPING</t>
        </is>
      </c>
      <c r="I823" t="n">
        <v>46.2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2026-07-28T01:51:46Z</dcterms:created>
  <dcterms:modified xmlns:dcterms="http://purl.org/dc/terms/" xmlns:xsi="http://www.w3.org/2001/XMLSchema-instance" xsi:type="dcterms:W3CDTF">2026-07-28T01:51:47Z</dcterms:modified>
</cp:coreProperties>
</file>