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45788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45788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45788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45788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45788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45788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45788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45788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45788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45788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14041-2020</t>
        </is>
      </c>
      <c r="B12" s="1" t="n">
        <v>43906</v>
      </c>
      <c r="C12" s="1" t="n">
        <v>45788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Kricka
Granticka
Rödvingetrast
Ärtsångare
Gröngöling
Sångsvan
Trana</t>
        </is>
      </c>
      <c r="S12">
        <f>HYPERLINK("https://klasma.github.io/Logging_0480/artfynd/A 14041-2020 artfynd.xlsx", "A 14041-2020")</f>
        <v/>
      </c>
      <c r="T12">
        <f>HYPERLINK("https://klasma.github.io/Logging_0480/kartor/A 14041-2020 karta.png", "A 14041-2020")</f>
        <v/>
      </c>
      <c r="U12">
        <f>HYPERLINK("https://klasma.github.io/Logging_0480/knärot/A 14041-2020 karta knärot.png", "A 14041-2020")</f>
        <v/>
      </c>
      <c r="V12">
        <f>HYPERLINK("https://klasma.github.io/Logging_0480/klagomål/A 14041-2020 FSC-klagomål.docx", "A 14041-2020")</f>
        <v/>
      </c>
      <c r="W12">
        <f>HYPERLINK("https://klasma.github.io/Logging_0480/klagomålsmail/A 14041-2020 FSC-klagomål mail.docx", "A 14041-2020")</f>
        <v/>
      </c>
      <c r="X12">
        <f>HYPERLINK("https://klasma.github.io/Logging_0480/tillsyn/A 14041-2020 tillsynsbegäran.docx", "A 14041-2020")</f>
        <v/>
      </c>
      <c r="Y12">
        <f>HYPERLINK("https://klasma.github.io/Logging_0480/tillsynsmail/A 14041-2020 tillsynsbegäran mail.docx", "A 14041-2020")</f>
        <v/>
      </c>
      <c r="Z12">
        <f>HYPERLINK("https://klasma.github.io/Logging_0480/fåglar/A 14041-2020 prioriterade fågelarter.docx", "A 14041-2020")</f>
        <v/>
      </c>
    </row>
    <row r="13" ht="15" customHeight="1">
      <c r="A13" t="inlineStr">
        <is>
          <t>A 42096-2022</t>
        </is>
      </c>
      <c r="B13" s="1" t="n">
        <v>44830</v>
      </c>
      <c r="C13" s="1" t="n">
        <v>45788</v>
      </c>
      <c r="D13" t="inlineStr">
        <is>
          <t>SÖDERMANLANDS LÄN</t>
        </is>
      </c>
      <c r="E13" t="inlineStr">
        <is>
          <t>NYKÖPING</t>
        </is>
      </c>
      <c r="G13" t="n">
        <v>6.2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Krusfrö
Svinrot
Trådticka
Vågbandad barkbock
Kopparödla
Blåsippa</t>
        </is>
      </c>
      <c r="S13">
        <f>HYPERLINK("https://klasma.github.io/Logging_0480/artfynd/A 42096-2022 artfynd.xlsx", "A 42096-2022")</f>
        <v/>
      </c>
      <c r="T13">
        <f>HYPERLINK("https://klasma.github.io/Logging_0480/kartor/A 42096-2022 karta.png", "A 42096-2022")</f>
        <v/>
      </c>
      <c r="U13">
        <f>HYPERLINK("https://klasma.github.io/Logging_0480/knärot/A 42096-2022 karta knärot.png", "A 42096-2022")</f>
        <v/>
      </c>
      <c r="V13">
        <f>HYPERLINK("https://klasma.github.io/Logging_0480/klagomål/A 42096-2022 FSC-klagomål.docx", "A 42096-2022")</f>
        <v/>
      </c>
      <c r="W13">
        <f>HYPERLINK("https://klasma.github.io/Logging_0480/klagomålsmail/A 42096-2022 FSC-klagomål mail.docx", "A 42096-2022")</f>
        <v/>
      </c>
      <c r="X13">
        <f>HYPERLINK("https://klasma.github.io/Logging_0480/tillsyn/A 42096-2022 tillsynsbegäran.docx", "A 42096-2022")</f>
        <v/>
      </c>
      <c r="Y13">
        <f>HYPERLINK("https://klasma.github.io/Logging_0480/tillsynsmail/A 42096-2022 tillsynsbegäran mail.docx", "A 42096-2022")</f>
        <v/>
      </c>
    </row>
    <row r="14" ht="15" customHeight="1">
      <c r="A14" t="inlineStr">
        <is>
          <t>A 23898-2024</t>
        </is>
      </c>
      <c r="B14" s="1" t="n">
        <v>45455</v>
      </c>
      <c r="C14" s="1" t="n">
        <v>45788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7.4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Skogsalm
Blodticka
Blåmossa
Brandticka
Stubbspretmossa
Ögonpyrola
Revlummer</t>
        </is>
      </c>
      <c r="S14">
        <f>HYPERLINK("https://klasma.github.io/Logging_0480/artfynd/A 23898-2024 artfynd.xlsx", "A 23898-2024")</f>
        <v/>
      </c>
      <c r="T14">
        <f>HYPERLINK("https://klasma.github.io/Logging_0480/kartor/A 23898-2024 karta.png", "A 23898-2024")</f>
        <v/>
      </c>
      <c r="V14">
        <f>HYPERLINK("https://klasma.github.io/Logging_0480/klagomål/A 23898-2024 FSC-klagomål.docx", "A 23898-2024")</f>
        <v/>
      </c>
      <c r="W14">
        <f>HYPERLINK("https://klasma.github.io/Logging_0480/klagomålsmail/A 23898-2024 FSC-klagomål mail.docx", "A 23898-2024")</f>
        <v/>
      </c>
      <c r="X14">
        <f>HYPERLINK("https://klasma.github.io/Logging_0480/tillsyn/A 23898-2024 tillsynsbegäran.docx", "A 23898-2024")</f>
        <v/>
      </c>
      <c r="Y14">
        <f>HYPERLINK("https://klasma.github.io/Logging_0480/tillsynsmail/A 23898-2024 tillsynsbegäran mail.docx", "A 23898-2024")</f>
        <v/>
      </c>
    </row>
    <row r="15" ht="15" customHeight="1">
      <c r="A15" t="inlineStr">
        <is>
          <t>A 49039-2024</t>
        </is>
      </c>
      <c r="B15" s="1" t="n">
        <v>45594</v>
      </c>
      <c r="C15" s="1" t="n">
        <v>45788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21.6</v>
      </c>
      <c r="H15" t="n">
        <v>0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Dvärgbägarlav
Kolflarnlav
Kortskaftad ärgspik
Motaggsvamp
Tallticka
Vedskivlav
Blåmossa</t>
        </is>
      </c>
      <c r="S15">
        <f>HYPERLINK("https://klasma.github.io/Logging_0480/artfynd/A 49039-2024 artfynd.xlsx", "A 49039-2024")</f>
        <v/>
      </c>
      <c r="T15">
        <f>HYPERLINK("https://klasma.github.io/Logging_0480/kartor/A 49039-2024 karta.png", "A 49039-2024")</f>
        <v/>
      </c>
      <c r="V15">
        <f>HYPERLINK("https://klasma.github.io/Logging_0480/klagomål/A 49039-2024 FSC-klagomål.docx", "A 49039-2024")</f>
        <v/>
      </c>
      <c r="W15">
        <f>HYPERLINK("https://klasma.github.io/Logging_0480/klagomålsmail/A 49039-2024 FSC-klagomål mail.docx", "A 49039-2024")</f>
        <v/>
      </c>
      <c r="X15">
        <f>HYPERLINK("https://klasma.github.io/Logging_0480/tillsyn/A 49039-2024 tillsynsbegäran.docx", "A 49039-2024")</f>
        <v/>
      </c>
      <c r="Y15">
        <f>HYPERLINK("https://klasma.github.io/Logging_0480/tillsynsmail/A 49039-2024 tillsynsbegäran mail.docx", "A 49039-2024")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45788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45788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45788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45788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45788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45788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45788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45788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45788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45788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45788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64594-2019</t>
        </is>
      </c>
      <c r="B27" s="1" t="n">
        <v>43798</v>
      </c>
      <c r="C27" s="1" t="n">
        <v>45788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2.6</v>
      </c>
      <c r="H27" t="n">
        <v>4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Kricka
Gröngöling
Järnsparv
Åkergroda</t>
        </is>
      </c>
      <c r="S27">
        <f>HYPERLINK("https://klasma.github.io/Logging_0480/artfynd/A 64594-2019 artfynd.xlsx", "A 64594-2019")</f>
        <v/>
      </c>
      <c r="T27">
        <f>HYPERLINK("https://klasma.github.io/Logging_0480/kartor/A 64594-2019 karta.png", "A 64594-2019")</f>
        <v/>
      </c>
      <c r="V27">
        <f>HYPERLINK("https://klasma.github.io/Logging_0480/klagomål/A 64594-2019 FSC-klagomål.docx", "A 64594-2019")</f>
        <v/>
      </c>
      <c r="W27">
        <f>HYPERLINK("https://klasma.github.io/Logging_0480/klagomålsmail/A 64594-2019 FSC-klagomål mail.docx", "A 64594-2019")</f>
        <v/>
      </c>
      <c r="X27">
        <f>HYPERLINK("https://klasma.github.io/Logging_0480/tillsyn/A 64594-2019 tillsynsbegäran.docx", "A 64594-2019")</f>
        <v/>
      </c>
      <c r="Y27">
        <f>HYPERLINK("https://klasma.github.io/Logging_0480/tillsynsmail/A 64594-2019 tillsynsbegäran mail.docx", "A 64594-2019")</f>
        <v/>
      </c>
      <c r="Z27">
        <f>HYPERLINK("https://klasma.github.io/Logging_0480/fåglar/A 64594-2019 prioriterade fågelarter.docx", "A 64594-2019")</f>
        <v/>
      </c>
    </row>
    <row r="28" ht="15" customHeight="1">
      <c r="A28" t="inlineStr">
        <is>
          <t>A 6487-2020</t>
        </is>
      </c>
      <c r="B28" s="1" t="n">
        <v>43866</v>
      </c>
      <c r="C28" s="1" t="n">
        <v>45788</v>
      </c>
      <c r="D28" t="inlineStr">
        <is>
          <t>SÖDERMANLANDS LÄN</t>
        </is>
      </c>
      <c r="E28" t="inlineStr">
        <is>
          <t>NYKÖPING</t>
        </is>
      </c>
      <c r="G28" t="n">
        <v>4.9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Gränsticka
Tallticka
Ullticka
Vintertagging</t>
        </is>
      </c>
      <c r="S28">
        <f>HYPERLINK("https://klasma.github.io/Logging_0480/artfynd/A 6487-2020 artfynd.xlsx", "A 6487-2020")</f>
        <v/>
      </c>
      <c r="T28">
        <f>HYPERLINK("https://klasma.github.io/Logging_0480/kartor/A 6487-2020 karta.png", "A 6487-2020")</f>
        <v/>
      </c>
      <c r="V28">
        <f>HYPERLINK("https://klasma.github.io/Logging_0480/klagomål/A 6487-2020 FSC-klagomål.docx", "A 6487-2020")</f>
        <v/>
      </c>
      <c r="W28">
        <f>HYPERLINK("https://klasma.github.io/Logging_0480/klagomålsmail/A 6487-2020 FSC-klagomål mail.docx", "A 6487-2020")</f>
        <v/>
      </c>
      <c r="X28">
        <f>HYPERLINK("https://klasma.github.io/Logging_0480/tillsyn/A 6487-2020 tillsynsbegäran.docx", "A 6487-2020")</f>
        <v/>
      </c>
      <c r="Y28">
        <f>HYPERLINK("https://klasma.github.io/Logging_0480/tillsynsmail/A 6487-2020 tillsynsbegäran mail.docx", "A 6487-2020")</f>
        <v/>
      </c>
    </row>
    <row r="29" ht="15" customHeight="1">
      <c r="A29" t="inlineStr">
        <is>
          <t>A 25823-2020</t>
        </is>
      </c>
      <c r="B29" s="1" t="n">
        <v>43983</v>
      </c>
      <c r="C29" s="1" t="n">
        <v>45788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8.9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Ask
Svinrot
Ängsskära
Revlummer</t>
        </is>
      </c>
      <c r="S29">
        <f>HYPERLINK("https://klasma.github.io/Logging_0480/artfynd/A 25823-2020 artfynd.xlsx", "A 25823-2020")</f>
        <v/>
      </c>
      <c r="T29">
        <f>HYPERLINK("https://klasma.github.io/Logging_0480/kartor/A 25823-2020 karta.png", "A 25823-2020")</f>
        <v/>
      </c>
      <c r="V29">
        <f>HYPERLINK("https://klasma.github.io/Logging_0480/klagomål/A 25823-2020 FSC-klagomål.docx", "A 25823-2020")</f>
        <v/>
      </c>
      <c r="W29">
        <f>HYPERLINK("https://klasma.github.io/Logging_0480/klagomålsmail/A 25823-2020 FSC-klagomål mail.docx", "A 25823-2020")</f>
        <v/>
      </c>
      <c r="X29">
        <f>HYPERLINK("https://klasma.github.io/Logging_0480/tillsyn/A 25823-2020 tillsynsbegäran.docx", "A 25823-2020")</f>
        <v/>
      </c>
      <c r="Y29">
        <f>HYPERLINK("https://klasma.github.io/Logging_0480/tillsynsmail/A 25823-2020 tillsynsbegäran mail.docx", "A 25823-2020")</f>
        <v/>
      </c>
    </row>
    <row r="30" ht="15" customHeight="1">
      <c r="A30" t="inlineStr">
        <is>
          <t>A 38419-2021</t>
        </is>
      </c>
      <c r="B30" s="1" t="n">
        <v>44406</v>
      </c>
      <c r="C30" s="1" t="n">
        <v>45788</v>
      </c>
      <c r="D30" t="inlineStr">
        <is>
          <t>SÖDERMANLANDS LÄN</t>
        </is>
      </c>
      <c r="E30" t="inlineStr">
        <is>
          <t>NYKÖPING</t>
        </is>
      </c>
      <c r="F30" t="inlineStr">
        <is>
          <t>Övriga Aktiebolag</t>
        </is>
      </c>
      <c r="G30" t="n">
        <v>5.9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Treuddsaftonfly
Blåmossa
Plattlummer
Revlummer</t>
        </is>
      </c>
      <c r="S30">
        <f>HYPERLINK("https://klasma.github.io/Logging_0480/artfynd/A 38419-2021 artfynd.xlsx", "A 38419-2021")</f>
        <v/>
      </c>
      <c r="T30">
        <f>HYPERLINK("https://klasma.github.io/Logging_0480/kartor/A 38419-2021 karta.png", "A 38419-2021")</f>
        <v/>
      </c>
      <c r="V30">
        <f>HYPERLINK("https://klasma.github.io/Logging_0480/klagomål/A 38419-2021 FSC-klagomål.docx", "A 38419-2021")</f>
        <v/>
      </c>
      <c r="W30">
        <f>HYPERLINK("https://klasma.github.io/Logging_0480/klagomålsmail/A 38419-2021 FSC-klagomål mail.docx", "A 38419-2021")</f>
        <v/>
      </c>
      <c r="X30">
        <f>HYPERLINK("https://klasma.github.io/Logging_0480/tillsyn/A 38419-2021 tillsynsbegäran.docx", "A 38419-2021")</f>
        <v/>
      </c>
      <c r="Y30">
        <f>HYPERLINK("https://klasma.github.io/Logging_0480/tillsynsmail/A 38419-2021 tillsynsbegäran mail.docx", "A 38419-2021")</f>
        <v/>
      </c>
    </row>
    <row r="31" ht="15" customHeight="1">
      <c r="A31" t="inlineStr">
        <is>
          <t>A 8663-2022</t>
        </is>
      </c>
      <c r="B31" s="1" t="n">
        <v>44613</v>
      </c>
      <c r="C31" s="1" t="n">
        <v>45788</v>
      </c>
      <c r="D31" t="inlineStr">
        <is>
          <t>SÖDERMANLANDS LÄN</t>
        </is>
      </c>
      <c r="E31" t="inlineStr">
        <is>
          <t>NYKÖPING</t>
        </is>
      </c>
      <c r="G31" t="n">
        <v>6.5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Orange taggsvamp
Blomkålssvamp
Fjällig taggsvamp s.str.
Stubbspretmossa</t>
        </is>
      </c>
      <c r="S31">
        <f>HYPERLINK("https://klasma.github.io/Logging_0480/artfynd/A 8663-2022 artfynd.xlsx", "A 8663-2022")</f>
        <v/>
      </c>
      <c r="T31">
        <f>HYPERLINK("https://klasma.github.io/Logging_0480/kartor/A 8663-2022 karta.png", "A 8663-2022")</f>
        <v/>
      </c>
      <c r="V31">
        <f>HYPERLINK("https://klasma.github.io/Logging_0480/klagomål/A 8663-2022 FSC-klagomål.docx", "A 8663-2022")</f>
        <v/>
      </c>
      <c r="W31">
        <f>HYPERLINK("https://klasma.github.io/Logging_0480/klagomålsmail/A 8663-2022 FSC-klagomål mail.docx", "A 8663-2022")</f>
        <v/>
      </c>
      <c r="X31">
        <f>HYPERLINK("https://klasma.github.io/Logging_0480/tillsyn/A 8663-2022 tillsynsbegäran.docx", "A 8663-2022")</f>
        <v/>
      </c>
      <c r="Y31">
        <f>HYPERLINK("https://klasma.github.io/Logging_0480/tillsynsmail/A 8663-2022 tillsynsbegäran mail.docx", "A 8663-2022")</f>
        <v/>
      </c>
    </row>
    <row r="32" ht="15" customHeight="1">
      <c r="A32" t="inlineStr">
        <is>
          <t>A 1509-2023</t>
        </is>
      </c>
      <c r="B32" s="1" t="n">
        <v>44937</v>
      </c>
      <c r="C32" s="1" t="n">
        <v>45788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6.3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Asppraktbagge
Skorpgelélav
Aspvedgnagare
Stor aspticka</t>
        </is>
      </c>
      <c r="S32">
        <f>HYPERLINK("https://klasma.github.io/Logging_0480/artfynd/A 1509-2023 artfynd.xlsx", "A 1509-2023")</f>
        <v/>
      </c>
      <c r="T32">
        <f>HYPERLINK("https://klasma.github.io/Logging_0480/kartor/A 1509-2023 karta.png", "A 1509-2023")</f>
        <v/>
      </c>
      <c r="V32">
        <f>HYPERLINK("https://klasma.github.io/Logging_0480/klagomål/A 1509-2023 FSC-klagomål.docx", "A 1509-2023")</f>
        <v/>
      </c>
      <c r="W32">
        <f>HYPERLINK("https://klasma.github.io/Logging_0480/klagomålsmail/A 1509-2023 FSC-klagomål mail.docx", "A 1509-2023")</f>
        <v/>
      </c>
      <c r="X32">
        <f>HYPERLINK("https://klasma.github.io/Logging_0480/tillsyn/A 1509-2023 tillsynsbegäran.docx", "A 1509-2023")</f>
        <v/>
      </c>
      <c r="Y32">
        <f>HYPERLINK("https://klasma.github.io/Logging_0480/tillsynsmail/A 1509-2023 tillsynsbegäran mail.docx", "A 1509-2023")</f>
        <v/>
      </c>
    </row>
    <row r="33" ht="15" customHeight="1">
      <c r="A33" t="inlineStr">
        <is>
          <t>A 4753-2024</t>
        </is>
      </c>
      <c r="B33" s="1" t="n">
        <v>45328</v>
      </c>
      <c r="C33" s="1" t="n">
        <v>45788</v>
      </c>
      <c r="D33" t="inlineStr">
        <is>
          <t>SÖDERMANLANDS LÄN</t>
        </is>
      </c>
      <c r="E33" t="inlineStr">
        <is>
          <t>NYKÖPING</t>
        </is>
      </c>
      <c r="G33" t="n">
        <v>11.8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Orange taggsvamp
Svart taggsvamp
Tallticka
Dropptaggsvamp</t>
        </is>
      </c>
      <c r="S33">
        <f>HYPERLINK("https://klasma.github.io/Logging_0480/artfynd/A 4753-2024 artfynd.xlsx", "A 4753-2024")</f>
        <v/>
      </c>
      <c r="T33">
        <f>HYPERLINK("https://klasma.github.io/Logging_0480/kartor/A 4753-2024 karta.png", "A 4753-2024")</f>
        <v/>
      </c>
      <c r="V33">
        <f>HYPERLINK("https://klasma.github.io/Logging_0480/klagomål/A 4753-2024 FSC-klagomål.docx", "A 4753-2024")</f>
        <v/>
      </c>
      <c r="W33">
        <f>HYPERLINK("https://klasma.github.io/Logging_0480/klagomålsmail/A 4753-2024 FSC-klagomål mail.docx", "A 4753-2024")</f>
        <v/>
      </c>
      <c r="X33">
        <f>HYPERLINK("https://klasma.github.io/Logging_0480/tillsyn/A 4753-2024 tillsynsbegäran.docx", "A 4753-2024")</f>
        <v/>
      </c>
      <c r="Y33">
        <f>HYPERLINK("https://klasma.github.io/Logging_0480/tillsynsmail/A 4753-2024 tillsynsbegäran mail.docx", "A 4753-2024")</f>
        <v/>
      </c>
    </row>
    <row r="34" ht="15" customHeight="1">
      <c r="A34" t="inlineStr">
        <is>
          <t>A 33265-2024</t>
        </is>
      </c>
      <c r="B34" s="1" t="n">
        <v>45518</v>
      </c>
      <c r="C34" s="1" t="n">
        <v>45788</v>
      </c>
      <c r="D34" t="inlineStr">
        <is>
          <t>SÖDERMANLANDS LÄN</t>
        </is>
      </c>
      <c r="E34" t="inlineStr">
        <is>
          <t>NYKÖPING</t>
        </is>
      </c>
      <c r="G34" t="n">
        <v>7.8</v>
      </c>
      <c r="H34" t="n">
        <v>2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Fjällig taggsvamp s.str.
Granbarkgnagare
Blåsippa</t>
        </is>
      </c>
      <c r="S34">
        <f>HYPERLINK("https://klasma.github.io/Logging_0480/artfynd/A 33265-2024 artfynd.xlsx", "A 33265-2024")</f>
        <v/>
      </c>
      <c r="T34">
        <f>HYPERLINK("https://klasma.github.io/Logging_0480/kartor/A 33265-2024 karta.png", "A 33265-2024")</f>
        <v/>
      </c>
      <c r="U34">
        <f>HYPERLINK("https://klasma.github.io/Logging_0480/knärot/A 33265-2024 karta knärot.png", "A 33265-2024")</f>
        <v/>
      </c>
      <c r="V34">
        <f>HYPERLINK("https://klasma.github.io/Logging_0480/klagomål/A 33265-2024 FSC-klagomål.docx", "A 33265-2024")</f>
        <v/>
      </c>
      <c r="W34">
        <f>HYPERLINK("https://klasma.github.io/Logging_0480/klagomålsmail/A 33265-2024 FSC-klagomål mail.docx", "A 33265-2024")</f>
        <v/>
      </c>
      <c r="X34">
        <f>HYPERLINK("https://klasma.github.io/Logging_0480/tillsyn/A 33265-2024 tillsynsbegäran.docx", "A 33265-2024")</f>
        <v/>
      </c>
      <c r="Y34">
        <f>HYPERLINK("https://klasma.github.io/Logging_0480/tillsynsmail/A 33265-2024 tillsynsbegäran mail.docx", "A 33265-2024")</f>
        <v/>
      </c>
    </row>
    <row r="35" ht="15" customHeight="1">
      <c r="A35" t="inlineStr">
        <is>
          <t>A 37372-2024</t>
        </is>
      </c>
      <c r="B35" s="1" t="n">
        <v>45540</v>
      </c>
      <c r="C35" s="1" t="n">
        <v>45788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3.4</v>
      </c>
      <c r="H35" t="n">
        <v>1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Spillkråka
Blåmossa
Vågbandad barkbock</t>
        </is>
      </c>
      <c r="S35">
        <f>HYPERLINK("https://klasma.github.io/Logging_0480/artfynd/A 37372-2024 artfynd.xlsx", "A 37372-2024")</f>
        <v/>
      </c>
      <c r="T35">
        <f>HYPERLINK("https://klasma.github.io/Logging_0480/kartor/A 37372-2024 karta.png", "A 37372-2024")</f>
        <v/>
      </c>
      <c r="V35">
        <f>HYPERLINK("https://klasma.github.io/Logging_0480/klagomål/A 37372-2024 FSC-klagomål.docx", "A 37372-2024")</f>
        <v/>
      </c>
      <c r="W35">
        <f>HYPERLINK("https://klasma.github.io/Logging_0480/klagomålsmail/A 37372-2024 FSC-klagomål mail.docx", "A 37372-2024")</f>
        <v/>
      </c>
      <c r="X35">
        <f>HYPERLINK("https://klasma.github.io/Logging_0480/tillsyn/A 37372-2024 tillsynsbegäran.docx", "A 37372-2024")</f>
        <v/>
      </c>
      <c r="Y35">
        <f>HYPERLINK("https://klasma.github.io/Logging_0480/tillsynsmail/A 37372-2024 tillsynsbegäran mail.docx", "A 37372-2024")</f>
        <v/>
      </c>
      <c r="Z35">
        <f>HYPERLINK("https://klasma.github.io/Logging_0480/fåglar/A 37372-2024 prioriterade fågelarter.docx", "A 37372-2024")</f>
        <v/>
      </c>
    </row>
    <row r="36" ht="15" customHeight="1">
      <c r="A36" t="inlineStr">
        <is>
          <t>A 38456-2024</t>
        </is>
      </c>
      <c r="B36" s="1" t="n">
        <v>45546</v>
      </c>
      <c r="C36" s="1" t="n">
        <v>45788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1</v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Ask
Tallticka
Grovticka
Blåsippa</t>
        </is>
      </c>
      <c r="S36">
        <f>HYPERLINK("https://klasma.github.io/Logging_0480/artfynd/A 38456-2024 artfynd.xlsx", "A 38456-2024")</f>
        <v/>
      </c>
      <c r="T36">
        <f>HYPERLINK("https://klasma.github.io/Logging_0480/kartor/A 38456-2024 karta.png", "A 38456-2024")</f>
        <v/>
      </c>
      <c r="V36">
        <f>HYPERLINK("https://klasma.github.io/Logging_0480/klagomål/A 38456-2024 FSC-klagomål.docx", "A 38456-2024")</f>
        <v/>
      </c>
      <c r="W36">
        <f>HYPERLINK("https://klasma.github.io/Logging_0480/klagomålsmail/A 38456-2024 FSC-klagomål mail.docx", "A 38456-2024")</f>
        <v/>
      </c>
      <c r="X36">
        <f>HYPERLINK("https://klasma.github.io/Logging_0480/tillsyn/A 38456-2024 tillsynsbegäran.docx", "A 38456-2024")</f>
        <v/>
      </c>
      <c r="Y36">
        <f>HYPERLINK("https://klasma.github.io/Logging_0480/tillsynsmail/A 38456-2024 tillsynsbegäran mail.docx", "A 38456-2024")</f>
        <v/>
      </c>
    </row>
    <row r="37" ht="15" customHeight="1">
      <c r="A37" t="inlineStr">
        <is>
          <t>A 38735-2019</t>
        </is>
      </c>
      <c r="B37" s="1" t="n">
        <v>43686</v>
      </c>
      <c r="C37" s="1" t="n">
        <v>45788</v>
      </c>
      <c r="D37" t="inlineStr">
        <is>
          <t>SÖDERMANLANDS LÄN</t>
        </is>
      </c>
      <c r="E37" t="inlineStr">
        <is>
          <t>NYKÖPING</t>
        </is>
      </c>
      <c r="G37" t="n">
        <v>2.3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Svinrot
Ögonpyrola
Blåsippa</t>
        </is>
      </c>
      <c r="S37">
        <f>HYPERLINK("https://klasma.github.io/Logging_0480/artfynd/A 38735-2019 artfynd.xlsx", "A 38735-2019")</f>
        <v/>
      </c>
      <c r="T37">
        <f>HYPERLINK("https://klasma.github.io/Logging_0480/kartor/A 38735-2019 karta.png", "A 38735-2019")</f>
        <v/>
      </c>
      <c r="V37">
        <f>HYPERLINK("https://klasma.github.io/Logging_0480/klagomål/A 38735-2019 FSC-klagomål.docx", "A 38735-2019")</f>
        <v/>
      </c>
      <c r="W37">
        <f>HYPERLINK("https://klasma.github.io/Logging_0480/klagomålsmail/A 38735-2019 FSC-klagomål mail.docx", "A 38735-2019")</f>
        <v/>
      </c>
      <c r="X37">
        <f>HYPERLINK("https://klasma.github.io/Logging_0480/tillsyn/A 38735-2019 tillsynsbegäran.docx", "A 38735-2019")</f>
        <v/>
      </c>
      <c r="Y37">
        <f>HYPERLINK("https://klasma.github.io/Logging_0480/tillsynsmail/A 38735-2019 tillsynsbegäran mail.docx", "A 38735-2019")</f>
        <v/>
      </c>
    </row>
    <row r="38" ht="15" customHeight="1">
      <c r="A38" t="inlineStr">
        <is>
          <t>A 42633-2019</t>
        </is>
      </c>
      <c r="B38" s="1" t="n">
        <v>43704</v>
      </c>
      <c r="C38" s="1" t="n">
        <v>45788</v>
      </c>
      <c r="D38" t="inlineStr">
        <is>
          <t>SÖDERMANLANDS LÄN</t>
        </is>
      </c>
      <c r="E38" t="inlineStr">
        <is>
          <t>NYKÖPING</t>
        </is>
      </c>
      <c r="G38" t="n">
        <v>12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Entita
Kungsfågel
Blåsippa</t>
        </is>
      </c>
      <c r="S38">
        <f>HYPERLINK("https://klasma.github.io/Logging_0480/artfynd/A 42633-2019 artfynd.xlsx", "A 42633-2019")</f>
        <v/>
      </c>
      <c r="T38">
        <f>HYPERLINK("https://klasma.github.io/Logging_0480/kartor/A 42633-2019 karta.png", "A 42633-2019")</f>
        <v/>
      </c>
      <c r="V38">
        <f>HYPERLINK("https://klasma.github.io/Logging_0480/klagomål/A 42633-2019 FSC-klagomål.docx", "A 42633-2019")</f>
        <v/>
      </c>
      <c r="W38">
        <f>HYPERLINK("https://klasma.github.io/Logging_0480/klagomålsmail/A 42633-2019 FSC-klagomål mail.docx", "A 42633-2019")</f>
        <v/>
      </c>
      <c r="X38">
        <f>HYPERLINK("https://klasma.github.io/Logging_0480/tillsyn/A 42633-2019 tillsynsbegäran.docx", "A 42633-2019")</f>
        <v/>
      </c>
      <c r="Y38">
        <f>HYPERLINK("https://klasma.github.io/Logging_0480/tillsynsmail/A 42633-2019 tillsynsbegäran mail.docx", "A 42633-2019")</f>
        <v/>
      </c>
      <c r="Z38">
        <f>HYPERLINK("https://klasma.github.io/Logging_0480/fåglar/A 42633-2019 prioriterade fågelarter.docx", "A 42633-2019")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45788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45788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45788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45788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45788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45788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45788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45788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45788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45788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45788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45788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45788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45788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45788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45788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45788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45788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45788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45788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45788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45788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45788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45788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45788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45788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45788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45788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45788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45788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45788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45788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45788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45788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45788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45788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45788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45788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45788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45788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45788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45788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45788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45788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45788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45788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45788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45788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45788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45788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45788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45788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45788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45788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45788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45788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45788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45788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45788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45788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45788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45788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45788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45788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45788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45788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45788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45788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45788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45788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45788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45788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45788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45788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45788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45788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45788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45788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45788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45788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45788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45788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45788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45788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45788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52095-2022</t>
        </is>
      </c>
      <c r="B124" s="1" t="n">
        <v>44873</v>
      </c>
      <c r="C124" s="1" t="n">
        <v>45788</v>
      </c>
      <c r="D124" t="inlineStr">
        <is>
          <t>SÖDERMANLANDS LÄN</t>
        </is>
      </c>
      <c r="E124" t="inlineStr">
        <is>
          <t>NYKÖPING</t>
        </is>
      </c>
      <c r="G124" t="n">
        <v>1.8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HYPERLINK("https://klasma.github.io/Logging_0480/artfynd/A 52095-2022 artfynd.xlsx", "A 52095-2022")</f>
        <v/>
      </c>
      <c r="T124">
        <f>HYPERLINK("https://klasma.github.io/Logging_0480/kartor/A 52095-2022 karta.png", "A 52095-2022")</f>
        <v/>
      </c>
      <c r="V124">
        <f>HYPERLINK("https://klasma.github.io/Logging_0480/klagomål/A 52095-2022 FSC-klagomål.docx", "A 52095-2022")</f>
        <v/>
      </c>
      <c r="W124">
        <f>HYPERLINK("https://klasma.github.io/Logging_0480/klagomålsmail/A 52095-2022 FSC-klagomål mail.docx", "A 52095-2022")</f>
        <v/>
      </c>
      <c r="X124">
        <f>HYPERLINK("https://klasma.github.io/Logging_0480/tillsyn/A 52095-2022 tillsynsbegäran.docx", "A 52095-2022")</f>
        <v/>
      </c>
      <c r="Y124">
        <f>HYPERLINK("https://klasma.github.io/Logging_0480/tillsynsmail/A 52095-2022 tillsynsbegäran mail.docx", "A 52095-2022")</f>
        <v/>
      </c>
    </row>
    <row r="125" ht="15" customHeight="1">
      <c r="A125" t="inlineStr">
        <is>
          <t>A 2842-2023</t>
        </is>
      </c>
      <c r="B125" s="1" t="n">
        <v>44945</v>
      </c>
      <c r="C125" s="1" t="n">
        <v>45788</v>
      </c>
      <c r="D125" t="inlineStr">
        <is>
          <t>SÖDERMANLANDS LÄN</t>
        </is>
      </c>
      <c r="E125" t="inlineStr">
        <is>
          <t>NYKÖPING</t>
        </is>
      </c>
      <c r="G125" t="n">
        <v>6.7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Svavelriska</t>
        </is>
      </c>
      <c r="S125">
        <f>HYPERLINK("https://klasma.github.io/Logging_0480/artfynd/A 2842-2023 artfynd.xlsx", "A 2842-2023")</f>
        <v/>
      </c>
      <c r="T125">
        <f>HYPERLINK("https://klasma.github.io/Logging_0480/kartor/A 2842-2023 karta.png", "A 2842-2023")</f>
        <v/>
      </c>
      <c r="V125">
        <f>HYPERLINK("https://klasma.github.io/Logging_0480/klagomål/A 2842-2023 FSC-klagomål.docx", "A 2842-2023")</f>
        <v/>
      </c>
      <c r="W125">
        <f>HYPERLINK("https://klasma.github.io/Logging_0480/klagomålsmail/A 2842-2023 FSC-klagomål mail.docx", "A 2842-2023")</f>
        <v/>
      </c>
      <c r="X125">
        <f>HYPERLINK("https://klasma.github.io/Logging_0480/tillsyn/A 2842-2023 tillsynsbegäran.docx", "A 2842-2023")</f>
        <v/>
      </c>
      <c r="Y125">
        <f>HYPERLINK("https://klasma.github.io/Logging_0480/tillsynsmail/A 2842-2023 tillsynsbegäran mail.docx", "A 2842-2023")</f>
        <v/>
      </c>
    </row>
    <row r="126" ht="15" customHeight="1">
      <c r="A126" t="inlineStr">
        <is>
          <t>A 9221-2023</t>
        </is>
      </c>
      <c r="B126" s="1" t="n">
        <v>44977</v>
      </c>
      <c r="C126" s="1" t="n">
        <v>45788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Allmännings- och besparingsskogar</t>
        </is>
      </c>
      <c r="G126" t="n">
        <v>20.4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HYPERLINK("https://klasma.github.io/Logging_0480/artfynd/A 9221-2023 artfynd.xlsx", "A 9221-2023")</f>
        <v/>
      </c>
      <c r="T126">
        <f>HYPERLINK("https://klasma.github.io/Logging_0480/kartor/A 9221-2023 karta.png", "A 9221-2023")</f>
        <v/>
      </c>
      <c r="V126">
        <f>HYPERLINK("https://klasma.github.io/Logging_0480/klagomål/A 9221-2023 FSC-klagomål.docx", "A 9221-2023")</f>
        <v/>
      </c>
      <c r="W126">
        <f>HYPERLINK("https://klasma.github.io/Logging_0480/klagomålsmail/A 9221-2023 FSC-klagomål mail.docx", "A 9221-2023")</f>
        <v/>
      </c>
      <c r="X126">
        <f>HYPERLINK("https://klasma.github.io/Logging_0480/tillsyn/A 9221-2023 tillsynsbegäran.docx", "A 9221-2023")</f>
        <v/>
      </c>
      <c r="Y126">
        <f>HYPERLINK("https://klasma.github.io/Logging_0480/tillsynsmail/A 9221-2023 tillsynsbegäran mail.docx", "A 9221-2023")</f>
        <v/>
      </c>
    </row>
    <row r="127" ht="15" customHeight="1">
      <c r="A127" t="inlineStr">
        <is>
          <t>A 12891-2023</t>
        </is>
      </c>
      <c r="B127" s="1" t="n">
        <v>45001</v>
      </c>
      <c r="C127" s="1" t="n">
        <v>45788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HYPERLINK("https://klasma.github.io/Logging_0480/artfynd/A 12891-2023 artfynd.xlsx", "A 12891-2023")</f>
        <v/>
      </c>
      <c r="T127">
        <f>HYPERLINK("https://klasma.github.io/Logging_0480/kartor/A 12891-2023 karta.png", "A 12891-2023")</f>
        <v/>
      </c>
      <c r="V127">
        <f>HYPERLINK("https://klasma.github.io/Logging_0480/klagomål/A 12891-2023 FSC-klagomål.docx", "A 12891-2023")</f>
        <v/>
      </c>
      <c r="W127">
        <f>HYPERLINK("https://klasma.github.io/Logging_0480/klagomålsmail/A 12891-2023 FSC-klagomål mail.docx", "A 12891-2023")</f>
        <v/>
      </c>
      <c r="X127">
        <f>HYPERLINK("https://klasma.github.io/Logging_0480/tillsyn/A 12891-2023 tillsynsbegäran.docx", "A 12891-2023")</f>
        <v/>
      </c>
      <c r="Y127">
        <f>HYPERLINK("https://klasma.github.io/Logging_0480/tillsynsmail/A 12891-2023 tillsynsbegäran mail.docx", "A 12891-2023")</f>
        <v/>
      </c>
    </row>
    <row r="128" ht="15" customHeight="1">
      <c r="A128" t="inlineStr">
        <is>
          <t>A 16078-2023</t>
        </is>
      </c>
      <c r="B128" s="1" t="n">
        <v>45027</v>
      </c>
      <c r="C128" s="1" t="n">
        <v>45788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Rödlånke</t>
        </is>
      </c>
      <c r="S128">
        <f>HYPERLINK("https://klasma.github.io/Logging_0480/artfynd/A 16078-2023 artfynd.xlsx", "A 16078-2023")</f>
        <v/>
      </c>
      <c r="T128">
        <f>HYPERLINK("https://klasma.github.io/Logging_0480/kartor/A 16078-2023 karta.png", "A 16078-2023")</f>
        <v/>
      </c>
      <c r="V128">
        <f>HYPERLINK("https://klasma.github.io/Logging_0480/klagomål/A 16078-2023 FSC-klagomål.docx", "A 16078-2023")</f>
        <v/>
      </c>
      <c r="W128">
        <f>HYPERLINK("https://klasma.github.io/Logging_0480/klagomålsmail/A 16078-2023 FSC-klagomål mail.docx", "A 16078-2023")</f>
        <v/>
      </c>
      <c r="X128">
        <f>HYPERLINK("https://klasma.github.io/Logging_0480/tillsyn/A 16078-2023 tillsynsbegäran.docx", "A 16078-2023")</f>
        <v/>
      </c>
      <c r="Y128">
        <f>HYPERLINK("https://klasma.github.io/Logging_0480/tillsynsmail/A 16078-2023 tillsynsbegäran mail.docx", "A 16078-2023")</f>
        <v/>
      </c>
    </row>
    <row r="129" ht="15" customHeight="1">
      <c r="A129" t="inlineStr">
        <is>
          <t>A 20325-2023</t>
        </is>
      </c>
      <c r="B129" s="1" t="n">
        <v>45056</v>
      </c>
      <c r="C129" s="1" t="n">
        <v>45788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HYPERLINK("https://klasma.github.io/Logging_0480/artfynd/A 20325-2023 artfynd.xlsx", "A 20325-2023")</f>
        <v/>
      </c>
      <c r="T129">
        <f>HYPERLINK("https://klasma.github.io/Logging_0480/kartor/A 20325-2023 karta.png", "A 20325-2023")</f>
        <v/>
      </c>
      <c r="V129">
        <f>HYPERLINK("https://klasma.github.io/Logging_0480/klagomål/A 20325-2023 FSC-klagomål.docx", "A 20325-2023")</f>
        <v/>
      </c>
      <c r="W129">
        <f>HYPERLINK("https://klasma.github.io/Logging_0480/klagomålsmail/A 20325-2023 FSC-klagomål mail.docx", "A 20325-2023")</f>
        <v/>
      </c>
      <c r="X129">
        <f>HYPERLINK("https://klasma.github.io/Logging_0480/tillsyn/A 20325-2023 tillsynsbegäran.docx", "A 20325-2023")</f>
        <v/>
      </c>
      <c r="Y129">
        <f>HYPERLINK("https://klasma.github.io/Logging_0480/tillsynsmail/A 20325-2023 tillsynsbegäran mail.docx", "A 20325-2023")</f>
        <v/>
      </c>
    </row>
    <row r="130" ht="15" customHeight="1">
      <c r="A130" t="inlineStr">
        <is>
          <t>A 28542-2023</t>
        </is>
      </c>
      <c r="B130" s="1" t="n">
        <v>45103</v>
      </c>
      <c r="C130" s="1" t="n">
        <v>45788</v>
      </c>
      <c r="D130" t="inlineStr">
        <is>
          <t>SÖDERMANLANDS LÄN</t>
        </is>
      </c>
      <c r="E130" t="inlineStr">
        <is>
          <t>NYKÖPING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HYPERLINK("https://klasma.github.io/Logging_0480/artfynd/A 28542-2023 artfynd.xlsx", "A 28542-2023")</f>
        <v/>
      </c>
      <c r="T130">
        <f>HYPERLINK("https://klasma.github.io/Logging_0480/kartor/A 28542-2023 karta.png", "A 28542-2023")</f>
        <v/>
      </c>
      <c r="U130">
        <f>HYPERLINK("https://klasma.github.io/Logging_0480/knärot/A 28542-2023 karta knärot.png", "A 28542-2023")</f>
        <v/>
      </c>
      <c r="V130">
        <f>HYPERLINK("https://klasma.github.io/Logging_0480/klagomål/A 28542-2023 FSC-klagomål.docx", "A 28542-2023")</f>
        <v/>
      </c>
      <c r="W130">
        <f>HYPERLINK("https://klasma.github.io/Logging_0480/klagomålsmail/A 28542-2023 FSC-klagomål mail.docx", "A 28542-2023")</f>
        <v/>
      </c>
      <c r="X130">
        <f>HYPERLINK("https://klasma.github.io/Logging_0480/tillsyn/A 28542-2023 tillsynsbegäran.docx", "A 28542-2023")</f>
        <v/>
      </c>
      <c r="Y130">
        <f>HYPERLINK("https://klasma.github.io/Logging_0480/tillsynsmail/A 28542-2023 tillsynsbegäran mail.docx", "A 28542-2023")</f>
        <v/>
      </c>
    </row>
    <row r="131" ht="15" customHeight="1">
      <c r="A131" t="inlineStr">
        <is>
          <t>A 35122-2023</t>
        </is>
      </c>
      <c r="B131" s="1" t="n">
        <v>45145</v>
      </c>
      <c r="C131" s="1" t="n">
        <v>45788</v>
      </c>
      <c r="D131" t="inlineStr">
        <is>
          <t>SÖDERMANLANDS LÄN</t>
        </is>
      </c>
      <c r="E131" t="inlineStr">
        <is>
          <t>NYKÖPING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35122-2023 artfynd.xlsx", "A 35122-2023")</f>
        <v/>
      </c>
      <c r="T131">
        <f>HYPERLINK("https://klasma.github.io/Logging_0480/kartor/A 35122-2023 karta.png", "A 35122-2023")</f>
        <v/>
      </c>
      <c r="V131">
        <f>HYPERLINK("https://klasma.github.io/Logging_0480/klagomål/A 35122-2023 FSC-klagomål.docx", "A 35122-2023")</f>
        <v/>
      </c>
      <c r="W131">
        <f>HYPERLINK("https://klasma.github.io/Logging_0480/klagomålsmail/A 35122-2023 FSC-klagomål mail.docx", "A 35122-2023")</f>
        <v/>
      </c>
      <c r="X131">
        <f>HYPERLINK("https://klasma.github.io/Logging_0480/tillsyn/A 35122-2023 tillsynsbegäran.docx", "A 35122-2023")</f>
        <v/>
      </c>
      <c r="Y131">
        <f>HYPERLINK("https://klasma.github.io/Logging_0480/tillsynsmail/A 35122-2023 tillsynsbegäran mail.docx", "A 35122-2023")</f>
        <v/>
      </c>
    </row>
    <row r="132" ht="15" customHeight="1">
      <c r="A132" t="inlineStr">
        <is>
          <t>A 39019-2023</t>
        </is>
      </c>
      <c r="B132" s="1" t="n">
        <v>45163</v>
      </c>
      <c r="C132" s="1" t="n">
        <v>45788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12.3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Mindre hackspett</t>
        </is>
      </c>
      <c r="S132">
        <f>HYPERLINK("https://klasma.github.io/Logging_0480/artfynd/A 39019-2023 artfynd.xlsx", "A 39019-2023")</f>
        <v/>
      </c>
      <c r="T132">
        <f>HYPERLINK("https://klasma.github.io/Logging_0480/kartor/A 39019-2023 karta.png", "A 39019-2023")</f>
        <v/>
      </c>
      <c r="V132">
        <f>HYPERLINK("https://klasma.github.io/Logging_0480/klagomål/A 39019-2023 FSC-klagomål.docx", "A 39019-2023")</f>
        <v/>
      </c>
      <c r="W132">
        <f>HYPERLINK("https://klasma.github.io/Logging_0480/klagomålsmail/A 39019-2023 FSC-klagomål mail.docx", "A 39019-2023")</f>
        <v/>
      </c>
      <c r="X132">
        <f>HYPERLINK("https://klasma.github.io/Logging_0480/tillsyn/A 39019-2023 tillsynsbegäran.docx", "A 39019-2023")</f>
        <v/>
      </c>
      <c r="Y132">
        <f>HYPERLINK("https://klasma.github.io/Logging_0480/tillsynsmail/A 39019-2023 tillsynsbegäran mail.docx", "A 39019-2023")</f>
        <v/>
      </c>
      <c r="Z132">
        <f>HYPERLINK("https://klasma.github.io/Logging_0480/fåglar/A 39019-2023 prioriterade fågelarter.docx", "A 39019-2023")</f>
        <v/>
      </c>
    </row>
    <row r="133" ht="15" customHeight="1">
      <c r="A133" t="inlineStr">
        <is>
          <t>A 43756-2023</t>
        </is>
      </c>
      <c r="B133" s="1" t="n">
        <v>45187</v>
      </c>
      <c r="C133" s="1" t="n">
        <v>45788</v>
      </c>
      <c r="D133" t="inlineStr">
        <is>
          <t>SÖDERMANLANDS LÄN</t>
        </is>
      </c>
      <c r="E133" t="inlineStr">
        <is>
          <t>NYKÖPING</t>
        </is>
      </c>
      <c r="G133" t="n">
        <v>5.4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Svedjenäva</t>
        </is>
      </c>
      <c r="S133">
        <f>HYPERLINK("https://klasma.github.io/Logging_0480/artfynd/A 43756-2023 artfynd.xlsx", "A 43756-2023")</f>
        <v/>
      </c>
      <c r="T133">
        <f>HYPERLINK("https://klasma.github.io/Logging_0480/kartor/A 43756-2023 karta.png", "A 43756-2023")</f>
        <v/>
      </c>
      <c r="V133">
        <f>HYPERLINK("https://klasma.github.io/Logging_0480/klagomål/A 43756-2023 FSC-klagomål.docx", "A 43756-2023")</f>
        <v/>
      </c>
      <c r="W133">
        <f>HYPERLINK("https://klasma.github.io/Logging_0480/klagomålsmail/A 43756-2023 FSC-klagomål mail.docx", "A 43756-2023")</f>
        <v/>
      </c>
      <c r="X133">
        <f>HYPERLINK("https://klasma.github.io/Logging_0480/tillsyn/A 43756-2023 tillsynsbegäran.docx", "A 43756-2023")</f>
        <v/>
      </c>
      <c r="Y133">
        <f>HYPERLINK("https://klasma.github.io/Logging_0480/tillsynsmail/A 43756-2023 tillsynsbegäran mail.docx", "A 43756-2023")</f>
        <v/>
      </c>
    </row>
    <row r="134" ht="15" customHeight="1">
      <c r="A134" t="inlineStr">
        <is>
          <t>A 54498-2023</t>
        </is>
      </c>
      <c r="B134" s="1" t="n">
        <v>45226</v>
      </c>
      <c r="C134" s="1" t="n">
        <v>45788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glada</t>
        </is>
      </c>
      <c r="S134">
        <f>HYPERLINK("https://klasma.github.io/Logging_0480/artfynd/A 54498-2023 artfynd.xlsx", "A 54498-2023")</f>
        <v/>
      </c>
      <c r="T134">
        <f>HYPERLINK("https://klasma.github.io/Logging_0480/kartor/A 54498-2023 karta.png", "A 54498-2023")</f>
        <v/>
      </c>
      <c r="V134">
        <f>HYPERLINK("https://klasma.github.io/Logging_0480/klagomål/A 54498-2023 FSC-klagomål.docx", "A 54498-2023")</f>
        <v/>
      </c>
      <c r="W134">
        <f>HYPERLINK("https://klasma.github.io/Logging_0480/klagomålsmail/A 54498-2023 FSC-klagomål mail.docx", "A 54498-2023")</f>
        <v/>
      </c>
      <c r="X134">
        <f>HYPERLINK("https://klasma.github.io/Logging_0480/tillsyn/A 54498-2023 tillsynsbegäran.docx", "A 54498-2023")</f>
        <v/>
      </c>
      <c r="Y134">
        <f>HYPERLINK("https://klasma.github.io/Logging_0480/tillsynsmail/A 54498-2023 tillsynsbegäran mail.docx", "A 54498-2023")</f>
        <v/>
      </c>
      <c r="Z134">
        <f>HYPERLINK("https://klasma.github.io/Logging_0480/fåglar/A 54498-2023 prioriterade fågelarter.docx", "A 54498-2023")</f>
        <v/>
      </c>
    </row>
    <row r="135" ht="15" customHeight="1">
      <c r="A135" t="inlineStr">
        <is>
          <t>A 53340-2023</t>
        </is>
      </c>
      <c r="B135" s="1" t="n">
        <v>45229</v>
      </c>
      <c r="C135" s="1" t="n">
        <v>45788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HYPERLINK("https://klasma.github.io/Logging_0480/artfynd/A 53340-2023 artfynd.xlsx", "A 53340-2023")</f>
        <v/>
      </c>
      <c r="T135">
        <f>HYPERLINK("https://klasma.github.io/Logging_0480/kartor/A 53340-2023 karta.png", "A 53340-2023")</f>
        <v/>
      </c>
      <c r="V135">
        <f>HYPERLINK("https://klasma.github.io/Logging_0480/klagomål/A 53340-2023 FSC-klagomål.docx", "A 53340-2023")</f>
        <v/>
      </c>
      <c r="W135">
        <f>HYPERLINK("https://klasma.github.io/Logging_0480/klagomålsmail/A 53340-2023 FSC-klagomål mail.docx", "A 53340-2023")</f>
        <v/>
      </c>
      <c r="X135">
        <f>HYPERLINK("https://klasma.github.io/Logging_0480/tillsyn/A 53340-2023 tillsynsbegäran.docx", "A 53340-2023")</f>
        <v/>
      </c>
      <c r="Y135">
        <f>HYPERLINK("https://klasma.github.io/Logging_0480/tillsynsmail/A 53340-2023 tillsynsbegäran mail.docx", "A 53340-2023")</f>
        <v/>
      </c>
    </row>
    <row r="136" ht="15" customHeight="1">
      <c r="A136" t="inlineStr">
        <is>
          <t>A 59329-2023</t>
        </is>
      </c>
      <c r="B136" s="1" t="n">
        <v>45252</v>
      </c>
      <c r="C136" s="1" t="n">
        <v>45788</v>
      </c>
      <c r="D136" t="inlineStr">
        <is>
          <t>SÖDERMANLANDS LÄN</t>
        </is>
      </c>
      <c r="E136" t="inlineStr">
        <is>
          <t>NYKÖPING</t>
        </is>
      </c>
      <c r="G136" t="n">
        <v>22.1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HYPERLINK("https://klasma.github.io/Logging_0480/artfynd/A 59329-2023 artfynd.xlsx", "A 59329-2023")</f>
        <v/>
      </c>
      <c r="T136">
        <f>HYPERLINK("https://klasma.github.io/Logging_0480/kartor/A 59329-2023 karta.png", "A 59329-2023")</f>
        <v/>
      </c>
      <c r="V136">
        <f>HYPERLINK("https://klasma.github.io/Logging_0480/klagomål/A 59329-2023 FSC-klagomål.docx", "A 59329-2023")</f>
        <v/>
      </c>
      <c r="W136">
        <f>HYPERLINK("https://klasma.github.io/Logging_0480/klagomålsmail/A 59329-2023 FSC-klagomål mail.docx", "A 59329-2023")</f>
        <v/>
      </c>
      <c r="X136">
        <f>HYPERLINK("https://klasma.github.io/Logging_0480/tillsyn/A 59329-2023 tillsynsbegäran.docx", "A 59329-2023")</f>
        <v/>
      </c>
      <c r="Y136">
        <f>HYPERLINK("https://klasma.github.io/Logging_0480/tillsynsmail/A 59329-2023 tillsynsbegäran mail.docx", "A 59329-2023")</f>
        <v/>
      </c>
    </row>
    <row r="137" ht="15" customHeight="1">
      <c r="A137" t="inlineStr">
        <is>
          <t>A 891-2024</t>
        </is>
      </c>
      <c r="B137" s="1" t="n">
        <v>45301</v>
      </c>
      <c r="C137" s="1" t="n">
        <v>45788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HYPERLINK("https://klasma.github.io/Logging_0480/artfynd/A 891-2024 artfynd.xlsx", "A 891-2024")</f>
        <v/>
      </c>
      <c r="T137">
        <f>HYPERLINK("https://klasma.github.io/Logging_0480/kartor/A 891-2024 karta.png", "A 891-2024")</f>
        <v/>
      </c>
      <c r="V137">
        <f>HYPERLINK("https://klasma.github.io/Logging_0480/klagomål/A 891-2024 FSC-klagomål.docx", "A 891-2024")</f>
        <v/>
      </c>
      <c r="W137">
        <f>HYPERLINK("https://klasma.github.io/Logging_0480/klagomålsmail/A 891-2024 FSC-klagomål mail.docx", "A 891-2024")</f>
        <v/>
      </c>
      <c r="X137">
        <f>HYPERLINK("https://klasma.github.io/Logging_0480/tillsyn/A 891-2024 tillsynsbegäran.docx", "A 891-2024")</f>
        <v/>
      </c>
      <c r="Y137">
        <f>HYPERLINK("https://klasma.github.io/Logging_0480/tillsynsmail/A 891-2024 tillsynsbegäran mail.docx", "A 891-2024")</f>
        <v/>
      </c>
    </row>
    <row r="138" ht="15" customHeight="1">
      <c r="A138" t="inlineStr">
        <is>
          <t>A 2902-2024</t>
        </is>
      </c>
      <c r="B138" s="1" t="n">
        <v>45315</v>
      </c>
      <c r="C138" s="1" t="n">
        <v>45788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Kyrkan</t>
        </is>
      </c>
      <c r="G138" t="n">
        <v>3.7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Stubbspretmossa</t>
        </is>
      </c>
      <c r="S138">
        <f>HYPERLINK("https://klasma.github.io/Logging_0480/artfynd/A 2902-2024 artfynd.xlsx", "A 2902-2024")</f>
        <v/>
      </c>
      <c r="T138">
        <f>HYPERLINK("https://klasma.github.io/Logging_0480/kartor/A 2902-2024 karta.png", "A 2902-2024")</f>
        <v/>
      </c>
      <c r="V138">
        <f>HYPERLINK("https://klasma.github.io/Logging_0480/klagomål/A 2902-2024 FSC-klagomål.docx", "A 2902-2024")</f>
        <v/>
      </c>
      <c r="W138">
        <f>HYPERLINK("https://klasma.github.io/Logging_0480/klagomålsmail/A 2902-2024 FSC-klagomål mail.docx", "A 2902-2024")</f>
        <v/>
      </c>
      <c r="X138">
        <f>HYPERLINK("https://klasma.github.io/Logging_0480/tillsyn/A 2902-2024 tillsynsbegäran.docx", "A 2902-2024")</f>
        <v/>
      </c>
      <c r="Y138">
        <f>HYPERLINK("https://klasma.github.io/Logging_0480/tillsynsmail/A 2902-2024 tillsynsbegäran mail.docx", "A 2902-2024")</f>
        <v/>
      </c>
    </row>
    <row r="139" ht="15" customHeight="1">
      <c r="A139" t="inlineStr">
        <is>
          <t>A 4725-2024</t>
        </is>
      </c>
      <c r="B139" s="1" t="n">
        <v>45328</v>
      </c>
      <c r="C139" s="1" t="n">
        <v>45788</v>
      </c>
      <c r="D139" t="inlineStr">
        <is>
          <t>SÖDERMANLANDS LÄN</t>
        </is>
      </c>
      <c r="E139" t="inlineStr">
        <is>
          <t>NYKÖPING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Plattsäv</t>
        </is>
      </c>
      <c r="S139">
        <f>HYPERLINK("https://klasma.github.io/Logging_0480/artfynd/A 4725-2024 artfynd.xlsx", "A 4725-2024")</f>
        <v/>
      </c>
      <c r="T139">
        <f>HYPERLINK("https://klasma.github.io/Logging_0480/kartor/A 4725-2024 karta.png", "A 4725-2024")</f>
        <v/>
      </c>
      <c r="V139">
        <f>HYPERLINK("https://klasma.github.io/Logging_0480/klagomål/A 4725-2024 FSC-klagomål.docx", "A 4725-2024")</f>
        <v/>
      </c>
      <c r="W139">
        <f>HYPERLINK("https://klasma.github.io/Logging_0480/klagomålsmail/A 4725-2024 FSC-klagomål mail.docx", "A 4725-2024")</f>
        <v/>
      </c>
      <c r="X139">
        <f>HYPERLINK("https://klasma.github.io/Logging_0480/tillsyn/A 4725-2024 tillsynsbegäran.docx", "A 4725-2024")</f>
        <v/>
      </c>
      <c r="Y139">
        <f>HYPERLINK("https://klasma.github.io/Logging_0480/tillsynsmail/A 4725-2024 tillsynsbegäran mail.docx", "A 4725-2024")</f>
        <v/>
      </c>
    </row>
    <row r="140" ht="15" customHeight="1">
      <c r="A140" t="inlineStr">
        <is>
          <t>A 9184-2024</t>
        </is>
      </c>
      <c r="B140" s="1" t="n">
        <v>45357</v>
      </c>
      <c r="C140" s="1" t="n">
        <v>45788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Raggtaggsvamp</t>
        </is>
      </c>
      <c r="S140">
        <f>HYPERLINK("https://klasma.github.io/Logging_0480/artfynd/A 9184-2024 artfynd.xlsx", "A 9184-2024")</f>
        <v/>
      </c>
      <c r="T140">
        <f>HYPERLINK("https://klasma.github.io/Logging_0480/kartor/A 9184-2024 karta.png", "A 9184-2024")</f>
        <v/>
      </c>
      <c r="V140">
        <f>HYPERLINK("https://klasma.github.io/Logging_0480/klagomål/A 9184-2024 FSC-klagomål.docx", "A 9184-2024")</f>
        <v/>
      </c>
      <c r="W140">
        <f>HYPERLINK("https://klasma.github.io/Logging_0480/klagomålsmail/A 9184-2024 FSC-klagomål mail.docx", "A 9184-2024")</f>
        <v/>
      </c>
      <c r="X140">
        <f>HYPERLINK("https://klasma.github.io/Logging_0480/tillsyn/A 9184-2024 tillsynsbegäran.docx", "A 9184-2024")</f>
        <v/>
      </c>
      <c r="Y140">
        <f>HYPERLINK("https://klasma.github.io/Logging_0480/tillsynsmail/A 9184-2024 tillsynsbegäran mail.docx", "A 9184-2024")</f>
        <v/>
      </c>
    </row>
    <row r="141" ht="15" customHeight="1">
      <c r="A141" t="inlineStr">
        <is>
          <t>A 13038-2024</t>
        </is>
      </c>
      <c r="B141" s="1" t="n">
        <v>45385</v>
      </c>
      <c r="C141" s="1" t="n">
        <v>45788</v>
      </c>
      <c r="D141" t="inlineStr">
        <is>
          <t>SÖDERMANLANDS LÄN</t>
        </is>
      </c>
      <c r="E141" t="inlineStr">
        <is>
          <t>NYKÖPING</t>
        </is>
      </c>
      <c r="G141" t="n">
        <v>3.8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HYPERLINK("https://klasma.github.io/Logging_0480/artfynd/A 13038-2024 artfynd.xlsx", "A 13038-2024")</f>
        <v/>
      </c>
      <c r="T141">
        <f>HYPERLINK("https://klasma.github.io/Logging_0480/kartor/A 13038-2024 karta.png", "A 13038-2024")</f>
        <v/>
      </c>
      <c r="U141">
        <f>HYPERLINK("https://klasma.github.io/Logging_0480/knärot/A 13038-2024 karta knärot.png", "A 13038-2024")</f>
        <v/>
      </c>
      <c r="V141">
        <f>HYPERLINK("https://klasma.github.io/Logging_0480/klagomål/A 13038-2024 FSC-klagomål.docx", "A 13038-2024")</f>
        <v/>
      </c>
      <c r="W141">
        <f>HYPERLINK("https://klasma.github.io/Logging_0480/klagomålsmail/A 13038-2024 FSC-klagomål mail.docx", "A 13038-2024")</f>
        <v/>
      </c>
      <c r="X141">
        <f>HYPERLINK("https://klasma.github.io/Logging_0480/tillsyn/A 13038-2024 tillsynsbegäran.docx", "A 13038-2024")</f>
        <v/>
      </c>
      <c r="Y141">
        <f>HYPERLINK("https://klasma.github.io/Logging_0480/tillsynsmail/A 13038-2024 tillsynsbegäran mail.docx", "A 13038-2024")</f>
        <v/>
      </c>
    </row>
    <row r="142" ht="15" customHeight="1">
      <c r="A142" t="inlineStr">
        <is>
          <t>A 13724-2024</t>
        </is>
      </c>
      <c r="B142" s="1" t="n">
        <v>45390</v>
      </c>
      <c r="C142" s="1" t="n">
        <v>45788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HYPERLINK("https://klasma.github.io/Logging_0480/artfynd/A 13724-2024 artfynd.xlsx", "A 13724-2024")</f>
        <v/>
      </c>
      <c r="T142">
        <f>HYPERLINK("https://klasma.github.io/Logging_0480/kartor/A 13724-2024 karta.png", "A 13724-2024")</f>
        <v/>
      </c>
      <c r="V142">
        <f>HYPERLINK("https://klasma.github.io/Logging_0480/klagomål/A 13724-2024 FSC-klagomål.docx", "A 13724-2024")</f>
        <v/>
      </c>
      <c r="W142">
        <f>HYPERLINK("https://klasma.github.io/Logging_0480/klagomålsmail/A 13724-2024 FSC-klagomål mail.docx", "A 13724-2024")</f>
        <v/>
      </c>
      <c r="X142">
        <f>HYPERLINK("https://klasma.github.io/Logging_0480/tillsyn/A 13724-2024 tillsynsbegäran.docx", "A 13724-2024")</f>
        <v/>
      </c>
      <c r="Y142">
        <f>HYPERLINK("https://klasma.github.io/Logging_0480/tillsynsmail/A 13724-2024 tillsynsbegäran mail.docx", "A 13724-2024")</f>
        <v/>
      </c>
    </row>
    <row r="143" ht="15" customHeight="1">
      <c r="A143" t="inlineStr">
        <is>
          <t>A 13851-2024</t>
        </is>
      </c>
      <c r="B143" s="1" t="n">
        <v>45391</v>
      </c>
      <c r="C143" s="1" t="n">
        <v>45788</v>
      </c>
      <c r="D143" t="inlineStr">
        <is>
          <t>SÖDERMANLANDS LÄN</t>
        </is>
      </c>
      <c r="E143" t="inlineStr">
        <is>
          <t>NYKÖPING</t>
        </is>
      </c>
      <c r="G143" t="n">
        <v>15.8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HYPERLINK("https://klasma.github.io/Logging_0480/artfynd/A 13851-2024 artfynd.xlsx", "A 13851-2024")</f>
        <v/>
      </c>
      <c r="T143">
        <f>HYPERLINK("https://klasma.github.io/Logging_0480/kartor/A 13851-2024 karta.png", "A 13851-2024")</f>
        <v/>
      </c>
      <c r="V143">
        <f>HYPERLINK("https://klasma.github.io/Logging_0480/klagomål/A 13851-2024 FSC-klagomål.docx", "A 13851-2024")</f>
        <v/>
      </c>
      <c r="W143">
        <f>HYPERLINK("https://klasma.github.io/Logging_0480/klagomålsmail/A 13851-2024 FSC-klagomål mail.docx", "A 13851-2024")</f>
        <v/>
      </c>
      <c r="X143">
        <f>HYPERLINK("https://klasma.github.io/Logging_0480/tillsyn/A 13851-2024 tillsynsbegäran.docx", "A 13851-2024")</f>
        <v/>
      </c>
      <c r="Y143">
        <f>HYPERLINK("https://klasma.github.io/Logging_0480/tillsynsmail/A 13851-2024 tillsynsbegäran mail.docx", "A 13851-2024")</f>
        <v/>
      </c>
    </row>
    <row r="144" ht="15" customHeight="1">
      <c r="A144" t="inlineStr">
        <is>
          <t>A 21173-2024</t>
        </is>
      </c>
      <c r="B144" s="1" t="n">
        <v>45440</v>
      </c>
      <c r="C144" s="1" t="n">
        <v>45788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HYPERLINK("https://klasma.github.io/Logging_0480/artfynd/A 21173-2024 artfynd.xlsx", "A 21173-2024")</f>
        <v/>
      </c>
      <c r="T144">
        <f>HYPERLINK("https://klasma.github.io/Logging_0480/kartor/A 21173-2024 karta.png", "A 21173-2024")</f>
        <v/>
      </c>
      <c r="V144">
        <f>HYPERLINK("https://klasma.github.io/Logging_0480/klagomål/A 21173-2024 FSC-klagomål.docx", "A 21173-2024")</f>
        <v/>
      </c>
      <c r="W144">
        <f>HYPERLINK("https://klasma.github.io/Logging_0480/klagomålsmail/A 21173-2024 FSC-klagomål mail.docx", "A 21173-2024")</f>
        <v/>
      </c>
      <c r="X144">
        <f>HYPERLINK("https://klasma.github.io/Logging_0480/tillsyn/A 21173-2024 tillsynsbegäran.docx", "A 21173-2024")</f>
        <v/>
      </c>
      <c r="Y144">
        <f>HYPERLINK("https://klasma.github.io/Logging_0480/tillsynsmail/A 21173-2024 tillsynsbegäran mail.docx", "A 21173-2024")</f>
        <v/>
      </c>
    </row>
    <row r="145" ht="15" customHeight="1">
      <c r="A145" t="inlineStr">
        <is>
          <t>A 23913-2024</t>
        </is>
      </c>
      <c r="B145" s="1" t="n">
        <v>45455</v>
      </c>
      <c r="C145" s="1" t="n">
        <v>45788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Allmännings- och besparingsskogar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HYPERLINK("https://klasma.github.io/Logging_0480/artfynd/A 23913-2024 artfynd.xlsx", "A 23913-2024")</f>
        <v/>
      </c>
      <c r="T145">
        <f>HYPERLINK("https://klasma.github.io/Logging_0480/kartor/A 23913-2024 karta.png", "A 23913-2024")</f>
        <v/>
      </c>
      <c r="V145">
        <f>HYPERLINK("https://klasma.github.io/Logging_0480/klagomål/A 23913-2024 FSC-klagomål.docx", "A 23913-2024")</f>
        <v/>
      </c>
      <c r="W145">
        <f>HYPERLINK("https://klasma.github.io/Logging_0480/klagomålsmail/A 23913-2024 FSC-klagomål mail.docx", "A 23913-2024")</f>
        <v/>
      </c>
      <c r="X145">
        <f>HYPERLINK("https://klasma.github.io/Logging_0480/tillsyn/A 23913-2024 tillsynsbegäran.docx", "A 23913-2024")</f>
        <v/>
      </c>
      <c r="Y145">
        <f>HYPERLINK("https://klasma.github.io/Logging_0480/tillsynsmail/A 23913-2024 tillsynsbegäran mail.docx", "A 23913-2024")</f>
        <v/>
      </c>
    </row>
    <row r="146" ht="15" customHeight="1">
      <c r="A146" t="inlineStr">
        <is>
          <t>A 29797-2024</t>
        </is>
      </c>
      <c r="B146" s="1" t="n">
        <v>45485</v>
      </c>
      <c r="C146" s="1" t="n">
        <v>45788</v>
      </c>
      <c r="D146" t="inlineStr">
        <is>
          <t>SÖDERMANLANDS LÄN</t>
        </is>
      </c>
      <c r="E146" t="inlineStr">
        <is>
          <t>NYKÖPING</t>
        </is>
      </c>
      <c r="G146" t="n">
        <v>22.2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Större vattensalamander</t>
        </is>
      </c>
      <c r="S146">
        <f>HYPERLINK("https://klasma.github.io/Logging_0480/artfynd/A 29797-2024 artfynd.xlsx", "A 29797-2024")</f>
        <v/>
      </c>
      <c r="T146">
        <f>HYPERLINK("https://klasma.github.io/Logging_0480/kartor/A 29797-2024 karta.png", "A 29797-2024")</f>
        <v/>
      </c>
      <c r="V146">
        <f>HYPERLINK("https://klasma.github.io/Logging_0480/klagomål/A 29797-2024 FSC-klagomål.docx", "A 29797-2024")</f>
        <v/>
      </c>
      <c r="W146">
        <f>HYPERLINK("https://klasma.github.io/Logging_0480/klagomålsmail/A 29797-2024 FSC-klagomål mail.docx", "A 29797-2024")</f>
        <v/>
      </c>
      <c r="X146">
        <f>HYPERLINK("https://klasma.github.io/Logging_0480/tillsyn/A 29797-2024 tillsynsbegäran.docx", "A 29797-2024")</f>
        <v/>
      </c>
      <c r="Y146">
        <f>HYPERLINK("https://klasma.github.io/Logging_0480/tillsynsmail/A 29797-2024 tillsynsbegäran mail.docx", "A 29797-2024")</f>
        <v/>
      </c>
    </row>
    <row r="147" ht="15" customHeight="1">
      <c r="A147" t="inlineStr">
        <is>
          <t>A 45459-2024</t>
        </is>
      </c>
      <c r="B147" s="1" t="n">
        <v>45576</v>
      </c>
      <c r="C147" s="1" t="n">
        <v>45788</v>
      </c>
      <c r="D147" t="inlineStr">
        <is>
          <t>SÖDERMANLANDS LÄN</t>
        </is>
      </c>
      <c r="E147" t="inlineStr">
        <is>
          <t>NYKÖPING</t>
        </is>
      </c>
      <c r="G147" t="n">
        <v>11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HYPERLINK("https://klasma.github.io/Logging_0480/artfynd/A 45459-2024 artfynd.xlsx", "A 45459-2024")</f>
        <v/>
      </c>
      <c r="T147">
        <f>HYPERLINK("https://klasma.github.io/Logging_0480/kartor/A 45459-2024 karta.png", "A 45459-2024")</f>
        <v/>
      </c>
      <c r="V147">
        <f>HYPERLINK("https://klasma.github.io/Logging_0480/klagomål/A 45459-2024 FSC-klagomål.docx", "A 45459-2024")</f>
        <v/>
      </c>
      <c r="W147">
        <f>HYPERLINK("https://klasma.github.io/Logging_0480/klagomålsmail/A 45459-2024 FSC-klagomål mail.docx", "A 45459-2024")</f>
        <v/>
      </c>
      <c r="X147">
        <f>HYPERLINK("https://klasma.github.io/Logging_0480/tillsyn/A 45459-2024 tillsynsbegäran.docx", "A 45459-2024")</f>
        <v/>
      </c>
      <c r="Y147">
        <f>HYPERLINK("https://klasma.github.io/Logging_0480/tillsynsmail/A 45459-2024 tillsynsbegäran mail.docx", "A 45459-2024")</f>
        <v/>
      </c>
    </row>
    <row r="148" ht="15" customHeight="1">
      <c r="A148" t="inlineStr">
        <is>
          <t>A 51258-2024</t>
        </is>
      </c>
      <c r="B148" s="1" t="n">
        <v>45603</v>
      </c>
      <c r="C148" s="1" t="n">
        <v>45788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HYPERLINK("https://klasma.github.io/Logging_0480/artfynd/A 51258-2024 artfynd.xlsx", "A 51258-2024")</f>
        <v/>
      </c>
      <c r="T148">
        <f>HYPERLINK("https://klasma.github.io/Logging_0480/kartor/A 51258-2024 karta.png", "A 51258-2024")</f>
        <v/>
      </c>
      <c r="V148">
        <f>HYPERLINK("https://klasma.github.io/Logging_0480/klagomål/A 51258-2024 FSC-klagomål.docx", "A 51258-2024")</f>
        <v/>
      </c>
      <c r="W148">
        <f>HYPERLINK("https://klasma.github.io/Logging_0480/klagomålsmail/A 51258-2024 FSC-klagomål mail.docx", "A 51258-2024")</f>
        <v/>
      </c>
      <c r="X148">
        <f>HYPERLINK("https://klasma.github.io/Logging_0480/tillsyn/A 51258-2024 tillsynsbegäran.docx", "A 51258-2024")</f>
        <v/>
      </c>
      <c r="Y148">
        <f>HYPERLINK("https://klasma.github.io/Logging_0480/tillsynsmail/A 51258-2024 tillsynsbegäran mail.docx", "A 51258-2024")</f>
        <v/>
      </c>
    </row>
    <row r="149" ht="15" customHeight="1">
      <c r="A149" t="inlineStr">
        <is>
          <t>A 51249-2024</t>
        </is>
      </c>
      <c r="B149" s="1" t="n">
        <v>45603</v>
      </c>
      <c r="C149" s="1" t="n">
        <v>45788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HYPERLINK("https://klasma.github.io/Logging_0480/artfynd/A 51249-2024 artfynd.xlsx", "A 51249-2024")</f>
        <v/>
      </c>
      <c r="T149">
        <f>HYPERLINK("https://klasma.github.io/Logging_0480/kartor/A 51249-2024 karta.png", "A 51249-2024")</f>
        <v/>
      </c>
      <c r="V149">
        <f>HYPERLINK("https://klasma.github.io/Logging_0480/klagomål/A 51249-2024 FSC-klagomål.docx", "A 51249-2024")</f>
        <v/>
      </c>
      <c r="W149">
        <f>HYPERLINK("https://klasma.github.io/Logging_0480/klagomålsmail/A 51249-2024 FSC-klagomål mail.docx", "A 51249-2024")</f>
        <v/>
      </c>
      <c r="X149">
        <f>HYPERLINK("https://klasma.github.io/Logging_0480/tillsyn/A 51249-2024 tillsynsbegäran.docx", "A 51249-2024")</f>
        <v/>
      </c>
      <c r="Y149">
        <f>HYPERLINK("https://klasma.github.io/Logging_0480/tillsynsmail/A 51249-2024 tillsynsbegäran mail.docx", "A 51249-2024")</f>
        <v/>
      </c>
      <c r="Z149">
        <f>HYPERLINK("https://klasma.github.io/Logging_0480/fåglar/A 51249-2024 prioriterade fågelarter.docx", "A 51249-2024")</f>
        <v/>
      </c>
    </row>
    <row r="150" ht="15" customHeight="1">
      <c r="A150" t="inlineStr">
        <is>
          <t>A 52594-2024</t>
        </is>
      </c>
      <c r="B150" s="1" t="n">
        <v>45609</v>
      </c>
      <c r="C150" s="1" t="n">
        <v>45788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HYPERLINK("https://klasma.github.io/Logging_0480/artfynd/A 52594-2024 artfynd.xlsx", "A 52594-2024")</f>
        <v/>
      </c>
      <c r="T150">
        <f>HYPERLINK("https://klasma.github.io/Logging_0480/kartor/A 52594-2024 karta.png", "A 52594-2024")</f>
        <v/>
      </c>
      <c r="V150">
        <f>HYPERLINK("https://klasma.github.io/Logging_0480/klagomål/A 52594-2024 FSC-klagomål.docx", "A 52594-2024")</f>
        <v/>
      </c>
      <c r="W150">
        <f>HYPERLINK("https://klasma.github.io/Logging_0480/klagomålsmail/A 52594-2024 FSC-klagomål mail.docx", "A 52594-2024")</f>
        <v/>
      </c>
      <c r="X150">
        <f>HYPERLINK("https://klasma.github.io/Logging_0480/tillsyn/A 52594-2024 tillsynsbegäran.docx", "A 52594-2024")</f>
        <v/>
      </c>
      <c r="Y150">
        <f>HYPERLINK("https://klasma.github.io/Logging_0480/tillsynsmail/A 52594-2024 tillsynsbegäran mail.docx", "A 52594-2024")</f>
        <v/>
      </c>
    </row>
    <row r="151" ht="15" customHeight="1">
      <c r="A151" t="inlineStr">
        <is>
          <t>A 59214-2024</t>
        </is>
      </c>
      <c r="B151" s="1" t="n">
        <v>45636</v>
      </c>
      <c r="C151" s="1" t="n">
        <v>45788</v>
      </c>
      <c r="D151" t="inlineStr">
        <is>
          <t>SÖDERMANLANDS LÄN</t>
        </is>
      </c>
      <c r="E151" t="inlineStr">
        <is>
          <t>NYKÖPING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HYPERLINK("https://klasma.github.io/Logging_0480/artfynd/A 59214-2024 artfynd.xlsx", "A 59214-2024")</f>
        <v/>
      </c>
      <c r="T151">
        <f>HYPERLINK("https://klasma.github.io/Logging_0480/kartor/A 59214-2024 karta.png", "A 59214-2024")</f>
        <v/>
      </c>
      <c r="V151">
        <f>HYPERLINK("https://klasma.github.io/Logging_0480/klagomål/A 59214-2024 FSC-klagomål.docx", "A 59214-2024")</f>
        <v/>
      </c>
      <c r="W151">
        <f>HYPERLINK("https://klasma.github.io/Logging_0480/klagomålsmail/A 59214-2024 FSC-klagomål mail.docx", "A 59214-2024")</f>
        <v/>
      </c>
      <c r="X151">
        <f>HYPERLINK("https://klasma.github.io/Logging_0480/tillsyn/A 59214-2024 tillsynsbegäran.docx", "A 59214-2024")</f>
        <v/>
      </c>
      <c r="Y151">
        <f>HYPERLINK("https://klasma.github.io/Logging_0480/tillsynsmail/A 59214-2024 tillsynsbegäran mail.docx", "A 59214-2024")</f>
        <v/>
      </c>
    </row>
    <row r="152" ht="15" customHeight="1">
      <c r="A152" t="inlineStr">
        <is>
          <t>A 2837-2025</t>
        </is>
      </c>
      <c r="B152" s="1" t="n">
        <v>45677</v>
      </c>
      <c r="C152" s="1" t="n">
        <v>45788</v>
      </c>
      <c r="D152" t="inlineStr">
        <is>
          <t>SÖDERMANLANDS LÄN</t>
        </is>
      </c>
      <c r="E152" t="inlineStr">
        <is>
          <t>NYKÖPING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Hasselticka</t>
        </is>
      </c>
      <c r="S152">
        <f>HYPERLINK("https://klasma.github.io/Logging_0480/artfynd/A 2837-2025 artfynd.xlsx", "A 2837-2025")</f>
        <v/>
      </c>
      <c r="T152">
        <f>HYPERLINK("https://klasma.github.io/Logging_0480/kartor/A 2837-2025 karta.png", "A 2837-2025")</f>
        <v/>
      </c>
      <c r="V152">
        <f>HYPERLINK("https://klasma.github.io/Logging_0480/klagomål/A 2837-2025 FSC-klagomål.docx", "A 2837-2025")</f>
        <v/>
      </c>
      <c r="W152">
        <f>HYPERLINK("https://klasma.github.io/Logging_0480/klagomålsmail/A 2837-2025 FSC-klagomål mail.docx", "A 2837-2025")</f>
        <v/>
      </c>
      <c r="X152">
        <f>HYPERLINK("https://klasma.github.io/Logging_0480/tillsyn/A 2837-2025 tillsynsbegäran.docx", "A 2837-2025")</f>
        <v/>
      </c>
      <c r="Y152">
        <f>HYPERLINK("https://klasma.github.io/Logging_0480/tillsynsmail/A 2837-2025 tillsynsbegäran mail.docx", "A 2837-2025")</f>
        <v/>
      </c>
    </row>
    <row r="153" ht="15" customHeight="1">
      <c r="A153" t="inlineStr">
        <is>
          <t>A 3700-2025</t>
        </is>
      </c>
      <c r="B153" s="1" t="n">
        <v>45681</v>
      </c>
      <c r="C153" s="1" t="n">
        <v>45788</v>
      </c>
      <c r="D153" t="inlineStr">
        <is>
          <t>SÖDERMANLANDS LÄN</t>
        </is>
      </c>
      <c r="E153" t="inlineStr">
        <is>
          <t>NYKÖPING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HYPERLINK("https://klasma.github.io/Logging_0480/artfynd/A 3700-2025 artfynd.xlsx", "A 3700-2025")</f>
        <v/>
      </c>
      <c r="T153">
        <f>HYPERLINK("https://klasma.github.io/Logging_0480/kartor/A 3700-2025 karta.png", "A 3700-2025")</f>
        <v/>
      </c>
      <c r="V153">
        <f>HYPERLINK("https://klasma.github.io/Logging_0480/klagomål/A 3700-2025 FSC-klagomål.docx", "A 3700-2025")</f>
        <v/>
      </c>
      <c r="W153">
        <f>HYPERLINK("https://klasma.github.io/Logging_0480/klagomålsmail/A 3700-2025 FSC-klagomål mail.docx", "A 3700-2025")</f>
        <v/>
      </c>
      <c r="X153">
        <f>HYPERLINK("https://klasma.github.io/Logging_0480/tillsyn/A 3700-2025 tillsynsbegäran.docx", "A 3700-2025")</f>
        <v/>
      </c>
      <c r="Y153">
        <f>HYPERLINK("https://klasma.github.io/Logging_0480/tillsynsmail/A 3700-2025 tillsynsbegäran mail.docx", "A 3700-2025")</f>
        <v/>
      </c>
      <c r="Z153">
        <f>HYPERLINK("https://klasma.github.io/Logging_0480/fåglar/A 3700-2025 prioriterade fågelarter.docx", "A 3700-2025")</f>
        <v/>
      </c>
    </row>
    <row r="154" ht="15" customHeight="1">
      <c r="A154" t="inlineStr">
        <is>
          <t>A 7274-2025</t>
        </is>
      </c>
      <c r="B154" s="1" t="n">
        <v>45702</v>
      </c>
      <c r="C154" s="1" t="n">
        <v>45788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Övriga Aktiebolag</t>
        </is>
      </c>
      <c r="G154" t="n">
        <v>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Järpe</t>
        </is>
      </c>
      <c r="S154">
        <f>HYPERLINK("https://klasma.github.io/Logging_0480/artfynd/A 7274-2025 artfynd.xlsx", "A 7274-2025")</f>
        <v/>
      </c>
      <c r="T154">
        <f>HYPERLINK("https://klasma.github.io/Logging_0480/kartor/A 7274-2025 karta.png", "A 7274-2025")</f>
        <v/>
      </c>
      <c r="V154">
        <f>HYPERLINK("https://klasma.github.io/Logging_0480/klagomål/A 7274-2025 FSC-klagomål.docx", "A 7274-2025")</f>
        <v/>
      </c>
      <c r="W154">
        <f>HYPERLINK("https://klasma.github.io/Logging_0480/klagomålsmail/A 7274-2025 FSC-klagomål mail.docx", "A 7274-2025")</f>
        <v/>
      </c>
      <c r="X154">
        <f>HYPERLINK("https://klasma.github.io/Logging_0480/tillsyn/A 7274-2025 tillsynsbegäran.docx", "A 7274-2025")</f>
        <v/>
      </c>
      <c r="Y154">
        <f>HYPERLINK("https://klasma.github.io/Logging_0480/tillsynsmail/A 7274-2025 tillsynsbegäran mail.docx", "A 7274-2025")</f>
        <v/>
      </c>
      <c r="Z154">
        <f>HYPERLINK("https://klasma.github.io/Logging_0480/fåglar/A 7274-2025 prioriterade fågelarter.docx", "A 7274-2025")</f>
        <v/>
      </c>
    </row>
    <row r="155" ht="15" customHeight="1">
      <c r="A155" t="inlineStr">
        <is>
          <t>A 17818-2019</t>
        </is>
      </c>
      <c r="B155" s="1" t="n">
        <v>43556</v>
      </c>
      <c r="C155" s="1" t="n">
        <v>45788</v>
      </c>
      <c r="D155" t="inlineStr">
        <is>
          <t>SÖDERMANLANDS LÄN</t>
        </is>
      </c>
      <c r="E155" t="inlineStr">
        <is>
          <t>NYKÖPING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17815-2019</t>
        </is>
      </c>
      <c r="B156" s="1" t="n">
        <v>43556</v>
      </c>
      <c r="C156" s="1" t="n">
        <v>45788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17823-2019</t>
        </is>
      </c>
      <c r="B157" s="1" t="n">
        <v>43556</v>
      </c>
      <c r="C157" s="1" t="n">
        <v>45788</v>
      </c>
      <c r="D157" t="inlineStr">
        <is>
          <t>SÖDERMANLANDS LÄN</t>
        </is>
      </c>
      <c r="E157" t="inlineStr">
        <is>
          <t>NYKÖPING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18334-2019</t>
        </is>
      </c>
      <c r="B158" s="1" t="n">
        <v>43558</v>
      </c>
      <c r="C158" s="1" t="n">
        <v>45788</v>
      </c>
      <c r="D158" t="inlineStr">
        <is>
          <t>SÖDERMANLANDS LÄN</t>
        </is>
      </c>
      <c r="E158" t="inlineStr">
        <is>
          <t>NYKÖPING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18740-2019</t>
        </is>
      </c>
      <c r="B159" s="1" t="n">
        <v>43560</v>
      </c>
      <c r="C159" s="1" t="n">
        <v>45788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18786-2019</t>
        </is>
      </c>
      <c r="B160" s="1" t="n">
        <v>43562</v>
      </c>
      <c r="C160" s="1" t="n">
        <v>45788</v>
      </c>
      <c r="D160" t="inlineStr">
        <is>
          <t>SÖDERMANLANDS LÄN</t>
        </is>
      </c>
      <c r="E160" t="inlineStr">
        <is>
          <t>NYKÖPING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18793-2019</t>
        </is>
      </c>
      <c r="B161" s="1" t="n">
        <v>43562</v>
      </c>
      <c r="C161" s="1" t="n">
        <v>45788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19476-2019</t>
        </is>
      </c>
      <c r="B162" s="1" t="n">
        <v>43565</v>
      </c>
      <c r="C162" s="1" t="n">
        <v>45788</v>
      </c>
      <c r="D162" t="inlineStr">
        <is>
          <t>SÖDERMANLANDS LÄN</t>
        </is>
      </c>
      <c r="E162" t="inlineStr">
        <is>
          <t>NYKÖPING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19427-2019</t>
        </is>
      </c>
      <c r="B163" s="1" t="n">
        <v>43565</v>
      </c>
      <c r="C163" s="1" t="n">
        <v>45788</v>
      </c>
      <c r="D163" t="inlineStr">
        <is>
          <t>SÖDERMANLANDS LÄN</t>
        </is>
      </c>
      <c r="E163" t="inlineStr">
        <is>
          <t>NYKÖPING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19511-2019</t>
        </is>
      </c>
      <c r="B164" s="1" t="n">
        <v>43565</v>
      </c>
      <c r="C164" s="1" t="n">
        <v>45788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19469-2019</t>
        </is>
      </c>
      <c r="B165" s="1" t="n">
        <v>43565</v>
      </c>
      <c r="C165" s="1" t="n">
        <v>45788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19692-2019</t>
        </is>
      </c>
      <c r="B166" s="1" t="n">
        <v>43566</v>
      </c>
      <c r="C166" s="1" t="n">
        <v>45788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19980-2019</t>
        </is>
      </c>
      <c r="B167" s="1" t="n">
        <v>43570</v>
      </c>
      <c r="C167" s="1" t="n">
        <v>45788</v>
      </c>
      <c r="D167" t="inlineStr">
        <is>
          <t>SÖDERMANLANDS LÄN</t>
        </is>
      </c>
      <c r="E167" t="inlineStr">
        <is>
          <t>NYKÖPING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21585-2019</t>
        </is>
      </c>
      <c r="B168" s="1" t="n">
        <v>43580</v>
      </c>
      <c r="C168" s="1" t="n">
        <v>45788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21694-2019</t>
        </is>
      </c>
      <c r="B169" s="1" t="n">
        <v>43581</v>
      </c>
      <c r="C169" s="1" t="n">
        <v>45788</v>
      </c>
      <c r="D169" t="inlineStr">
        <is>
          <t>SÖDERMANLANDS LÄN</t>
        </is>
      </c>
      <c r="E169" t="inlineStr">
        <is>
          <t>NYKÖPING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23055-2019</t>
        </is>
      </c>
      <c r="B170" s="1" t="n">
        <v>43591</v>
      </c>
      <c r="C170" s="1" t="n">
        <v>45788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23053-2019</t>
        </is>
      </c>
      <c r="B171" s="1" t="n">
        <v>43591</v>
      </c>
      <c r="C171" s="1" t="n">
        <v>45788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23553-2019</t>
        </is>
      </c>
      <c r="B172" s="1" t="n">
        <v>43594</v>
      </c>
      <c r="C172" s="1" t="n">
        <v>45788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24069-2019</t>
        </is>
      </c>
      <c r="B173" s="1" t="n">
        <v>43598</v>
      </c>
      <c r="C173" s="1" t="n">
        <v>45788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24368-2019</t>
        </is>
      </c>
      <c r="B174" s="1" t="n">
        <v>43599</v>
      </c>
      <c r="C174" s="1" t="n">
        <v>45788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24622-2019</t>
        </is>
      </c>
      <c r="B175" s="1" t="n">
        <v>43601</v>
      </c>
      <c r="C175" s="1" t="n">
        <v>45788</v>
      </c>
      <c r="D175" t="inlineStr">
        <is>
          <t>SÖDERMANLANDS LÄN</t>
        </is>
      </c>
      <c r="E175" t="inlineStr">
        <is>
          <t>NYKÖPING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24616-2019</t>
        </is>
      </c>
      <c r="B176" s="1" t="n">
        <v>43601</v>
      </c>
      <c r="C176" s="1" t="n">
        <v>45788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26542-2019</t>
        </is>
      </c>
      <c r="B177" s="1" t="n">
        <v>43612</v>
      </c>
      <c r="C177" s="1" t="n">
        <v>45788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27545-2019</t>
        </is>
      </c>
      <c r="B178" s="1" t="n">
        <v>43619</v>
      </c>
      <c r="C178" s="1" t="n">
        <v>45788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28029-2019</t>
        </is>
      </c>
      <c r="B179" s="1" t="n">
        <v>43621</v>
      </c>
      <c r="C179" s="1" t="n">
        <v>45788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28035-2019</t>
        </is>
      </c>
      <c r="B180" s="1" t="n">
        <v>43621</v>
      </c>
      <c r="C180" s="1" t="n">
        <v>45788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28025-2019</t>
        </is>
      </c>
      <c r="B181" s="1" t="n">
        <v>43621</v>
      </c>
      <c r="C181" s="1" t="n">
        <v>45788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28401-2019</t>
        </is>
      </c>
      <c r="B182" s="1" t="n">
        <v>43626</v>
      </c>
      <c r="C182" s="1" t="n">
        <v>45788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28400-2019</t>
        </is>
      </c>
      <c r="B183" s="1" t="n">
        <v>43626</v>
      </c>
      <c r="C183" s="1" t="n">
        <v>45788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28404-2019</t>
        </is>
      </c>
      <c r="B184" s="1" t="n">
        <v>43626</v>
      </c>
      <c r="C184" s="1" t="n">
        <v>45788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28402-2019</t>
        </is>
      </c>
      <c r="B185" s="1" t="n">
        <v>43626</v>
      </c>
      <c r="C185" s="1" t="n">
        <v>45788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28568-2019</t>
        </is>
      </c>
      <c r="B186" s="1" t="n">
        <v>43626</v>
      </c>
      <c r="C186" s="1" t="n">
        <v>45788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28567-2019</t>
        </is>
      </c>
      <c r="B187" s="1" t="n">
        <v>43626</v>
      </c>
      <c r="C187" s="1" t="n">
        <v>45788</v>
      </c>
      <c r="D187" t="inlineStr">
        <is>
          <t>SÖDERMANLANDS LÄN</t>
        </is>
      </c>
      <c r="E187" t="inlineStr">
        <is>
          <t>NYKÖPING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28405-2019</t>
        </is>
      </c>
      <c r="B188" s="1" t="n">
        <v>43626</v>
      </c>
      <c r="C188" s="1" t="n">
        <v>45788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28719-2019</t>
        </is>
      </c>
      <c r="B189" s="1" t="n">
        <v>43627</v>
      </c>
      <c r="C189" s="1" t="n">
        <v>45788</v>
      </c>
      <c r="D189" t="inlineStr">
        <is>
          <t>SÖDERMANLANDS LÄN</t>
        </is>
      </c>
      <c r="E189" t="inlineStr">
        <is>
          <t>NYKÖPING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30025-2019</t>
        </is>
      </c>
      <c r="B190" s="1" t="n">
        <v>43630</v>
      </c>
      <c r="C190" s="1" t="n">
        <v>45788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30982-2019</t>
        </is>
      </c>
      <c r="B191" s="1" t="n">
        <v>43640</v>
      </c>
      <c r="C191" s="1" t="n">
        <v>45788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31687-2019</t>
        </is>
      </c>
      <c r="B192" s="1" t="n">
        <v>43642</v>
      </c>
      <c r="C192" s="1" t="n">
        <v>45788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32926-2019</t>
        </is>
      </c>
      <c r="B193" s="1" t="n">
        <v>43643</v>
      </c>
      <c r="C193" s="1" t="n">
        <v>45788</v>
      </c>
      <c r="D193" t="inlineStr">
        <is>
          <t>SÖDERMANLANDS LÄN</t>
        </is>
      </c>
      <c r="E193" t="inlineStr">
        <is>
          <t>NYKÖPING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32804-2019</t>
        </is>
      </c>
      <c r="B194" s="1" t="n">
        <v>43643</v>
      </c>
      <c r="C194" s="1" t="n">
        <v>45788</v>
      </c>
      <c r="D194" t="inlineStr">
        <is>
          <t>SÖDERMANLANDS LÄN</t>
        </is>
      </c>
      <c r="E194" t="inlineStr">
        <is>
          <t>NYKÖPING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32931-2019</t>
        </is>
      </c>
      <c r="B195" s="1" t="n">
        <v>43643</v>
      </c>
      <c r="C195" s="1" t="n">
        <v>45788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32353-2019</t>
        </is>
      </c>
      <c r="B196" s="1" t="n">
        <v>43644</v>
      </c>
      <c r="C196" s="1" t="n">
        <v>45788</v>
      </c>
      <c r="D196" t="inlineStr">
        <is>
          <t>SÖDERMANLANDS LÄN</t>
        </is>
      </c>
      <c r="E196" t="inlineStr">
        <is>
          <t>NYKÖPING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33364-2019</t>
        </is>
      </c>
      <c r="B197" s="1" t="n">
        <v>43650</v>
      </c>
      <c r="C197" s="1" t="n">
        <v>45788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33315-2019</t>
        </is>
      </c>
      <c r="B198" s="1" t="n">
        <v>43650</v>
      </c>
      <c r="C198" s="1" t="n">
        <v>45788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35468-2019</t>
        </is>
      </c>
      <c r="B199" s="1" t="n">
        <v>43651</v>
      </c>
      <c r="C199" s="1" t="n">
        <v>45788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33968-2019</t>
        </is>
      </c>
      <c r="B200" s="1" t="n">
        <v>43654</v>
      </c>
      <c r="C200" s="1" t="n">
        <v>45788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34606-2019</t>
        </is>
      </c>
      <c r="B201" s="1" t="n">
        <v>43657</v>
      </c>
      <c r="C201" s="1" t="n">
        <v>45788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35140-2019</t>
        </is>
      </c>
      <c r="B202" s="1" t="n">
        <v>43661</v>
      </c>
      <c r="C202" s="1" t="n">
        <v>45788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35155-2019</t>
        </is>
      </c>
      <c r="B203" s="1" t="n">
        <v>43661</v>
      </c>
      <c r="C203" s="1" t="n">
        <v>45788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35145-2019</t>
        </is>
      </c>
      <c r="B204" s="1" t="n">
        <v>43661</v>
      </c>
      <c r="C204" s="1" t="n">
        <v>45788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35591-2019</t>
        </is>
      </c>
      <c r="B205" s="1" t="n">
        <v>43664</v>
      </c>
      <c r="C205" s="1" t="n">
        <v>45788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35590-2019</t>
        </is>
      </c>
      <c r="B206" s="1" t="n">
        <v>43664</v>
      </c>
      <c r="C206" s="1" t="n">
        <v>45788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36582-2019</t>
        </is>
      </c>
      <c r="B207" s="1" t="n">
        <v>43669</v>
      </c>
      <c r="C207" s="1" t="n">
        <v>45788</v>
      </c>
      <c r="D207" t="inlineStr">
        <is>
          <t>SÖDERMANLANDS LÄN</t>
        </is>
      </c>
      <c r="E207" t="inlineStr">
        <is>
          <t>NYKÖPING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37416-2019</t>
        </is>
      </c>
      <c r="B208" s="1" t="n">
        <v>43678</v>
      </c>
      <c r="C208" s="1" t="n">
        <v>45788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37344-2019</t>
        </is>
      </c>
      <c r="B209" s="1" t="n">
        <v>43678</v>
      </c>
      <c r="C209" s="1" t="n">
        <v>45788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37744-2019</t>
        </is>
      </c>
      <c r="B210" s="1" t="n">
        <v>43682</v>
      </c>
      <c r="C210" s="1" t="n">
        <v>45788</v>
      </c>
      <c r="D210" t="inlineStr">
        <is>
          <t>SÖDERMANLANDS LÄN</t>
        </is>
      </c>
      <c r="E210" t="inlineStr">
        <is>
          <t>NYKÖPING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38046-2019</t>
        </is>
      </c>
      <c r="B211" s="1" t="n">
        <v>43683</v>
      </c>
      <c r="C211" s="1" t="n">
        <v>45788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37940-2019</t>
        </is>
      </c>
      <c r="B212" s="1" t="n">
        <v>43683</v>
      </c>
      <c r="C212" s="1" t="n">
        <v>45788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38593-2019</t>
        </is>
      </c>
      <c r="B213" s="1" t="n">
        <v>43686</v>
      </c>
      <c r="C213" s="1" t="n">
        <v>45788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38736-2019</t>
        </is>
      </c>
      <c r="B214" s="1" t="n">
        <v>43686</v>
      </c>
      <c r="C214" s="1" t="n">
        <v>45788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39247-2019</t>
        </is>
      </c>
      <c r="B215" s="1" t="n">
        <v>43690</v>
      </c>
      <c r="C215" s="1" t="n">
        <v>45788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39335-2019</t>
        </is>
      </c>
      <c r="B216" s="1" t="n">
        <v>43690</v>
      </c>
      <c r="C216" s="1" t="n">
        <v>45788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39228-2019</t>
        </is>
      </c>
      <c r="B217" s="1" t="n">
        <v>43690</v>
      </c>
      <c r="C217" s="1" t="n">
        <v>45788</v>
      </c>
      <c r="D217" t="inlineStr">
        <is>
          <t>SÖDERMANLANDS LÄN</t>
        </is>
      </c>
      <c r="E217" t="inlineStr">
        <is>
          <t>NYKÖPING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39245-2019</t>
        </is>
      </c>
      <c r="B218" s="1" t="n">
        <v>43690</v>
      </c>
      <c r="C218" s="1" t="n">
        <v>45788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39166-2019</t>
        </is>
      </c>
      <c r="B219" s="1" t="n">
        <v>43690</v>
      </c>
      <c r="C219" s="1" t="n">
        <v>45788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40620-2019</t>
        </is>
      </c>
      <c r="B220" s="1" t="n">
        <v>43691</v>
      </c>
      <c r="C220" s="1" t="n">
        <v>45788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41149-2019</t>
        </is>
      </c>
      <c r="B221" s="1" t="n">
        <v>43698</v>
      </c>
      <c r="C221" s="1" t="n">
        <v>45788</v>
      </c>
      <c r="D221" t="inlineStr">
        <is>
          <t>SÖDERMANLANDS LÄN</t>
        </is>
      </c>
      <c r="E221" t="inlineStr">
        <is>
          <t>NYKÖPING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41154-2019</t>
        </is>
      </c>
      <c r="B222" s="1" t="n">
        <v>43698</v>
      </c>
      <c r="C222" s="1" t="n">
        <v>45788</v>
      </c>
      <c r="D222" t="inlineStr">
        <is>
          <t>SÖDERMANLANDS LÄN</t>
        </is>
      </c>
      <c r="E222" t="inlineStr">
        <is>
          <t>NYKÖPING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41244-2019</t>
        </is>
      </c>
      <c r="B223" s="1" t="n">
        <v>43698</v>
      </c>
      <c r="C223" s="1" t="n">
        <v>45788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41167-2019</t>
        </is>
      </c>
      <c r="B224" s="1" t="n">
        <v>43698</v>
      </c>
      <c r="C224" s="1" t="n">
        <v>45788</v>
      </c>
      <c r="D224" t="inlineStr">
        <is>
          <t>SÖDERMANLANDS LÄN</t>
        </is>
      </c>
      <c r="E224" t="inlineStr">
        <is>
          <t>NYKÖPING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42234-2019</t>
        </is>
      </c>
      <c r="B225" s="1" t="n">
        <v>43703</v>
      </c>
      <c r="C225" s="1" t="n">
        <v>45788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42324-2019</t>
        </is>
      </c>
      <c r="B226" s="1" t="n">
        <v>43703</v>
      </c>
      <c r="C226" s="1" t="n">
        <v>45788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42336-2019</t>
        </is>
      </c>
      <c r="B227" s="1" t="n">
        <v>43703</v>
      </c>
      <c r="C227" s="1" t="n">
        <v>45788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42343-2019</t>
        </is>
      </c>
      <c r="B228" s="1" t="n">
        <v>43703</v>
      </c>
      <c r="C228" s="1" t="n">
        <v>45788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42338-2019</t>
        </is>
      </c>
      <c r="B229" s="1" t="n">
        <v>43703</v>
      </c>
      <c r="C229" s="1" t="n">
        <v>45788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42328-2019</t>
        </is>
      </c>
      <c r="B230" s="1" t="n">
        <v>43703</v>
      </c>
      <c r="C230" s="1" t="n">
        <v>45788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42488-2019</t>
        </is>
      </c>
      <c r="B231" s="1" t="n">
        <v>43704</v>
      </c>
      <c r="C231" s="1" t="n">
        <v>45788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42496-2019</t>
        </is>
      </c>
      <c r="B232" s="1" t="n">
        <v>43704</v>
      </c>
      <c r="C232" s="1" t="n">
        <v>45788</v>
      </c>
      <c r="D232" t="inlineStr">
        <is>
          <t>SÖDERMANLANDS LÄN</t>
        </is>
      </c>
      <c r="E232" t="inlineStr">
        <is>
          <t>NYKÖPING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42491-2019</t>
        </is>
      </c>
      <c r="B233" s="1" t="n">
        <v>43704</v>
      </c>
      <c r="C233" s="1" t="n">
        <v>45788</v>
      </c>
      <c r="D233" t="inlineStr">
        <is>
          <t>SÖDERMANLANDS LÄN</t>
        </is>
      </c>
      <c r="E233" t="inlineStr">
        <is>
          <t>NYKÖPING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43679-2019</t>
        </is>
      </c>
      <c r="B234" s="1" t="n">
        <v>43707</v>
      </c>
      <c r="C234" s="1" t="n">
        <v>45788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44309-2019</t>
        </is>
      </c>
      <c r="B235" s="1" t="n">
        <v>43710</v>
      </c>
      <c r="C235" s="1" t="n">
        <v>45788</v>
      </c>
      <c r="D235" t="inlineStr">
        <is>
          <t>SÖDERMANLANDS LÄN</t>
        </is>
      </c>
      <c r="E235" t="inlineStr">
        <is>
          <t>NYKÖPING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46504-2019</t>
        </is>
      </c>
      <c r="B236" s="1" t="n">
        <v>43717</v>
      </c>
      <c r="C236" s="1" t="n">
        <v>45788</v>
      </c>
      <c r="D236" t="inlineStr">
        <is>
          <t>SÖDERMANLANDS LÄN</t>
        </is>
      </c>
      <c r="E236" t="inlineStr">
        <is>
          <t>NYKÖPING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46078-2019</t>
        </is>
      </c>
      <c r="B237" s="1" t="n">
        <v>43718</v>
      </c>
      <c r="C237" s="1" t="n">
        <v>45788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47034-2019</t>
        </is>
      </c>
      <c r="B238" s="1" t="n">
        <v>43720</v>
      </c>
      <c r="C238" s="1" t="n">
        <v>45788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47122-2019</t>
        </is>
      </c>
      <c r="B239" s="1" t="n">
        <v>43721</v>
      </c>
      <c r="C239" s="1" t="n">
        <v>45788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47127-2019</t>
        </is>
      </c>
      <c r="B240" s="1" t="n">
        <v>43721</v>
      </c>
      <c r="C240" s="1" t="n">
        <v>45788</v>
      </c>
      <c r="D240" t="inlineStr">
        <is>
          <t>SÖDERMANLANDS LÄN</t>
        </is>
      </c>
      <c r="E240" t="inlineStr">
        <is>
          <t>NYKÖPING</t>
        </is>
      </c>
      <c r="G240" t="n">
        <v>49.7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47128-2019</t>
        </is>
      </c>
      <c r="B241" s="1" t="n">
        <v>43721</v>
      </c>
      <c r="C241" s="1" t="n">
        <v>45788</v>
      </c>
      <c r="D241" t="inlineStr">
        <is>
          <t>SÖDERMANLANDS LÄN</t>
        </is>
      </c>
      <c r="E241" t="inlineStr">
        <is>
          <t>NYKÖPING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47431-2019</t>
        </is>
      </c>
      <c r="B242" s="1" t="n">
        <v>43723</v>
      </c>
      <c r="C242" s="1" t="n">
        <v>45788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48452-2019</t>
        </is>
      </c>
      <c r="B243" s="1" t="n">
        <v>43727</v>
      </c>
      <c r="C243" s="1" t="n">
        <v>45788</v>
      </c>
      <c r="D243" t="inlineStr">
        <is>
          <t>SÖDERMANLANDS LÄN</t>
        </is>
      </c>
      <c r="E243" t="inlineStr">
        <is>
          <t>NYKÖPING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48726-2019</t>
        </is>
      </c>
      <c r="B244" s="1" t="n">
        <v>43728</v>
      </c>
      <c r="C244" s="1" t="n">
        <v>45788</v>
      </c>
      <c r="D244" t="inlineStr">
        <is>
          <t>SÖDERMANLANDS LÄN</t>
        </is>
      </c>
      <c r="E244" t="inlineStr">
        <is>
          <t>NYKÖPING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48848-2019</t>
        </is>
      </c>
      <c r="B245" s="1" t="n">
        <v>43728</v>
      </c>
      <c r="C245" s="1" t="n">
        <v>45788</v>
      </c>
      <c r="D245" t="inlineStr">
        <is>
          <t>SÖDERMANLANDS LÄN</t>
        </is>
      </c>
      <c r="E245" t="inlineStr">
        <is>
          <t>NYKÖPING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50046-2019</t>
        </is>
      </c>
      <c r="B246" s="1" t="n">
        <v>43733</v>
      </c>
      <c r="C246" s="1" t="n">
        <v>45788</v>
      </c>
      <c r="D246" t="inlineStr">
        <is>
          <t>SÖDERMANLANDS LÄN</t>
        </is>
      </c>
      <c r="E246" t="inlineStr">
        <is>
          <t>NYKÖPING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50149-2019</t>
        </is>
      </c>
      <c r="B247" s="1" t="n">
        <v>43734</v>
      </c>
      <c r="C247" s="1" t="n">
        <v>45788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50869-2019</t>
        </is>
      </c>
      <c r="B248" s="1" t="n">
        <v>43738</v>
      </c>
      <c r="C248" s="1" t="n">
        <v>45788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51298-2019</t>
        </is>
      </c>
      <c r="B249" s="1" t="n">
        <v>43739</v>
      </c>
      <c r="C249" s="1" t="n">
        <v>45788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51296-2019</t>
        </is>
      </c>
      <c r="B250" s="1" t="n">
        <v>43739</v>
      </c>
      <c r="C250" s="1" t="n">
        <v>45788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52676-2019</t>
        </is>
      </c>
      <c r="B251" s="1" t="n">
        <v>43746</v>
      </c>
      <c r="C251" s="1" t="n">
        <v>45788</v>
      </c>
      <c r="D251" t="inlineStr">
        <is>
          <t>SÖDERMANLANDS LÄN</t>
        </is>
      </c>
      <c r="E251" t="inlineStr">
        <is>
          <t>NYKÖPING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53786-2019</t>
        </is>
      </c>
      <c r="B252" s="1" t="n">
        <v>43751</v>
      </c>
      <c r="C252" s="1" t="n">
        <v>45788</v>
      </c>
      <c r="D252" t="inlineStr">
        <is>
          <t>SÖDERMANLANDS LÄN</t>
        </is>
      </c>
      <c r="E252" t="inlineStr">
        <is>
          <t>NYKÖPING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54244-2019</t>
        </is>
      </c>
      <c r="B253" s="1" t="n">
        <v>43753</v>
      </c>
      <c r="C253" s="1" t="n">
        <v>45788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54208-2019</t>
        </is>
      </c>
      <c r="B254" s="1" t="n">
        <v>43753</v>
      </c>
      <c r="C254" s="1" t="n">
        <v>45788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56842-2019</t>
        </is>
      </c>
      <c r="B255" s="1" t="n">
        <v>43765</v>
      </c>
      <c r="C255" s="1" t="n">
        <v>45788</v>
      </c>
      <c r="D255" t="inlineStr">
        <is>
          <t>SÖDERMANLANDS LÄN</t>
        </is>
      </c>
      <c r="E255" t="inlineStr">
        <is>
          <t>NYKÖPING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56843-2019</t>
        </is>
      </c>
      <c r="B256" s="1" t="n">
        <v>43765</v>
      </c>
      <c r="C256" s="1" t="n">
        <v>45788</v>
      </c>
      <c r="D256" t="inlineStr">
        <is>
          <t>SÖDERMANLANDS LÄN</t>
        </is>
      </c>
      <c r="E256" t="inlineStr">
        <is>
          <t>NYKÖPING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58109-2019</t>
        </is>
      </c>
      <c r="B257" s="1" t="n">
        <v>43766</v>
      </c>
      <c r="C257" s="1" t="n">
        <v>45788</v>
      </c>
      <c r="D257" t="inlineStr">
        <is>
          <t>SÖDERMANLANDS LÄN</t>
        </is>
      </c>
      <c r="E257" t="inlineStr">
        <is>
          <t>NYKÖPING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58108-2019</t>
        </is>
      </c>
      <c r="B258" s="1" t="n">
        <v>43766</v>
      </c>
      <c r="C258" s="1" t="n">
        <v>45788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57407-2019</t>
        </is>
      </c>
      <c r="B259" s="1" t="n">
        <v>43767</v>
      </c>
      <c r="C259" s="1" t="n">
        <v>45788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61821-2019</t>
        </is>
      </c>
      <c r="B260" s="1" t="n">
        <v>43786</v>
      </c>
      <c r="C260" s="1" t="n">
        <v>45788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61843-2019</t>
        </is>
      </c>
      <c r="B261" s="1" t="n">
        <v>43786</v>
      </c>
      <c r="C261" s="1" t="n">
        <v>45788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61822-2019</t>
        </is>
      </c>
      <c r="B262" s="1" t="n">
        <v>43786</v>
      </c>
      <c r="C262" s="1" t="n">
        <v>45788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61876-2019</t>
        </is>
      </c>
      <c r="B263" s="1" t="n">
        <v>43787</v>
      </c>
      <c r="C263" s="1" t="n">
        <v>45788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62272-2019</t>
        </is>
      </c>
      <c r="B264" s="1" t="n">
        <v>43788</v>
      </c>
      <c r="C264" s="1" t="n">
        <v>45788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62324-2019</t>
        </is>
      </c>
      <c r="B265" s="1" t="n">
        <v>43788</v>
      </c>
      <c r="C265" s="1" t="n">
        <v>45788</v>
      </c>
      <c r="D265" t="inlineStr">
        <is>
          <t>SÖDERMANLANDS LÄN</t>
        </is>
      </c>
      <c r="E265" t="inlineStr">
        <is>
          <t>NYKÖPING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63696-2019</t>
        </is>
      </c>
      <c r="B266" s="1" t="n">
        <v>43795</v>
      </c>
      <c r="C266" s="1" t="n">
        <v>45788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63822-2019</t>
        </is>
      </c>
      <c r="B267" s="1" t="n">
        <v>43795</v>
      </c>
      <c r="C267" s="1" t="n">
        <v>45788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64737-2019</t>
        </is>
      </c>
      <c r="B268" s="1" t="n">
        <v>43800</v>
      </c>
      <c r="C268" s="1" t="n">
        <v>45788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64977-2019</t>
        </is>
      </c>
      <c r="B269" s="1" t="n">
        <v>43801</v>
      </c>
      <c r="C269" s="1" t="n">
        <v>45788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65588-2019</t>
        </is>
      </c>
      <c r="B270" s="1" t="n">
        <v>43804</v>
      </c>
      <c r="C270" s="1" t="n">
        <v>45788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65773-2019</t>
        </is>
      </c>
      <c r="B271" s="1" t="n">
        <v>43804</v>
      </c>
      <c r="C271" s="1" t="n">
        <v>45788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65978-2019</t>
        </is>
      </c>
      <c r="B272" s="1" t="n">
        <v>43805</v>
      </c>
      <c r="C272" s="1" t="n">
        <v>45788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66226-2019</t>
        </is>
      </c>
      <c r="B273" s="1" t="n">
        <v>43808</v>
      </c>
      <c r="C273" s="1" t="n">
        <v>45788</v>
      </c>
      <c r="D273" t="inlineStr">
        <is>
          <t>SÖDERMANLANDS LÄN</t>
        </is>
      </c>
      <c r="E273" t="inlineStr">
        <is>
          <t>NYKÖPING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66587-2019</t>
        </is>
      </c>
      <c r="B274" s="1" t="n">
        <v>43809</v>
      </c>
      <c r="C274" s="1" t="n">
        <v>45788</v>
      </c>
      <c r="D274" t="inlineStr">
        <is>
          <t>SÖDERMANLANDS LÄN</t>
        </is>
      </c>
      <c r="E274" t="inlineStr">
        <is>
          <t>NYKÖPING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66636-2019</t>
        </is>
      </c>
      <c r="B275" s="1" t="n">
        <v>43809</v>
      </c>
      <c r="C275" s="1" t="n">
        <v>45788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66676-2019</t>
        </is>
      </c>
      <c r="B276" s="1" t="n">
        <v>43809</v>
      </c>
      <c r="C276" s="1" t="n">
        <v>45788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66686-2019</t>
        </is>
      </c>
      <c r="B277" s="1" t="n">
        <v>43809</v>
      </c>
      <c r="C277" s="1" t="n">
        <v>45788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66790-2019</t>
        </is>
      </c>
      <c r="B278" s="1" t="n">
        <v>43810</v>
      </c>
      <c r="C278" s="1" t="n">
        <v>45788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67405-2019</t>
        </is>
      </c>
      <c r="B279" s="1" t="n">
        <v>43811</v>
      </c>
      <c r="C279" s="1" t="n">
        <v>45788</v>
      </c>
      <c r="D279" t="inlineStr">
        <is>
          <t>SÖDERMANLANDS LÄN</t>
        </is>
      </c>
      <c r="E279" t="inlineStr">
        <is>
          <t>NYKÖPING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67393-2019</t>
        </is>
      </c>
      <c r="B280" s="1" t="n">
        <v>43811</v>
      </c>
      <c r="C280" s="1" t="n">
        <v>45788</v>
      </c>
      <c r="D280" t="inlineStr">
        <is>
          <t>SÖDERMANLANDS LÄN</t>
        </is>
      </c>
      <c r="E280" t="inlineStr">
        <is>
          <t>NYKÖPING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859-2020</t>
        </is>
      </c>
      <c r="B281" s="1" t="n">
        <v>43818</v>
      </c>
      <c r="C281" s="1" t="n">
        <v>45788</v>
      </c>
      <c r="D281" t="inlineStr">
        <is>
          <t>SÖDERMANLANDS LÄN</t>
        </is>
      </c>
      <c r="E281" t="inlineStr">
        <is>
          <t>NYKÖPING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68651-2019</t>
        </is>
      </c>
      <c r="B282" s="1" t="n">
        <v>43819</v>
      </c>
      <c r="C282" s="1" t="n">
        <v>45788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520-2020</t>
        </is>
      </c>
      <c r="B283" s="1" t="n">
        <v>43837</v>
      </c>
      <c r="C283" s="1" t="n">
        <v>45788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613-2020</t>
        </is>
      </c>
      <c r="B284" s="1" t="n">
        <v>43838</v>
      </c>
      <c r="C284" s="1" t="n">
        <v>45788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2048-2020</t>
        </is>
      </c>
      <c r="B285" s="1" t="n">
        <v>43839</v>
      </c>
      <c r="C285" s="1" t="n">
        <v>45788</v>
      </c>
      <c r="D285" t="inlineStr">
        <is>
          <t>SÖDERMANLANDS LÄN</t>
        </is>
      </c>
      <c r="E285" t="inlineStr">
        <is>
          <t>NYKÖPING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981-2020</t>
        </is>
      </c>
      <c r="B286" s="1" t="n">
        <v>43839</v>
      </c>
      <c r="C286" s="1" t="n">
        <v>45788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1879-2020</t>
        </is>
      </c>
      <c r="B287" s="1" t="n">
        <v>43845</v>
      </c>
      <c r="C287" s="1" t="n">
        <v>45788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3987-2020</t>
        </is>
      </c>
      <c r="B288" s="1" t="n">
        <v>43855</v>
      </c>
      <c r="C288" s="1" t="n">
        <v>45788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4187-2020</t>
        </is>
      </c>
      <c r="B289" s="1" t="n">
        <v>43857</v>
      </c>
      <c r="C289" s="1" t="n">
        <v>45788</v>
      </c>
      <c r="D289" t="inlineStr">
        <is>
          <t>SÖDERMANLANDS LÄN</t>
        </is>
      </c>
      <c r="E289" t="inlineStr">
        <is>
          <t>NYKÖPING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5299-2020</t>
        </is>
      </c>
      <c r="B290" s="1" t="n">
        <v>43860</v>
      </c>
      <c r="C290" s="1" t="n">
        <v>45788</v>
      </c>
      <c r="D290" t="inlineStr">
        <is>
          <t>SÖDERMANLANDS LÄN</t>
        </is>
      </c>
      <c r="E290" t="inlineStr">
        <is>
          <t>NYKÖPING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5819-2020</t>
        </is>
      </c>
      <c r="B291" s="1" t="n">
        <v>43864</v>
      </c>
      <c r="C291" s="1" t="n">
        <v>45788</v>
      </c>
      <c r="D291" t="inlineStr">
        <is>
          <t>SÖDERMANLANDS LÄN</t>
        </is>
      </c>
      <c r="E291" t="inlineStr">
        <is>
          <t>NYKÖPING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5816-2020</t>
        </is>
      </c>
      <c r="B292" s="1" t="n">
        <v>43864</v>
      </c>
      <c r="C292" s="1" t="n">
        <v>45788</v>
      </c>
      <c r="D292" t="inlineStr">
        <is>
          <t>SÖDERMANLANDS LÄN</t>
        </is>
      </c>
      <c r="E292" t="inlineStr">
        <is>
          <t>NYKÖPING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6773-2020</t>
        </is>
      </c>
      <c r="B293" s="1" t="n">
        <v>43867</v>
      </c>
      <c r="C293" s="1" t="n">
        <v>45788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7057-2020</t>
        </is>
      </c>
      <c r="B294" s="1" t="n">
        <v>43868</v>
      </c>
      <c r="C294" s="1" t="n">
        <v>45788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7050-2020</t>
        </is>
      </c>
      <c r="B295" s="1" t="n">
        <v>43868</v>
      </c>
      <c r="C295" s="1" t="n">
        <v>45788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7932-2020</t>
        </is>
      </c>
      <c r="B296" s="1" t="n">
        <v>43873</v>
      </c>
      <c r="C296" s="1" t="n">
        <v>45788</v>
      </c>
      <c r="D296" t="inlineStr">
        <is>
          <t>SÖDERMANLANDS LÄN</t>
        </is>
      </c>
      <c r="E296" t="inlineStr">
        <is>
          <t>NYKÖPING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8169-2020</t>
        </is>
      </c>
      <c r="B297" s="1" t="n">
        <v>43874</v>
      </c>
      <c r="C297" s="1" t="n">
        <v>45788</v>
      </c>
      <c r="D297" t="inlineStr">
        <is>
          <t>SÖDERMANLANDS LÄN</t>
        </is>
      </c>
      <c r="E297" t="inlineStr">
        <is>
          <t>NYKÖPING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8239-2020</t>
        </is>
      </c>
      <c r="B298" s="1" t="n">
        <v>43874</v>
      </c>
      <c r="C298" s="1" t="n">
        <v>45788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9217-2020</t>
        </is>
      </c>
      <c r="B299" s="1" t="n">
        <v>43879</v>
      </c>
      <c r="C299" s="1" t="n">
        <v>45788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9253-2020</t>
        </is>
      </c>
      <c r="B300" s="1" t="n">
        <v>43879</v>
      </c>
      <c r="C300" s="1" t="n">
        <v>45788</v>
      </c>
      <c r="D300" t="inlineStr">
        <is>
          <t>SÖDERMANLANDS LÄN</t>
        </is>
      </c>
      <c r="E300" t="inlineStr">
        <is>
          <t>NYKÖPING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9252-2020</t>
        </is>
      </c>
      <c r="B301" s="1" t="n">
        <v>43879</v>
      </c>
      <c r="C301" s="1" t="n">
        <v>45788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9251-2020</t>
        </is>
      </c>
      <c r="B302" s="1" t="n">
        <v>43879</v>
      </c>
      <c r="C302" s="1" t="n">
        <v>45788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9247-2020</t>
        </is>
      </c>
      <c r="B303" s="1" t="n">
        <v>43879</v>
      </c>
      <c r="C303" s="1" t="n">
        <v>45788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11316-2020</t>
        </is>
      </c>
      <c r="B304" s="1" t="n">
        <v>43892</v>
      </c>
      <c r="C304" s="1" t="n">
        <v>45788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11314-2020</t>
        </is>
      </c>
      <c r="B305" s="1" t="n">
        <v>43892</v>
      </c>
      <c r="C305" s="1" t="n">
        <v>45788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13053-2020</t>
        </is>
      </c>
      <c r="B306" s="1" t="n">
        <v>43900</v>
      </c>
      <c r="C306" s="1" t="n">
        <v>45788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13058-2020</t>
        </is>
      </c>
      <c r="B307" s="1" t="n">
        <v>43900</v>
      </c>
      <c r="C307" s="1" t="n">
        <v>45788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13118-2020</t>
        </is>
      </c>
      <c r="B308" s="1" t="n">
        <v>43901</v>
      </c>
      <c r="C308" s="1" t="n">
        <v>45788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13344-2020</t>
        </is>
      </c>
      <c r="B309" s="1" t="n">
        <v>43902</v>
      </c>
      <c r="C309" s="1" t="n">
        <v>45788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13778-2020</t>
        </is>
      </c>
      <c r="B310" s="1" t="n">
        <v>43903</v>
      </c>
      <c r="C310" s="1" t="n">
        <v>45788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13874-2020</t>
        </is>
      </c>
      <c r="B311" s="1" t="n">
        <v>43906</v>
      </c>
      <c r="C311" s="1" t="n">
        <v>45788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14241-2020</t>
        </is>
      </c>
      <c r="B312" s="1" t="n">
        <v>43907</v>
      </c>
      <c r="C312" s="1" t="n">
        <v>45788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14313-2020</t>
        </is>
      </c>
      <c r="B313" s="1" t="n">
        <v>43907</v>
      </c>
      <c r="C313" s="1" t="n">
        <v>45788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14533-2020</t>
        </is>
      </c>
      <c r="B314" s="1" t="n">
        <v>43908</v>
      </c>
      <c r="C314" s="1" t="n">
        <v>45788</v>
      </c>
      <c r="D314" t="inlineStr">
        <is>
          <t>SÖDERMANLANDS LÄN</t>
        </is>
      </c>
      <c r="E314" t="inlineStr">
        <is>
          <t>NYKÖPING</t>
        </is>
      </c>
      <c r="G314" t="n">
        <v>21.2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14708-2020</t>
        </is>
      </c>
      <c r="B315" s="1" t="n">
        <v>43909</v>
      </c>
      <c r="C315" s="1" t="n">
        <v>45788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15469-2020</t>
        </is>
      </c>
      <c r="B316" s="1" t="n">
        <v>43914</v>
      </c>
      <c r="C316" s="1" t="n">
        <v>45788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16227-2020</t>
        </is>
      </c>
      <c r="B317" s="1" t="n">
        <v>43915</v>
      </c>
      <c r="C317" s="1" t="n">
        <v>45788</v>
      </c>
      <c r="D317" t="inlineStr">
        <is>
          <t>SÖDERMANLANDS LÄN</t>
        </is>
      </c>
      <c r="E317" t="inlineStr">
        <is>
          <t>NYKÖPING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16679-2020</t>
        </is>
      </c>
      <c r="B318" s="1" t="n">
        <v>43920</v>
      </c>
      <c r="C318" s="1" t="n">
        <v>45788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16741-2020</t>
        </is>
      </c>
      <c r="B319" s="1" t="n">
        <v>43920</v>
      </c>
      <c r="C319" s="1" t="n">
        <v>45788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17805-2020</t>
        </is>
      </c>
      <c r="B320" s="1" t="n">
        <v>43924</v>
      </c>
      <c r="C320" s="1" t="n">
        <v>45788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19862-2020</t>
        </is>
      </c>
      <c r="B321" s="1" t="n">
        <v>43942</v>
      </c>
      <c r="C321" s="1" t="n">
        <v>45788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20015-2020</t>
        </is>
      </c>
      <c r="B322" s="1" t="n">
        <v>43942</v>
      </c>
      <c r="C322" s="1" t="n">
        <v>45788</v>
      </c>
      <c r="D322" t="inlineStr">
        <is>
          <t>SÖDERMANLANDS LÄN</t>
        </is>
      </c>
      <c r="E322" t="inlineStr">
        <is>
          <t>NYKÖPING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20125-2020</t>
        </is>
      </c>
      <c r="B323" s="1" t="n">
        <v>43943</v>
      </c>
      <c r="C323" s="1" t="n">
        <v>45788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20004-2020</t>
        </is>
      </c>
      <c r="B324" s="1" t="n">
        <v>43943</v>
      </c>
      <c r="C324" s="1" t="n">
        <v>45788</v>
      </c>
      <c r="D324" t="inlineStr">
        <is>
          <t>SÖDERMANLANDS LÄN</t>
        </is>
      </c>
      <c r="E324" t="inlineStr">
        <is>
          <t>NYKÖPING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20114-2020</t>
        </is>
      </c>
      <c r="B325" s="1" t="n">
        <v>43943</v>
      </c>
      <c r="C325" s="1" t="n">
        <v>45788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20145-2020</t>
        </is>
      </c>
      <c r="B326" s="1" t="n">
        <v>43944</v>
      </c>
      <c r="C326" s="1" t="n">
        <v>45788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20387-2020</t>
        </is>
      </c>
      <c r="B327" s="1" t="n">
        <v>43944</v>
      </c>
      <c r="C327" s="1" t="n">
        <v>45788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20384-2020</t>
        </is>
      </c>
      <c r="B328" s="1" t="n">
        <v>43944</v>
      </c>
      <c r="C328" s="1" t="n">
        <v>45788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20226-2020</t>
        </is>
      </c>
      <c r="B329" s="1" t="n">
        <v>43944</v>
      </c>
      <c r="C329" s="1" t="n">
        <v>45788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20396-2020</t>
        </is>
      </c>
      <c r="B330" s="1" t="n">
        <v>43944</v>
      </c>
      <c r="C330" s="1" t="n">
        <v>45788</v>
      </c>
      <c r="D330" t="inlineStr">
        <is>
          <t>SÖDERMANLANDS LÄN</t>
        </is>
      </c>
      <c r="E330" t="inlineStr">
        <is>
          <t>NYKÖPING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20699-2020</t>
        </is>
      </c>
      <c r="B331" s="1" t="n">
        <v>43949</v>
      </c>
      <c r="C331" s="1" t="n">
        <v>45788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21004-2020</t>
        </is>
      </c>
      <c r="B332" s="1" t="n">
        <v>43950</v>
      </c>
      <c r="C332" s="1" t="n">
        <v>45788</v>
      </c>
      <c r="D332" t="inlineStr">
        <is>
          <t>SÖDERMANLANDS LÄN</t>
        </is>
      </c>
      <c r="E332" t="inlineStr">
        <is>
          <t>NYKÖPING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23578-2020</t>
        </is>
      </c>
      <c r="B333" s="1" t="n">
        <v>43969</v>
      </c>
      <c r="C333" s="1" t="n">
        <v>45788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23709-2020</t>
        </is>
      </c>
      <c r="B334" s="1" t="n">
        <v>43969</v>
      </c>
      <c r="C334" s="1" t="n">
        <v>45788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23607-2020</t>
        </is>
      </c>
      <c r="B335" s="1" t="n">
        <v>43969</v>
      </c>
      <c r="C335" s="1" t="n">
        <v>45788</v>
      </c>
      <c r="D335" t="inlineStr">
        <is>
          <t>SÖDERMANLANDS LÄN</t>
        </is>
      </c>
      <c r="E335" t="inlineStr">
        <is>
          <t>NYKÖPING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24226-2020</t>
        </is>
      </c>
      <c r="B336" s="1" t="n">
        <v>43973</v>
      </c>
      <c r="C336" s="1" t="n">
        <v>45788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25517-2020</t>
        </is>
      </c>
      <c r="B337" s="1" t="n">
        <v>43980</v>
      </c>
      <c r="C337" s="1" t="n">
        <v>45788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25754-2020</t>
        </is>
      </c>
      <c r="B338" s="1" t="n">
        <v>43983</v>
      </c>
      <c r="C338" s="1" t="n">
        <v>45788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26245-2020</t>
        </is>
      </c>
      <c r="B339" s="1" t="n">
        <v>43986</v>
      </c>
      <c r="C339" s="1" t="n">
        <v>45788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26243-2020</t>
        </is>
      </c>
      <c r="B340" s="1" t="n">
        <v>43986</v>
      </c>
      <c r="C340" s="1" t="n">
        <v>45788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26773-2020</t>
        </is>
      </c>
      <c r="B341" s="1" t="n">
        <v>43990</v>
      </c>
      <c r="C341" s="1" t="n">
        <v>45788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27338-2020</t>
        </is>
      </c>
      <c r="B342" s="1" t="n">
        <v>43992</v>
      </c>
      <c r="C342" s="1" t="n">
        <v>45788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27449-2020</t>
        </is>
      </c>
      <c r="B343" s="1" t="n">
        <v>43993</v>
      </c>
      <c r="C343" s="1" t="n">
        <v>45788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27596-2020</t>
        </is>
      </c>
      <c r="B344" s="1" t="n">
        <v>43993</v>
      </c>
      <c r="C344" s="1" t="n">
        <v>45788</v>
      </c>
      <c r="D344" t="inlineStr">
        <is>
          <t>SÖDERMANLANDS LÄN</t>
        </is>
      </c>
      <c r="E344" t="inlineStr">
        <is>
          <t>NYKÖPING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27599-2020</t>
        </is>
      </c>
      <c r="B345" s="1" t="n">
        <v>43993</v>
      </c>
      <c r="C345" s="1" t="n">
        <v>45788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28040-2020</t>
        </is>
      </c>
      <c r="B346" s="1" t="n">
        <v>43997</v>
      </c>
      <c r="C346" s="1" t="n">
        <v>45788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28034-2020</t>
        </is>
      </c>
      <c r="B347" s="1" t="n">
        <v>43997</v>
      </c>
      <c r="C347" s="1" t="n">
        <v>45788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28079-2020</t>
        </is>
      </c>
      <c r="B348" s="1" t="n">
        <v>43997</v>
      </c>
      <c r="C348" s="1" t="n">
        <v>45788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28341-2020</t>
        </is>
      </c>
      <c r="B349" s="1" t="n">
        <v>43998</v>
      </c>
      <c r="C349" s="1" t="n">
        <v>45788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28463-2020</t>
        </is>
      </c>
      <c r="B350" s="1" t="n">
        <v>43998</v>
      </c>
      <c r="C350" s="1" t="n">
        <v>45788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28467-2020</t>
        </is>
      </c>
      <c r="B351" s="1" t="n">
        <v>43998</v>
      </c>
      <c r="C351" s="1" t="n">
        <v>45788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28785-2020</t>
        </is>
      </c>
      <c r="B352" s="1" t="n">
        <v>44000</v>
      </c>
      <c r="C352" s="1" t="n">
        <v>45788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29241-2020</t>
        </is>
      </c>
      <c r="B353" s="1" t="n">
        <v>44004</v>
      </c>
      <c r="C353" s="1" t="n">
        <v>45788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29269-2020</t>
        </is>
      </c>
      <c r="B354" s="1" t="n">
        <v>44004</v>
      </c>
      <c r="C354" s="1" t="n">
        <v>45788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29354-2020</t>
        </is>
      </c>
      <c r="B355" s="1" t="n">
        <v>44004</v>
      </c>
      <c r="C355" s="1" t="n">
        <v>45788</v>
      </c>
      <c r="D355" t="inlineStr">
        <is>
          <t>SÖDERMANLANDS LÄN</t>
        </is>
      </c>
      <c r="E355" t="inlineStr">
        <is>
          <t>NYKÖPING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29369-2020</t>
        </is>
      </c>
      <c r="B356" s="1" t="n">
        <v>44004</v>
      </c>
      <c r="C356" s="1" t="n">
        <v>45788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29690-2020</t>
        </is>
      </c>
      <c r="B357" s="1" t="n">
        <v>44005</v>
      </c>
      <c r="C357" s="1" t="n">
        <v>45788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29694-2020</t>
        </is>
      </c>
      <c r="B358" s="1" t="n">
        <v>44005</v>
      </c>
      <c r="C358" s="1" t="n">
        <v>45788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29714-2020</t>
        </is>
      </c>
      <c r="B359" s="1" t="n">
        <v>44005</v>
      </c>
      <c r="C359" s="1" t="n">
        <v>45788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29701-2020</t>
        </is>
      </c>
      <c r="B360" s="1" t="n">
        <v>44005</v>
      </c>
      <c r="C360" s="1" t="n">
        <v>45788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30261-2020</t>
        </is>
      </c>
      <c r="B361" s="1" t="n">
        <v>44007</v>
      </c>
      <c r="C361" s="1" t="n">
        <v>45788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30361-2020</t>
        </is>
      </c>
      <c r="B362" s="1" t="n">
        <v>44007</v>
      </c>
      <c r="C362" s="1" t="n">
        <v>45788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30391-2020</t>
        </is>
      </c>
      <c r="B363" s="1" t="n">
        <v>44007</v>
      </c>
      <c r="C363" s="1" t="n">
        <v>45788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30429-2020</t>
        </is>
      </c>
      <c r="B364" s="1" t="n">
        <v>44007</v>
      </c>
      <c r="C364" s="1" t="n">
        <v>45788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30721-2020</t>
        </is>
      </c>
      <c r="B365" s="1" t="n">
        <v>44008</v>
      </c>
      <c r="C365" s="1" t="n">
        <v>45788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31011-2020</t>
        </is>
      </c>
      <c r="B366" s="1" t="n">
        <v>44011</v>
      </c>
      <c r="C366" s="1" t="n">
        <v>45788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31010-2020</t>
        </is>
      </c>
      <c r="B367" s="1" t="n">
        <v>44011</v>
      </c>
      <c r="C367" s="1" t="n">
        <v>45788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31009-2020</t>
        </is>
      </c>
      <c r="B368" s="1" t="n">
        <v>44011</v>
      </c>
      <c r="C368" s="1" t="n">
        <v>45788</v>
      </c>
      <c r="D368" t="inlineStr">
        <is>
          <t>SÖDERMANLANDS LÄN</t>
        </is>
      </c>
      <c r="E368" t="inlineStr">
        <is>
          <t>NYKÖPING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32546-2020</t>
        </is>
      </c>
      <c r="B369" s="1" t="n">
        <v>44018</v>
      </c>
      <c r="C369" s="1" t="n">
        <v>45788</v>
      </c>
      <c r="D369" t="inlineStr">
        <is>
          <t>SÖDERMANLANDS LÄN</t>
        </is>
      </c>
      <c r="E369" t="inlineStr">
        <is>
          <t>NYKÖPING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32558-2020</t>
        </is>
      </c>
      <c r="B370" s="1" t="n">
        <v>44018</v>
      </c>
      <c r="C370" s="1" t="n">
        <v>45788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34224-2020</t>
        </is>
      </c>
      <c r="B371" s="1" t="n">
        <v>44029</v>
      </c>
      <c r="C371" s="1" t="n">
        <v>45788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34438-2020</t>
        </is>
      </c>
      <c r="B372" s="1" t="n">
        <v>44029</v>
      </c>
      <c r="C372" s="1" t="n">
        <v>45788</v>
      </c>
      <c r="D372" t="inlineStr">
        <is>
          <t>SÖDERMANLANDS LÄN</t>
        </is>
      </c>
      <c r="E372" t="inlineStr">
        <is>
          <t>NYKÖPING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34109-2020</t>
        </is>
      </c>
      <c r="B373" s="1" t="n">
        <v>44029</v>
      </c>
      <c r="C373" s="1" t="n">
        <v>45788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34129-2020</t>
        </is>
      </c>
      <c r="B374" s="1" t="n">
        <v>44029</v>
      </c>
      <c r="C374" s="1" t="n">
        <v>45788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34108-2020</t>
        </is>
      </c>
      <c r="B375" s="1" t="n">
        <v>44029</v>
      </c>
      <c r="C375" s="1" t="n">
        <v>45788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34122-2020</t>
        </is>
      </c>
      <c r="B376" s="1" t="n">
        <v>44029</v>
      </c>
      <c r="C376" s="1" t="n">
        <v>45788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34530-2020</t>
        </is>
      </c>
      <c r="B377" s="1" t="n">
        <v>44033</v>
      </c>
      <c r="C377" s="1" t="n">
        <v>45788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34957-2020</t>
        </is>
      </c>
      <c r="B378" s="1" t="n">
        <v>44036</v>
      </c>
      <c r="C378" s="1" t="n">
        <v>45788</v>
      </c>
      <c r="D378" t="inlineStr">
        <is>
          <t>SÖDERMANLANDS LÄN</t>
        </is>
      </c>
      <c r="E378" t="inlineStr">
        <is>
          <t>NYKÖPING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35698-2020</t>
        </is>
      </c>
      <c r="B379" s="1" t="n">
        <v>44046</v>
      </c>
      <c r="C379" s="1" t="n">
        <v>45788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35855-2020</t>
        </is>
      </c>
      <c r="B380" s="1" t="n">
        <v>44047</v>
      </c>
      <c r="C380" s="1" t="n">
        <v>45788</v>
      </c>
      <c r="D380" t="inlineStr">
        <is>
          <t>SÖDERMANLANDS LÄN</t>
        </is>
      </c>
      <c r="E380" t="inlineStr">
        <is>
          <t>NYKÖPING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36108-2020</t>
        </is>
      </c>
      <c r="B381" s="1" t="n">
        <v>44048</v>
      </c>
      <c r="C381" s="1" t="n">
        <v>45788</v>
      </c>
      <c r="D381" t="inlineStr">
        <is>
          <t>SÖDERMANLANDS LÄN</t>
        </is>
      </c>
      <c r="E381" t="inlineStr">
        <is>
          <t>NYKÖPING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36766-2020</t>
        </is>
      </c>
      <c r="B382" s="1" t="n">
        <v>44053</v>
      </c>
      <c r="C382" s="1" t="n">
        <v>45788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37028-2020</t>
        </is>
      </c>
      <c r="B383" s="1" t="n">
        <v>44053</v>
      </c>
      <c r="C383" s="1" t="n">
        <v>45788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36897-2020</t>
        </is>
      </c>
      <c r="B384" s="1" t="n">
        <v>44053</v>
      </c>
      <c r="C384" s="1" t="n">
        <v>45788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37029-2020</t>
        </is>
      </c>
      <c r="B385" s="1" t="n">
        <v>44053</v>
      </c>
      <c r="C385" s="1" t="n">
        <v>45788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37573-2020</t>
        </is>
      </c>
      <c r="B386" s="1" t="n">
        <v>44056</v>
      </c>
      <c r="C386" s="1" t="n">
        <v>45788</v>
      </c>
      <c r="D386" t="inlineStr">
        <is>
          <t>SÖDERMANLANDS LÄN</t>
        </is>
      </c>
      <c r="E386" t="inlineStr">
        <is>
          <t>NYKÖPING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37763-2020</t>
        </is>
      </c>
      <c r="B387" s="1" t="n">
        <v>44056</v>
      </c>
      <c r="C387" s="1" t="n">
        <v>45788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37838-2020</t>
        </is>
      </c>
      <c r="B388" s="1" t="n">
        <v>44057</v>
      </c>
      <c r="C388" s="1" t="n">
        <v>45788</v>
      </c>
      <c r="D388" t="inlineStr">
        <is>
          <t>SÖDERMANLANDS LÄN</t>
        </is>
      </c>
      <c r="E388" t="inlineStr">
        <is>
          <t>NYKÖPING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38126-2020</t>
        </is>
      </c>
      <c r="B389" s="1" t="n">
        <v>44059</v>
      </c>
      <c r="C389" s="1" t="n">
        <v>45788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38279-2020</t>
        </is>
      </c>
      <c r="B390" s="1" t="n">
        <v>44060</v>
      </c>
      <c r="C390" s="1" t="n">
        <v>45788</v>
      </c>
      <c r="D390" t="inlineStr">
        <is>
          <t>SÖDERMANLANDS LÄN</t>
        </is>
      </c>
      <c r="E390" t="inlineStr">
        <is>
          <t>NYKÖPING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38845-2020</t>
        </is>
      </c>
      <c r="B391" s="1" t="n">
        <v>44062</v>
      </c>
      <c r="C391" s="1" t="n">
        <v>45788</v>
      </c>
      <c r="D391" t="inlineStr">
        <is>
          <t>SÖDERMANLANDS LÄN</t>
        </is>
      </c>
      <c r="E391" t="inlineStr">
        <is>
          <t>NYKÖPING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39197-2020</t>
        </is>
      </c>
      <c r="B392" s="1" t="n">
        <v>44063</v>
      </c>
      <c r="C392" s="1" t="n">
        <v>45788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39772-2020</t>
        </is>
      </c>
      <c r="B393" s="1" t="n">
        <v>44067</v>
      </c>
      <c r="C393" s="1" t="n">
        <v>45788</v>
      </c>
      <c r="D393" t="inlineStr">
        <is>
          <t>SÖDERMANLANDS LÄN</t>
        </is>
      </c>
      <c r="E393" t="inlineStr">
        <is>
          <t>NYKÖPING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39938-2020</t>
        </is>
      </c>
      <c r="B394" s="1" t="n">
        <v>44067</v>
      </c>
      <c r="C394" s="1" t="n">
        <v>45788</v>
      </c>
      <c r="D394" t="inlineStr">
        <is>
          <t>SÖDERMANLANDS LÄN</t>
        </is>
      </c>
      <c r="E394" t="inlineStr">
        <is>
          <t>NYKÖPING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40503-2020</t>
        </is>
      </c>
      <c r="B395" s="1" t="n">
        <v>44069</v>
      </c>
      <c r="C395" s="1" t="n">
        <v>45788</v>
      </c>
      <c r="D395" t="inlineStr">
        <is>
          <t>SÖDERMANLANDS LÄN</t>
        </is>
      </c>
      <c r="E395" t="inlineStr">
        <is>
          <t>NYKÖPING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41479-2020</t>
        </is>
      </c>
      <c r="B396" s="1" t="n">
        <v>44070</v>
      </c>
      <c r="C396" s="1" t="n">
        <v>45788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41821-2020</t>
        </is>
      </c>
      <c r="B397" s="1" t="n">
        <v>44074</v>
      </c>
      <c r="C397" s="1" t="n">
        <v>45788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41837-2020</t>
        </is>
      </c>
      <c r="B398" s="1" t="n">
        <v>44074</v>
      </c>
      <c r="C398" s="1" t="n">
        <v>45788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41790-2020</t>
        </is>
      </c>
      <c r="B399" s="1" t="n">
        <v>44074</v>
      </c>
      <c r="C399" s="1" t="n">
        <v>45788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42827-2020</t>
        </is>
      </c>
      <c r="B400" s="1" t="n">
        <v>44078</v>
      </c>
      <c r="C400" s="1" t="n">
        <v>45788</v>
      </c>
      <c r="D400" t="inlineStr">
        <is>
          <t>SÖDERMANLANDS LÄN</t>
        </is>
      </c>
      <c r="E400" t="inlineStr">
        <is>
          <t>NYKÖPING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42820-2020</t>
        </is>
      </c>
      <c r="B401" s="1" t="n">
        <v>44078</v>
      </c>
      <c r="C401" s="1" t="n">
        <v>45788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42825-2020</t>
        </is>
      </c>
      <c r="B402" s="1" t="n">
        <v>44078</v>
      </c>
      <c r="C402" s="1" t="n">
        <v>45788</v>
      </c>
      <c r="D402" t="inlineStr">
        <is>
          <t>SÖDERMANLANDS LÄN</t>
        </is>
      </c>
      <c r="E402" t="inlineStr">
        <is>
          <t>NYKÖPING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42832-2020</t>
        </is>
      </c>
      <c r="B403" s="1" t="n">
        <v>44078</v>
      </c>
      <c r="C403" s="1" t="n">
        <v>45788</v>
      </c>
      <c r="D403" t="inlineStr">
        <is>
          <t>SÖDERMANLANDS LÄN</t>
        </is>
      </c>
      <c r="E403" t="inlineStr">
        <is>
          <t>NYKÖPING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42822-2020</t>
        </is>
      </c>
      <c r="B404" s="1" t="n">
        <v>44078</v>
      </c>
      <c r="C404" s="1" t="n">
        <v>45788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42824-2020</t>
        </is>
      </c>
      <c r="B405" s="1" t="n">
        <v>44078</v>
      </c>
      <c r="C405" s="1" t="n">
        <v>45788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42829-2020</t>
        </is>
      </c>
      <c r="B406" s="1" t="n">
        <v>44078</v>
      </c>
      <c r="C406" s="1" t="n">
        <v>45788</v>
      </c>
      <c r="D406" t="inlineStr">
        <is>
          <t>SÖDERMANLANDS LÄN</t>
        </is>
      </c>
      <c r="E406" t="inlineStr">
        <is>
          <t>NYKÖPING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43583-2020</t>
        </is>
      </c>
      <c r="B407" s="1" t="n">
        <v>44078</v>
      </c>
      <c r="C407" s="1" t="n">
        <v>45788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43639-2020</t>
        </is>
      </c>
      <c r="B408" s="1" t="n">
        <v>44082</v>
      </c>
      <c r="C408" s="1" t="n">
        <v>45788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43569-2020</t>
        </is>
      </c>
      <c r="B409" s="1" t="n">
        <v>44082</v>
      </c>
      <c r="C409" s="1" t="n">
        <v>45788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43642-2020</t>
        </is>
      </c>
      <c r="B410" s="1" t="n">
        <v>44082</v>
      </c>
      <c r="C410" s="1" t="n">
        <v>45788</v>
      </c>
      <c r="D410" t="inlineStr">
        <is>
          <t>SÖDERMANLANDS LÄN</t>
        </is>
      </c>
      <c r="E410" t="inlineStr">
        <is>
          <t>NYKÖPING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43693-2020</t>
        </is>
      </c>
      <c r="B411" s="1" t="n">
        <v>44082</v>
      </c>
      <c r="C411" s="1" t="n">
        <v>45788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43886-2020</t>
        </is>
      </c>
      <c r="B412" s="1" t="n">
        <v>44082</v>
      </c>
      <c r="C412" s="1" t="n">
        <v>45788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44254-2020</t>
        </is>
      </c>
      <c r="B413" s="1" t="n">
        <v>44084</v>
      </c>
      <c r="C413" s="1" t="n">
        <v>45788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45303-2020</t>
        </is>
      </c>
      <c r="B414" s="1" t="n">
        <v>44085</v>
      </c>
      <c r="C414" s="1" t="n">
        <v>45788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45531-2020</t>
        </is>
      </c>
      <c r="B415" s="1" t="n">
        <v>44089</v>
      </c>
      <c r="C415" s="1" t="n">
        <v>45788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46249-2020</t>
        </is>
      </c>
      <c r="B416" s="1" t="n">
        <v>44092</v>
      </c>
      <c r="C416" s="1" t="n">
        <v>45788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47084-2020</t>
        </is>
      </c>
      <c r="B417" s="1" t="n">
        <v>44096</v>
      </c>
      <c r="C417" s="1" t="n">
        <v>45788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47442-2020</t>
        </is>
      </c>
      <c r="B418" s="1" t="n">
        <v>44097</v>
      </c>
      <c r="C418" s="1" t="n">
        <v>45788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48926-2020</t>
        </is>
      </c>
      <c r="B419" s="1" t="n">
        <v>44102</v>
      </c>
      <c r="C419" s="1" t="n">
        <v>45788</v>
      </c>
      <c r="D419" t="inlineStr">
        <is>
          <t>SÖDERMANLANDS LÄN</t>
        </is>
      </c>
      <c r="E419" t="inlineStr">
        <is>
          <t>NYKÖPING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49029-2020</t>
        </is>
      </c>
      <c r="B420" s="1" t="n">
        <v>44104</v>
      </c>
      <c r="C420" s="1" t="n">
        <v>45788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48849-2020</t>
        </is>
      </c>
      <c r="B421" s="1" t="n">
        <v>44104</v>
      </c>
      <c r="C421" s="1" t="n">
        <v>45788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50176-2020</t>
        </is>
      </c>
      <c r="B422" s="1" t="n">
        <v>44104</v>
      </c>
      <c r="C422" s="1" t="n">
        <v>45788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49412-2020</t>
        </is>
      </c>
      <c r="B423" s="1" t="n">
        <v>44105</v>
      </c>
      <c r="C423" s="1" t="n">
        <v>45788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50130-2020</t>
        </is>
      </c>
      <c r="B424" s="1" t="n">
        <v>44109</v>
      </c>
      <c r="C424" s="1" t="n">
        <v>45788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50510-2020</t>
        </is>
      </c>
      <c r="B425" s="1" t="n">
        <v>44110</v>
      </c>
      <c r="C425" s="1" t="n">
        <v>45788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50516-2020</t>
        </is>
      </c>
      <c r="B426" s="1" t="n">
        <v>44110</v>
      </c>
      <c r="C426" s="1" t="n">
        <v>45788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50569-2020</t>
        </is>
      </c>
      <c r="B427" s="1" t="n">
        <v>44110</v>
      </c>
      <c r="C427" s="1" t="n">
        <v>45788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50703-2020</t>
        </is>
      </c>
      <c r="B428" s="1" t="n">
        <v>44111</v>
      </c>
      <c r="C428" s="1" t="n">
        <v>45788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50948-2020</t>
        </is>
      </c>
      <c r="B429" s="1" t="n">
        <v>44111</v>
      </c>
      <c r="C429" s="1" t="n">
        <v>45788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52521-2020</t>
        </is>
      </c>
      <c r="B430" s="1" t="n">
        <v>44118</v>
      </c>
      <c r="C430" s="1" t="n">
        <v>45788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52609-2020</t>
        </is>
      </c>
      <c r="B431" s="1" t="n">
        <v>44118</v>
      </c>
      <c r="C431" s="1" t="n">
        <v>45788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52808-2020</t>
        </is>
      </c>
      <c r="B432" s="1" t="n">
        <v>44119</v>
      </c>
      <c r="C432" s="1" t="n">
        <v>45788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52822-2020</t>
        </is>
      </c>
      <c r="B433" s="1" t="n">
        <v>44119</v>
      </c>
      <c r="C433" s="1" t="n">
        <v>45788</v>
      </c>
      <c r="D433" t="inlineStr">
        <is>
          <t>SÖDERMANLANDS LÄN</t>
        </is>
      </c>
      <c r="E433" t="inlineStr">
        <is>
          <t>NYKÖPING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53092-2020</t>
        </is>
      </c>
      <c r="B434" s="1" t="n">
        <v>44120</v>
      </c>
      <c r="C434" s="1" t="n">
        <v>45788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53659-2020</t>
        </is>
      </c>
      <c r="B435" s="1" t="n">
        <v>44124</v>
      </c>
      <c r="C435" s="1" t="n">
        <v>45788</v>
      </c>
      <c r="D435" t="inlineStr">
        <is>
          <t>SÖDERMANLANDS LÄN</t>
        </is>
      </c>
      <c r="E435" t="inlineStr">
        <is>
          <t>NYKÖPING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54846-2020</t>
        </is>
      </c>
      <c r="B436" s="1" t="n">
        <v>44126</v>
      </c>
      <c r="C436" s="1" t="n">
        <v>45788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55713-2020</t>
        </is>
      </c>
      <c r="B437" s="1" t="n">
        <v>44132</v>
      </c>
      <c r="C437" s="1" t="n">
        <v>45788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55696-2020</t>
        </is>
      </c>
      <c r="B438" s="1" t="n">
        <v>44132</v>
      </c>
      <c r="C438" s="1" t="n">
        <v>45788</v>
      </c>
      <c r="D438" t="inlineStr">
        <is>
          <t>SÖDERMANLANDS LÄN</t>
        </is>
      </c>
      <c r="E438" t="inlineStr">
        <is>
          <t>NYKÖPING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55709-2020</t>
        </is>
      </c>
      <c r="B439" s="1" t="n">
        <v>44132</v>
      </c>
      <c r="C439" s="1" t="n">
        <v>45788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55716-2020</t>
        </is>
      </c>
      <c r="B440" s="1" t="n">
        <v>44132</v>
      </c>
      <c r="C440" s="1" t="n">
        <v>45788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56617-2020</t>
        </is>
      </c>
      <c r="B441" s="1" t="n">
        <v>44137</v>
      </c>
      <c r="C441" s="1" t="n">
        <v>45788</v>
      </c>
      <c r="D441" t="inlineStr">
        <is>
          <t>SÖDERMANLANDS LÄN</t>
        </is>
      </c>
      <c r="E441" t="inlineStr">
        <is>
          <t>NYKÖPING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45788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57128-2020</t>
        </is>
      </c>
      <c r="B443" s="1" t="n">
        <v>44138</v>
      </c>
      <c r="C443" s="1" t="n">
        <v>45788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57140-2020</t>
        </is>
      </c>
      <c r="B444" s="1" t="n">
        <v>44138</v>
      </c>
      <c r="C444" s="1" t="n">
        <v>45788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57156-2020</t>
        </is>
      </c>
      <c r="B445" s="1" t="n">
        <v>44138</v>
      </c>
      <c r="C445" s="1" t="n">
        <v>45788</v>
      </c>
      <c r="D445" t="inlineStr">
        <is>
          <t>SÖDERMANLANDS LÄN</t>
        </is>
      </c>
      <c r="E445" t="inlineStr">
        <is>
          <t>NYKÖPING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57123-2020</t>
        </is>
      </c>
      <c r="B446" s="1" t="n">
        <v>44138</v>
      </c>
      <c r="C446" s="1" t="n">
        <v>45788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45788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57414-2020</t>
        </is>
      </c>
      <c r="B448" s="1" t="n">
        <v>44140</v>
      </c>
      <c r="C448" s="1" t="n">
        <v>45788</v>
      </c>
      <c r="D448" t="inlineStr">
        <is>
          <t>SÖDERMANLANDS LÄN</t>
        </is>
      </c>
      <c r="E448" t="inlineStr">
        <is>
          <t>NYKÖPING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58163-2020</t>
        </is>
      </c>
      <c r="B449" s="1" t="n">
        <v>44144</v>
      </c>
      <c r="C449" s="1" t="n">
        <v>45788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58154-2020</t>
        </is>
      </c>
      <c r="B450" s="1" t="n">
        <v>44144</v>
      </c>
      <c r="C450" s="1" t="n">
        <v>45788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58686-2020</t>
        </is>
      </c>
      <c r="B451" s="1" t="n">
        <v>44146</v>
      </c>
      <c r="C451" s="1" t="n">
        <v>45788</v>
      </c>
      <c r="D451" t="inlineStr">
        <is>
          <t>SÖDERMANLANDS LÄN</t>
        </is>
      </c>
      <c r="E451" t="inlineStr">
        <is>
          <t>NYKÖPING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58884-2020</t>
        </is>
      </c>
      <c r="B452" s="1" t="n">
        <v>44146</v>
      </c>
      <c r="C452" s="1" t="n">
        <v>45788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58899-2020</t>
        </is>
      </c>
      <c r="B453" s="1" t="n">
        <v>44146</v>
      </c>
      <c r="C453" s="1" t="n">
        <v>45788</v>
      </c>
      <c r="D453" t="inlineStr">
        <is>
          <t>SÖDERMANLANDS LÄN</t>
        </is>
      </c>
      <c r="E453" t="inlineStr">
        <is>
          <t>NYKÖPING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58923-2020</t>
        </is>
      </c>
      <c r="B454" s="1" t="n">
        <v>44146</v>
      </c>
      <c r="C454" s="1" t="n">
        <v>45788</v>
      </c>
      <c r="D454" t="inlineStr">
        <is>
          <t>SÖDERMANLANDS LÄN</t>
        </is>
      </c>
      <c r="E454" t="inlineStr">
        <is>
          <t>NYKÖPING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58921-2020</t>
        </is>
      </c>
      <c r="B455" s="1" t="n">
        <v>44146</v>
      </c>
      <c r="C455" s="1" t="n">
        <v>45788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59856-2020</t>
        </is>
      </c>
      <c r="B456" s="1" t="n">
        <v>44151</v>
      </c>
      <c r="C456" s="1" t="n">
        <v>45788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60274-2020</t>
        </is>
      </c>
      <c r="B457" s="1" t="n">
        <v>44152</v>
      </c>
      <c r="C457" s="1" t="n">
        <v>45788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60232-2020</t>
        </is>
      </c>
      <c r="B458" s="1" t="n">
        <v>44152</v>
      </c>
      <c r="C458" s="1" t="n">
        <v>45788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60478-2020</t>
        </is>
      </c>
      <c r="B459" s="1" t="n">
        <v>44153</v>
      </c>
      <c r="C459" s="1" t="n">
        <v>45788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60464-2020</t>
        </is>
      </c>
      <c r="B460" s="1" t="n">
        <v>44153</v>
      </c>
      <c r="C460" s="1" t="n">
        <v>45788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61006-2020</t>
        </is>
      </c>
      <c r="B461" s="1" t="n">
        <v>44153</v>
      </c>
      <c r="C461" s="1" t="n">
        <v>45788</v>
      </c>
      <c r="D461" t="inlineStr">
        <is>
          <t>SÖDERMANLANDS LÄN</t>
        </is>
      </c>
      <c r="E461" t="inlineStr">
        <is>
          <t>NYKÖPING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45788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60860-2020</t>
        </is>
      </c>
      <c r="B463" s="1" t="n">
        <v>44154</v>
      </c>
      <c r="C463" s="1" t="n">
        <v>45788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61905-2020</t>
        </is>
      </c>
      <c r="B464" s="1" t="n">
        <v>44158</v>
      </c>
      <c r="C464" s="1" t="n">
        <v>45788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64151-2020</t>
        </is>
      </c>
      <c r="B465" s="1" t="n">
        <v>44167</v>
      </c>
      <c r="C465" s="1" t="n">
        <v>45788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66628-2020</t>
        </is>
      </c>
      <c r="B466" s="1" t="n">
        <v>44179</v>
      </c>
      <c r="C466" s="1" t="n">
        <v>45788</v>
      </c>
      <c r="D466" t="inlineStr">
        <is>
          <t>SÖDERMANLANDS LÄN</t>
        </is>
      </c>
      <c r="E466" t="inlineStr">
        <is>
          <t>NYKÖPING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67682-2020</t>
        </is>
      </c>
      <c r="B467" s="1" t="n">
        <v>44181</v>
      </c>
      <c r="C467" s="1" t="n">
        <v>45788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67543-2020</t>
        </is>
      </c>
      <c r="B468" s="1" t="n">
        <v>44181</v>
      </c>
      <c r="C468" s="1" t="n">
        <v>45788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69077-2020</t>
        </is>
      </c>
      <c r="B469" s="1" t="n">
        <v>44188</v>
      </c>
      <c r="C469" s="1" t="n">
        <v>45788</v>
      </c>
      <c r="D469" t="inlineStr">
        <is>
          <t>SÖDERMANLANDS LÄN</t>
        </is>
      </c>
      <c r="E469" t="inlineStr">
        <is>
          <t>NYKÖPING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16-2021</t>
        </is>
      </c>
      <c r="B470" s="1" t="n">
        <v>44197</v>
      </c>
      <c r="C470" s="1" t="n">
        <v>45788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21-2021</t>
        </is>
      </c>
      <c r="B471" s="1" t="n">
        <v>44197</v>
      </c>
      <c r="C471" s="1" t="n">
        <v>45788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37-2021</t>
        </is>
      </c>
      <c r="B472" s="1" t="n">
        <v>44198</v>
      </c>
      <c r="C472" s="1" t="n">
        <v>45788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38-2021</t>
        </is>
      </c>
      <c r="B473" s="1" t="n">
        <v>44198</v>
      </c>
      <c r="C473" s="1" t="n">
        <v>45788</v>
      </c>
      <c r="D473" t="inlineStr">
        <is>
          <t>SÖDERMANLANDS LÄN</t>
        </is>
      </c>
      <c r="E473" t="inlineStr">
        <is>
          <t>NYKÖPING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40-2021</t>
        </is>
      </c>
      <c r="B474" s="1" t="n">
        <v>44198</v>
      </c>
      <c r="C474" s="1" t="n">
        <v>45788</v>
      </c>
      <c r="D474" t="inlineStr">
        <is>
          <t>SÖDERMANLANDS LÄN</t>
        </is>
      </c>
      <c r="E474" t="inlineStr">
        <is>
          <t>NYKÖPING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64-2021</t>
        </is>
      </c>
      <c r="B475" s="1" t="n">
        <v>44199</v>
      </c>
      <c r="C475" s="1" t="n">
        <v>45788</v>
      </c>
      <c r="D475" t="inlineStr">
        <is>
          <t>SÖDERMANLANDS LÄN</t>
        </is>
      </c>
      <c r="E475" t="inlineStr">
        <is>
          <t>NYKÖPING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61-2021</t>
        </is>
      </c>
      <c r="B476" s="1" t="n">
        <v>44199</v>
      </c>
      <c r="C476" s="1" t="n">
        <v>45788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68-2021</t>
        </is>
      </c>
      <c r="B477" s="1" t="n">
        <v>44199</v>
      </c>
      <c r="C477" s="1" t="n">
        <v>45788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63-2021</t>
        </is>
      </c>
      <c r="B478" s="1" t="n">
        <v>44199</v>
      </c>
      <c r="C478" s="1" t="n">
        <v>45788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60-2021</t>
        </is>
      </c>
      <c r="B479" s="1" t="n">
        <v>44199</v>
      </c>
      <c r="C479" s="1" t="n">
        <v>45788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67-2021</t>
        </is>
      </c>
      <c r="B480" s="1" t="n">
        <v>44199</v>
      </c>
      <c r="C480" s="1" t="n">
        <v>45788</v>
      </c>
      <c r="D480" t="inlineStr">
        <is>
          <t>SÖDERMANLANDS LÄN</t>
        </is>
      </c>
      <c r="E480" t="inlineStr">
        <is>
          <t>NYKÖPING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73-2021</t>
        </is>
      </c>
      <c r="B481" s="1" t="n">
        <v>44200</v>
      </c>
      <c r="C481" s="1" t="n">
        <v>45788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69-2021</t>
        </is>
      </c>
      <c r="B482" s="1" t="n">
        <v>44200</v>
      </c>
      <c r="C482" s="1" t="n">
        <v>45788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76-2021</t>
        </is>
      </c>
      <c r="B483" s="1" t="n">
        <v>44200</v>
      </c>
      <c r="C483" s="1" t="n">
        <v>45788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75-2021</t>
        </is>
      </c>
      <c r="B484" s="1" t="n">
        <v>44200</v>
      </c>
      <c r="C484" s="1" t="n">
        <v>45788</v>
      </c>
      <c r="D484" t="inlineStr">
        <is>
          <t>SÖDERMANLANDS LÄN</t>
        </is>
      </c>
      <c r="E484" t="inlineStr">
        <is>
          <t>NYKÖPING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229-2021</t>
        </is>
      </c>
      <c r="B485" s="1" t="n">
        <v>44200</v>
      </c>
      <c r="C485" s="1" t="n">
        <v>45788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358-2021</t>
        </is>
      </c>
      <c r="B486" s="1" t="n">
        <v>44200</v>
      </c>
      <c r="C486" s="1" t="n">
        <v>45788</v>
      </c>
      <c r="D486" t="inlineStr">
        <is>
          <t>SÖDERMANLANDS LÄN</t>
        </is>
      </c>
      <c r="E486" t="inlineStr">
        <is>
          <t>NYKÖPING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346-2021</t>
        </is>
      </c>
      <c r="B487" s="1" t="n">
        <v>44200</v>
      </c>
      <c r="C487" s="1" t="n">
        <v>45788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Allmännings- och besparingsskogar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70-2021</t>
        </is>
      </c>
      <c r="B488" s="1" t="n">
        <v>44200</v>
      </c>
      <c r="C488" s="1" t="n">
        <v>45788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1083-2021</t>
        </is>
      </c>
      <c r="B489" s="1" t="n">
        <v>44207</v>
      </c>
      <c r="C489" s="1" t="n">
        <v>45788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1605-2021</t>
        </is>
      </c>
      <c r="B490" s="1" t="n">
        <v>44209</v>
      </c>
      <c r="C490" s="1" t="n">
        <v>45788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1547-2021</t>
        </is>
      </c>
      <c r="B491" s="1" t="n">
        <v>44209</v>
      </c>
      <c r="C491" s="1" t="n">
        <v>45788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2541-2021</t>
        </is>
      </c>
      <c r="B492" s="1" t="n">
        <v>44214</v>
      </c>
      <c r="C492" s="1" t="n">
        <v>45788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2851-2021</t>
        </is>
      </c>
      <c r="B493" s="1" t="n">
        <v>44216</v>
      </c>
      <c r="C493" s="1" t="n">
        <v>45788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2863-2021</t>
        </is>
      </c>
      <c r="B494" s="1" t="n">
        <v>44216</v>
      </c>
      <c r="C494" s="1" t="n">
        <v>45788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2866-2021</t>
        </is>
      </c>
      <c r="B495" s="1" t="n">
        <v>44216</v>
      </c>
      <c r="C495" s="1" t="n">
        <v>45788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3068-2021</t>
        </is>
      </c>
      <c r="B496" s="1" t="n">
        <v>44216</v>
      </c>
      <c r="C496" s="1" t="n">
        <v>45788</v>
      </c>
      <c r="D496" t="inlineStr">
        <is>
          <t>SÖDERMANLANDS LÄN</t>
        </is>
      </c>
      <c r="E496" t="inlineStr">
        <is>
          <t>NYKÖPING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3382-2021</t>
        </is>
      </c>
      <c r="B497" s="1" t="n">
        <v>44217</v>
      </c>
      <c r="C497" s="1" t="n">
        <v>45788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3359-2021</t>
        </is>
      </c>
      <c r="B498" s="1" t="n">
        <v>44218</v>
      </c>
      <c r="C498" s="1" t="n">
        <v>45788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4322-2021</t>
        </is>
      </c>
      <c r="B499" s="1" t="n">
        <v>44223</v>
      </c>
      <c r="C499" s="1" t="n">
        <v>45788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4461-2021</t>
        </is>
      </c>
      <c r="B500" s="1" t="n">
        <v>44224</v>
      </c>
      <c r="C500" s="1" t="n">
        <v>45788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4610-2021</t>
        </is>
      </c>
      <c r="B501" s="1" t="n">
        <v>44224</v>
      </c>
      <c r="C501" s="1" t="n">
        <v>45788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4623-2021</t>
        </is>
      </c>
      <c r="B502" s="1" t="n">
        <v>44224</v>
      </c>
      <c r="C502" s="1" t="n">
        <v>45788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4642-2021</t>
        </is>
      </c>
      <c r="B503" s="1" t="n">
        <v>44224</v>
      </c>
      <c r="C503" s="1" t="n">
        <v>45788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4609-2021</t>
        </is>
      </c>
      <c r="B504" s="1" t="n">
        <v>44224</v>
      </c>
      <c r="C504" s="1" t="n">
        <v>45788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4596-2021</t>
        </is>
      </c>
      <c r="B505" s="1" t="n">
        <v>44224</v>
      </c>
      <c r="C505" s="1" t="n">
        <v>45788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6171-2021</t>
        </is>
      </c>
      <c r="B506" s="1" t="n">
        <v>44232</v>
      </c>
      <c r="C506" s="1" t="n">
        <v>45788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6295-2021</t>
        </is>
      </c>
      <c r="B507" s="1" t="n">
        <v>44235</v>
      </c>
      <c r="C507" s="1" t="n">
        <v>45788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7000-2021</t>
        </is>
      </c>
      <c r="B508" s="1" t="n">
        <v>44237</v>
      </c>
      <c r="C508" s="1" t="n">
        <v>45788</v>
      </c>
      <c r="D508" t="inlineStr">
        <is>
          <t>SÖDERMANLANDS LÄN</t>
        </is>
      </c>
      <c r="E508" t="inlineStr">
        <is>
          <t>NYKÖPING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7022-2021</t>
        </is>
      </c>
      <c r="B509" s="1" t="n">
        <v>44237</v>
      </c>
      <c r="C509" s="1" t="n">
        <v>45788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7006-2021</t>
        </is>
      </c>
      <c r="B510" s="1" t="n">
        <v>44237</v>
      </c>
      <c r="C510" s="1" t="n">
        <v>45788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7172-2021</t>
        </is>
      </c>
      <c r="B511" s="1" t="n">
        <v>44238</v>
      </c>
      <c r="C511" s="1" t="n">
        <v>45788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7187-2021</t>
        </is>
      </c>
      <c r="B512" s="1" t="n">
        <v>44238</v>
      </c>
      <c r="C512" s="1" t="n">
        <v>45788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7462-2021</t>
        </is>
      </c>
      <c r="B513" s="1" t="n">
        <v>44239</v>
      </c>
      <c r="C513" s="1" t="n">
        <v>45788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7434-2021</t>
        </is>
      </c>
      <c r="B514" s="1" t="n">
        <v>44239</v>
      </c>
      <c r="C514" s="1" t="n">
        <v>45788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7503-2021</t>
        </is>
      </c>
      <c r="B515" s="1" t="n">
        <v>44239</v>
      </c>
      <c r="C515" s="1" t="n">
        <v>45788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8455-2021</t>
        </is>
      </c>
      <c r="B516" s="1" t="n">
        <v>44245</v>
      </c>
      <c r="C516" s="1" t="n">
        <v>45788</v>
      </c>
      <c r="D516" t="inlineStr">
        <is>
          <t>SÖDERMANLANDS LÄN</t>
        </is>
      </c>
      <c r="E516" t="inlineStr">
        <is>
          <t>NYKÖPING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8523-2021</t>
        </is>
      </c>
      <c r="B517" s="1" t="n">
        <v>44245</v>
      </c>
      <c r="C517" s="1" t="n">
        <v>45788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8742-2021</t>
        </is>
      </c>
      <c r="B518" s="1" t="n">
        <v>44246</v>
      </c>
      <c r="C518" s="1" t="n">
        <v>45788</v>
      </c>
      <c r="D518" t="inlineStr">
        <is>
          <t>SÖDERMANLANDS LÄN</t>
        </is>
      </c>
      <c r="E518" t="inlineStr">
        <is>
          <t>NYKÖPING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8767-2021</t>
        </is>
      </c>
      <c r="B519" s="1" t="n">
        <v>44246</v>
      </c>
      <c r="C519" s="1" t="n">
        <v>45788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9039-2021</t>
        </is>
      </c>
      <c r="B520" s="1" t="n">
        <v>44249</v>
      </c>
      <c r="C520" s="1" t="n">
        <v>45788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9320-2021</t>
        </is>
      </c>
      <c r="B521" s="1" t="n">
        <v>44250</v>
      </c>
      <c r="C521" s="1" t="n">
        <v>45788</v>
      </c>
      <c r="D521" t="inlineStr">
        <is>
          <t>SÖDERMANLANDS LÄN</t>
        </is>
      </c>
      <c r="E521" t="inlineStr">
        <is>
          <t>NYKÖPING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9478-2021</t>
        </is>
      </c>
      <c r="B522" s="1" t="n">
        <v>44251</v>
      </c>
      <c r="C522" s="1" t="n">
        <v>45788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9589-2021</t>
        </is>
      </c>
      <c r="B523" s="1" t="n">
        <v>44251</v>
      </c>
      <c r="C523" s="1" t="n">
        <v>45788</v>
      </c>
      <c r="D523" t="inlineStr">
        <is>
          <t>SÖDERMANLANDS LÄN</t>
        </is>
      </c>
      <c r="E523" t="inlineStr">
        <is>
          <t>NYKÖPING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10149-2021</t>
        </is>
      </c>
      <c r="B524" s="1" t="n">
        <v>44256</v>
      </c>
      <c r="C524" s="1" t="n">
        <v>45788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10141-2021</t>
        </is>
      </c>
      <c r="B525" s="1" t="n">
        <v>44256</v>
      </c>
      <c r="C525" s="1" t="n">
        <v>45788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10152-2021</t>
        </is>
      </c>
      <c r="B526" s="1" t="n">
        <v>44256</v>
      </c>
      <c r="C526" s="1" t="n">
        <v>45788</v>
      </c>
      <c r="D526" t="inlineStr">
        <is>
          <t>SÖDERMANLANDS LÄN</t>
        </is>
      </c>
      <c r="E526" t="inlineStr">
        <is>
          <t>NYKÖPING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10161-2021</t>
        </is>
      </c>
      <c r="B527" s="1" t="n">
        <v>44256</v>
      </c>
      <c r="C527" s="1" t="n">
        <v>45788</v>
      </c>
      <c r="D527" t="inlineStr">
        <is>
          <t>SÖDERMANLANDS LÄN</t>
        </is>
      </c>
      <c r="E527" t="inlineStr">
        <is>
          <t>NYKÖPING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10550-2021</t>
        </is>
      </c>
      <c r="B528" s="1" t="n">
        <v>44258</v>
      </c>
      <c r="C528" s="1" t="n">
        <v>45788</v>
      </c>
      <c r="D528" t="inlineStr">
        <is>
          <t>SÖDERMANLANDS LÄN</t>
        </is>
      </c>
      <c r="E528" t="inlineStr">
        <is>
          <t>NYKÖPING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10848-2021</t>
        </is>
      </c>
      <c r="B529" s="1" t="n">
        <v>44259</v>
      </c>
      <c r="C529" s="1" t="n">
        <v>45788</v>
      </c>
      <c r="D529" t="inlineStr">
        <is>
          <t>SÖDERMANLANDS LÄN</t>
        </is>
      </c>
      <c r="E529" t="inlineStr">
        <is>
          <t>NYKÖPING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10862-2021</t>
        </is>
      </c>
      <c r="B530" s="1" t="n">
        <v>44259</v>
      </c>
      <c r="C530" s="1" t="n">
        <v>45788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11151-2021</t>
        </is>
      </c>
      <c r="B531" s="1" t="n">
        <v>44261</v>
      </c>
      <c r="C531" s="1" t="n">
        <v>45788</v>
      </c>
      <c r="D531" t="inlineStr">
        <is>
          <t>SÖDERMANLANDS LÄN</t>
        </is>
      </c>
      <c r="E531" t="inlineStr">
        <is>
          <t>NYKÖPING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11345-2021</t>
        </is>
      </c>
      <c r="B532" s="1" t="n">
        <v>44263</v>
      </c>
      <c r="C532" s="1" t="n">
        <v>45788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11582-2021</t>
        </is>
      </c>
      <c r="B533" s="1" t="n">
        <v>44264</v>
      </c>
      <c r="C533" s="1" t="n">
        <v>45788</v>
      </c>
      <c r="D533" t="inlineStr">
        <is>
          <t>SÖDERMANLANDS LÄN</t>
        </is>
      </c>
      <c r="E533" t="inlineStr">
        <is>
          <t>NYKÖPING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14686-2021</t>
        </is>
      </c>
      <c r="B534" s="1" t="n">
        <v>44264</v>
      </c>
      <c r="C534" s="1" t="n">
        <v>45788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14654-2021</t>
        </is>
      </c>
      <c r="B535" s="1" t="n">
        <v>44264</v>
      </c>
      <c r="C535" s="1" t="n">
        <v>45788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11985-2021</t>
        </is>
      </c>
      <c r="B536" s="1" t="n">
        <v>44266</v>
      </c>
      <c r="C536" s="1" t="n">
        <v>45788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12205-2021</t>
        </is>
      </c>
      <c r="B537" s="1" t="n">
        <v>44266</v>
      </c>
      <c r="C537" s="1" t="n">
        <v>45788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12202-2021</t>
        </is>
      </c>
      <c r="B538" s="1" t="n">
        <v>44266</v>
      </c>
      <c r="C538" s="1" t="n">
        <v>45788</v>
      </c>
      <c r="D538" t="inlineStr">
        <is>
          <t>SÖDERMANLANDS LÄN</t>
        </is>
      </c>
      <c r="E538" t="inlineStr">
        <is>
          <t>NYKÖPING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12340-2021</t>
        </is>
      </c>
      <c r="B539" s="1" t="n">
        <v>44267</v>
      </c>
      <c r="C539" s="1" t="n">
        <v>45788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12332-2021</t>
        </is>
      </c>
      <c r="B540" s="1" t="n">
        <v>44267</v>
      </c>
      <c r="C540" s="1" t="n">
        <v>45788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12960-2021</t>
        </is>
      </c>
      <c r="B541" s="1" t="n">
        <v>44271</v>
      </c>
      <c r="C541" s="1" t="n">
        <v>45788</v>
      </c>
      <c r="D541" t="inlineStr">
        <is>
          <t>SÖDERMANLANDS LÄN</t>
        </is>
      </c>
      <c r="E541" t="inlineStr">
        <is>
          <t>NYKÖPING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13120-2021</t>
        </is>
      </c>
      <c r="B542" s="1" t="n">
        <v>44272</v>
      </c>
      <c r="C542" s="1" t="n">
        <v>45788</v>
      </c>
      <c r="D542" t="inlineStr">
        <is>
          <t>SÖDERMANLANDS LÄN</t>
        </is>
      </c>
      <c r="E542" t="inlineStr">
        <is>
          <t>NYKÖPING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13279-2021</t>
        </is>
      </c>
      <c r="B543" s="1" t="n">
        <v>44272</v>
      </c>
      <c r="C543" s="1" t="n">
        <v>45788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13573-2021</t>
        </is>
      </c>
      <c r="B544" s="1" t="n">
        <v>44273</v>
      </c>
      <c r="C544" s="1" t="n">
        <v>45788</v>
      </c>
      <c r="D544" t="inlineStr">
        <is>
          <t>SÖDERMANLANDS LÄN</t>
        </is>
      </c>
      <c r="E544" t="inlineStr">
        <is>
          <t>NYKÖPING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13759-2021</t>
        </is>
      </c>
      <c r="B545" s="1" t="n">
        <v>44274</v>
      </c>
      <c r="C545" s="1" t="n">
        <v>45788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14176-2021</t>
        </is>
      </c>
      <c r="B546" s="1" t="n">
        <v>44278</v>
      </c>
      <c r="C546" s="1" t="n">
        <v>45788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14175-2021</t>
        </is>
      </c>
      <c r="B547" s="1" t="n">
        <v>44278</v>
      </c>
      <c r="C547" s="1" t="n">
        <v>45788</v>
      </c>
      <c r="D547" t="inlineStr">
        <is>
          <t>SÖDERMANLANDS LÄN</t>
        </is>
      </c>
      <c r="E547" t="inlineStr">
        <is>
          <t>NYKÖPING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15132-2021</t>
        </is>
      </c>
      <c r="B548" s="1" t="n">
        <v>44283</v>
      </c>
      <c r="C548" s="1" t="n">
        <v>45788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15545-2021</t>
        </is>
      </c>
      <c r="B549" s="1" t="n">
        <v>44285</v>
      </c>
      <c r="C549" s="1" t="n">
        <v>45788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15520-2021</t>
        </is>
      </c>
      <c r="B550" s="1" t="n">
        <v>44285</v>
      </c>
      <c r="C550" s="1" t="n">
        <v>45788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15532-2021</t>
        </is>
      </c>
      <c r="B551" s="1" t="n">
        <v>44285</v>
      </c>
      <c r="C551" s="1" t="n">
        <v>45788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16272-2021</t>
        </is>
      </c>
      <c r="B552" s="1" t="n">
        <v>44292</v>
      </c>
      <c r="C552" s="1" t="n">
        <v>45788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16456-2021</t>
        </is>
      </c>
      <c r="B553" s="1" t="n">
        <v>44293</v>
      </c>
      <c r="C553" s="1" t="n">
        <v>45788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16526-2021</t>
        </is>
      </c>
      <c r="B554" s="1" t="n">
        <v>44293</v>
      </c>
      <c r="C554" s="1" t="n">
        <v>45788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16616-2021</t>
        </is>
      </c>
      <c r="B555" s="1" t="n">
        <v>44294</v>
      </c>
      <c r="C555" s="1" t="n">
        <v>45788</v>
      </c>
      <c r="D555" t="inlineStr">
        <is>
          <t>SÖDERMANLANDS LÄN</t>
        </is>
      </c>
      <c r="E555" t="inlineStr">
        <is>
          <t>NYKÖPING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16740-2021</t>
        </is>
      </c>
      <c r="B556" s="1" t="n">
        <v>44294</v>
      </c>
      <c r="C556" s="1" t="n">
        <v>45788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17800-2021</t>
        </is>
      </c>
      <c r="B557" s="1" t="n">
        <v>44300</v>
      </c>
      <c r="C557" s="1" t="n">
        <v>45788</v>
      </c>
      <c r="D557" t="inlineStr">
        <is>
          <t>SÖDERMANLANDS LÄN</t>
        </is>
      </c>
      <c r="E557" t="inlineStr">
        <is>
          <t>NYKÖPING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18161-2021</t>
        </is>
      </c>
      <c r="B558" s="1" t="n">
        <v>44302</v>
      </c>
      <c r="C558" s="1" t="n">
        <v>45788</v>
      </c>
      <c r="D558" t="inlineStr">
        <is>
          <t>SÖDERMANLANDS LÄN</t>
        </is>
      </c>
      <c r="E558" t="inlineStr">
        <is>
          <t>NYKÖPING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18663-2021</t>
        </is>
      </c>
      <c r="B559" s="1" t="n">
        <v>44306</v>
      </c>
      <c r="C559" s="1" t="n">
        <v>45788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18665-2021</t>
        </is>
      </c>
      <c r="B560" s="1" t="n">
        <v>44306</v>
      </c>
      <c r="C560" s="1" t="n">
        <v>45788</v>
      </c>
      <c r="D560" t="inlineStr">
        <is>
          <t>SÖDERMANLANDS LÄN</t>
        </is>
      </c>
      <c r="E560" t="inlineStr">
        <is>
          <t>NYKÖPING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19436-2021</t>
        </is>
      </c>
      <c r="B561" s="1" t="n">
        <v>44310</v>
      </c>
      <c r="C561" s="1" t="n">
        <v>45788</v>
      </c>
      <c r="D561" t="inlineStr">
        <is>
          <t>SÖDERMANLANDS LÄN</t>
        </is>
      </c>
      <c r="E561" t="inlineStr">
        <is>
          <t>NYKÖPING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20437-2021</t>
        </is>
      </c>
      <c r="B562" s="1" t="n">
        <v>44315</v>
      </c>
      <c r="C562" s="1" t="n">
        <v>45788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21540-2021</t>
        </is>
      </c>
      <c r="B563" s="1" t="n">
        <v>44316</v>
      </c>
      <c r="C563" s="1" t="n">
        <v>45788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22486-2021</t>
        </is>
      </c>
      <c r="B564" s="1" t="n">
        <v>44326</v>
      </c>
      <c r="C564" s="1" t="n">
        <v>45788</v>
      </c>
      <c r="D564" t="inlineStr">
        <is>
          <t>SÖDERMANLANDS LÄN</t>
        </is>
      </c>
      <c r="E564" t="inlineStr">
        <is>
          <t>NYKÖPING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23346-2021</t>
        </is>
      </c>
      <c r="B565" s="1" t="n">
        <v>44333</v>
      </c>
      <c r="C565" s="1" t="n">
        <v>45788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23638-2021</t>
        </is>
      </c>
      <c r="B566" s="1" t="n">
        <v>44334</v>
      </c>
      <c r="C566" s="1" t="n">
        <v>45788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23725-2021</t>
        </is>
      </c>
      <c r="B567" s="1" t="n">
        <v>44334</v>
      </c>
      <c r="C567" s="1" t="n">
        <v>45788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30441-2021</t>
        </is>
      </c>
      <c r="B568" s="1" t="n">
        <v>44336</v>
      </c>
      <c r="C568" s="1" t="n">
        <v>45788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24539-2021</t>
        </is>
      </c>
      <c r="B569" s="1" t="n">
        <v>44339</v>
      </c>
      <c r="C569" s="1" t="n">
        <v>45788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24545-2021</t>
        </is>
      </c>
      <c r="B570" s="1" t="n">
        <v>44339</v>
      </c>
      <c r="C570" s="1" t="n">
        <v>45788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26651-2021</t>
        </is>
      </c>
      <c r="B571" s="1" t="n">
        <v>44348</v>
      </c>
      <c r="C571" s="1" t="n">
        <v>45788</v>
      </c>
      <c r="D571" t="inlineStr">
        <is>
          <t>SÖDERMANLANDS LÄN</t>
        </is>
      </c>
      <c r="E571" t="inlineStr">
        <is>
          <t>NYKÖPING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26984-2021</t>
        </is>
      </c>
      <c r="B572" s="1" t="n">
        <v>44349</v>
      </c>
      <c r="C572" s="1" t="n">
        <v>45788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45788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27934-2021</t>
        </is>
      </c>
      <c r="B574" s="1" t="n">
        <v>44354</v>
      </c>
      <c r="C574" s="1" t="n">
        <v>45788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29052-2021</t>
        </is>
      </c>
      <c r="B575" s="1" t="n">
        <v>44358</v>
      </c>
      <c r="C575" s="1" t="n">
        <v>45788</v>
      </c>
      <c r="D575" t="inlineStr">
        <is>
          <t>SÖDERMANLANDS LÄN</t>
        </is>
      </c>
      <c r="E575" t="inlineStr">
        <is>
          <t>NYKÖPING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29891-2021</t>
        </is>
      </c>
      <c r="B576" s="1" t="n">
        <v>44362</v>
      </c>
      <c r="C576" s="1" t="n">
        <v>45788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45788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29966-2021</t>
        </is>
      </c>
      <c r="B578" s="1" t="n">
        <v>44363</v>
      </c>
      <c r="C578" s="1" t="n">
        <v>45788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30003-2021</t>
        </is>
      </c>
      <c r="B579" s="1" t="n">
        <v>44363</v>
      </c>
      <c r="C579" s="1" t="n">
        <v>45788</v>
      </c>
      <c r="D579" t="inlineStr">
        <is>
          <t>SÖDERMANLANDS LÄN</t>
        </is>
      </c>
      <c r="E579" t="inlineStr">
        <is>
          <t>NYKÖPING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30171-2021</t>
        </is>
      </c>
      <c r="B580" s="1" t="n">
        <v>44363</v>
      </c>
      <c r="C580" s="1" t="n">
        <v>45788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45788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30415-2021</t>
        </is>
      </c>
      <c r="B582" s="1" t="n">
        <v>44364</v>
      </c>
      <c r="C582" s="1" t="n">
        <v>45788</v>
      </c>
      <c r="D582" t="inlineStr">
        <is>
          <t>SÖDERMANLANDS LÄN</t>
        </is>
      </c>
      <c r="E582" t="inlineStr">
        <is>
          <t>NYKÖPING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30397-2021</t>
        </is>
      </c>
      <c r="B583" s="1" t="n">
        <v>44364</v>
      </c>
      <c r="C583" s="1" t="n">
        <v>45788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30423-2021</t>
        </is>
      </c>
      <c r="B584" s="1" t="n">
        <v>44364</v>
      </c>
      <c r="C584" s="1" t="n">
        <v>45788</v>
      </c>
      <c r="D584" t="inlineStr">
        <is>
          <t>SÖDERMANLANDS LÄN</t>
        </is>
      </c>
      <c r="E584" t="inlineStr">
        <is>
          <t>NYKÖPING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30509-2021</t>
        </is>
      </c>
      <c r="B585" s="1" t="n">
        <v>44364</v>
      </c>
      <c r="C585" s="1" t="n">
        <v>45788</v>
      </c>
      <c r="D585" t="inlineStr">
        <is>
          <t>SÖDERMANLANDS LÄN</t>
        </is>
      </c>
      <c r="E585" t="inlineStr">
        <is>
          <t>NYKÖPING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30570-2021</t>
        </is>
      </c>
      <c r="B586" s="1" t="n">
        <v>44364</v>
      </c>
      <c r="C586" s="1" t="n">
        <v>45788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45788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32313-2021</t>
        </is>
      </c>
      <c r="B588" s="1" t="n">
        <v>44371</v>
      </c>
      <c r="C588" s="1" t="n">
        <v>45788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32551-2021</t>
        </is>
      </c>
      <c r="B589" s="1" t="n">
        <v>44375</v>
      </c>
      <c r="C589" s="1" t="n">
        <v>45788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34619-2021</t>
        </is>
      </c>
      <c r="B590" s="1" t="n">
        <v>44379</v>
      </c>
      <c r="C590" s="1" t="n">
        <v>45788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34632-2021</t>
        </is>
      </c>
      <c r="B591" s="1" t="n">
        <v>44382</v>
      </c>
      <c r="C591" s="1" t="n">
        <v>45788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34753-2021</t>
        </is>
      </c>
      <c r="B592" s="1" t="n">
        <v>44382</v>
      </c>
      <c r="C592" s="1" t="n">
        <v>45788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34841-2021</t>
        </is>
      </c>
      <c r="B593" s="1" t="n">
        <v>44383</v>
      </c>
      <c r="C593" s="1" t="n">
        <v>45788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35192-2021</t>
        </is>
      </c>
      <c r="B594" s="1" t="n">
        <v>44384</v>
      </c>
      <c r="C594" s="1" t="n">
        <v>45788</v>
      </c>
      <c r="D594" t="inlineStr">
        <is>
          <t>SÖDERMANLANDS LÄN</t>
        </is>
      </c>
      <c r="E594" t="inlineStr">
        <is>
          <t>NYKÖPING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37223-2021</t>
        </is>
      </c>
      <c r="B595" s="1" t="n">
        <v>44396</v>
      </c>
      <c r="C595" s="1" t="n">
        <v>45788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37272-2021</t>
        </is>
      </c>
      <c r="B596" s="1" t="n">
        <v>44397</v>
      </c>
      <c r="C596" s="1" t="n">
        <v>45788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45788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38023-2021</t>
        </is>
      </c>
      <c r="B598" s="1" t="n">
        <v>44404</v>
      </c>
      <c r="C598" s="1" t="n">
        <v>45788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39306-2021</t>
        </is>
      </c>
      <c r="B599" s="1" t="n">
        <v>44413</v>
      </c>
      <c r="C599" s="1" t="n">
        <v>45788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39368-2021</t>
        </is>
      </c>
      <c r="B600" s="1" t="n">
        <v>44414</v>
      </c>
      <c r="C600" s="1" t="n">
        <v>45788</v>
      </c>
      <c r="D600" t="inlineStr">
        <is>
          <t>SÖDERMANLANDS LÄN</t>
        </is>
      </c>
      <c r="E600" t="inlineStr">
        <is>
          <t>NYKÖPING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39540-2021</t>
        </is>
      </c>
      <c r="B601" s="1" t="n">
        <v>44416</v>
      </c>
      <c r="C601" s="1" t="n">
        <v>45788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39539-2021</t>
        </is>
      </c>
      <c r="B602" s="1" t="n">
        <v>44416</v>
      </c>
      <c r="C602" s="1" t="n">
        <v>45788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39538-2021</t>
        </is>
      </c>
      <c r="B603" s="1" t="n">
        <v>44416</v>
      </c>
      <c r="C603" s="1" t="n">
        <v>45788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39542-2021</t>
        </is>
      </c>
      <c r="B604" s="1" t="n">
        <v>44416</v>
      </c>
      <c r="C604" s="1" t="n">
        <v>45788</v>
      </c>
      <c r="D604" t="inlineStr">
        <is>
          <t>SÖDERMANLANDS LÄN</t>
        </is>
      </c>
      <c r="E604" t="inlineStr">
        <is>
          <t>NYKÖPING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40025-2021</t>
        </is>
      </c>
      <c r="B605" s="1" t="n">
        <v>44418</v>
      </c>
      <c r="C605" s="1" t="n">
        <v>45788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45788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40680-2021</t>
        </is>
      </c>
      <c r="B607" s="1" t="n">
        <v>44420</v>
      </c>
      <c r="C607" s="1" t="n">
        <v>45788</v>
      </c>
      <c r="D607" t="inlineStr">
        <is>
          <t>SÖDERMANLANDS LÄN</t>
        </is>
      </c>
      <c r="E607" t="inlineStr">
        <is>
          <t>NYKÖPING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40685-2021</t>
        </is>
      </c>
      <c r="B608" s="1" t="n">
        <v>44420</v>
      </c>
      <c r="C608" s="1" t="n">
        <v>45788</v>
      </c>
      <c r="D608" t="inlineStr">
        <is>
          <t>SÖDERMANLANDS LÄN</t>
        </is>
      </c>
      <c r="E608" t="inlineStr">
        <is>
          <t>NYKÖPING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40866-2021</t>
        </is>
      </c>
      <c r="B609" s="1" t="n">
        <v>44421</v>
      </c>
      <c r="C609" s="1" t="n">
        <v>45788</v>
      </c>
      <c r="D609" t="inlineStr">
        <is>
          <t>SÖDERMANLANDS LÄN</t>
        </is>
      </c>
      <c r="E609" t="inlineStr">
        <is>
          <t>NYKÖPING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41409-2021</t>
        </is>
      </c>
      <c r="B610" s="1" t="n">
        <v>44424</v>
      </c>
      <c r="C610" s="1" t="n">
        <v>45788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41437-2021</t>
        </is>
      </c>
      <c r="B611" s="1" t="n">
        <v>44424</v>
      </c>
      <c r="C611" s="1" t="n">
        <v>45788</v>
      </c>
      <c r="D611" t="inlineStr">
        <is>
          <t>SÖDERMANLANDS LÄN</t>
        </is>
      </c>
      <c r="E611" t="inlineStr">
        <is>
          <t>NYKÖPING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41629-2021</t>
        </is>
      </c>
      <c r="B612" s="1" t="n">
        <v>44425</v>
      </c>
      <c r="C612" s="1" t="n">
        <v>45788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41646-2021</t>
        </is>
      </c>
      <c r="B613" s="1" t="n">
        <v>44425</v>
      </c>
      <c r="C613" s="1" t="n">
        <v>45788</v>
      </c>
      <c r="D613" t="inlineStr">
        <is>
          <t>SÖDERMANLANDS LÄN</t>
        </is>
      </c>
      <c r="E613" t="inlineStr">
        <is>
          <t>NYKÖPING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41721-2021</t>
        </is>
      </c>
      <c r="B614" s="1" t="n">
        <v>44425</v>
      </c>
      <c r="C614" s="1" t="n">
        <v>45788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41735-2021</t>
        </is>
      </c>
      <c r="B615" s="1" t="n">
        <v>44425</v>
      </c>
      <c r="C615" s="1" t="n">
        <v>45788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41719-2021</t>
        </is>
      </c>
      <c r="B616" s="1" t="n">
        <v>44425</v>
      </c>
      <c r="C616" s="1" t="n">
        <v>45788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41748-2021</t>
        </is>
      </c>
      <c r="B617" s="1" t="n">
        <v>44425</v>
      </c>
      <c r="C617" s="1" t="n">
        <v>45788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41715-2021</t>
        </is>
      </c>
      <c r="B618" s="1" t="n">
        <v>44425</v>
      </c>
      <c r="C618" s="1" t="n">
        <v>45788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41723-2021</t>
        </is>
      </c>
      <c r="B619" s="1" t="n">
        <v>44425</v>
      </c>
      <c r="C619" s="1" t="n">
        <v>45788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41737-2021</t>
        </is>
      </c>
      <c r="B620" s="1" t="n">
        <v>44425</v>
      </c>
      <c r="C620" s="1" t="n">
        <v>45788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42417-2021</t>
        </is>
      </c>
      <c r="B621" s="1" t="n">
        <v>44427</v>
      </c>
      <c r="C621" s="1" t="n">
        <v>45788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42858-2021</t>
        </is>
      </c>
      <c r="B622" s="1" t="n">
        <v>44430</v>
      </c>
      <c r="C622" s="1" t="n">
        <v>45788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42920-2021</t>
        </is>
      </c>
      <c r="B623" s="1" t="n">
        <v>44430</v>
      </c>
      <c r="C623" s="1" t="n">
        <v>45788</v>
      </c>
      <c r="D623" t="inlineStr">
        <is>
          <t>SÖDERMANLANDS LÄN</t>
        </is>
      </c>
      <c r="E623" t="inlineStr">
        <is>
          <t>NYKÖPING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42966-2021</t>
        </is>
      </c>
      <c r="B624" s="1" t="n">
        <v>44430</v>
      </c>
      <c r="C624" s="1" t="n">
        <v>45788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42971-2021</t>
        </is>
      </c>
      <c r="B625" s="1" t="n">
        <v>44430</v>
      </c>
      <c r="C625" s="1" t="n">
        <v>45788</v>
      </c>
      <c r="D625" t="inlineStr">
        <is>
          <t>SÖDERMANLANDS LÄN</t>
        </is>
      </c>
      <c r="E625" t="inlineStr">
        <is>
          <t>NYKÖPING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42856-2021</t>
        </is>
      </c>
      <c r="B626" s="1" t="n">
        <v>44430</v>
      </c>
      <c r="C626" s="1" t="n">
        <v>45788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42977-2021</t>
        </is>
      </c>
      <c r="B627" s="1" t="n">
        <v>44430</v>
      </c>
      <c r="C627" s="1" t="n">
        <v>45788</v>
      </c>
      <c r="D627" t="inlineStr">
        <is>
          <t>SÖDERMANLANDS LÄN</t>
        </is>
      </c>
      <c r="E627" t="inlineStr">
        <is>
          <t>NYKÖPING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42937-2021</t>
        </is>
      </c>
      <c r="B628" s="1" t="n">
        <v>44431</v>
      </c>
      <c r="C628" s="1" t="n">
        <v>45788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42990-2021</t>
        </is>
      </c>
      <c r="B629" s="1" t="n">
        <v>44431</v>
      </c>
      <c r="C629" s="1" t="n">
        <v>45788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45788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45856-2021</t>
        </is>
      </c>
      <c r="B631" s="1" t="n">
        <v>44433</v>
      </c>
      <c r="C631" s="1" t="n">
        <v>45788</v>
      </c>
      <c r="D631" t="inlineStr">
        <is>
          <t>SÖDERMANLANDS LÄN</t>
        </is>
      </c>
      <c r="E631" t="inlineStr">
        <is>
          <t>NYKÖPING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44477-2021</t>
        </is>
      </c>
      <c r="B632" s="1" t="n">
        <v>44435</v>
      </c>
      <c r="C632" s="1" t="n">
        <v>45788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44533-2021</t>
        </is>
      </c>
      <c r="B633" s="1" t="n">
        <v>44435</v>
      </c>
      <c r="C633" s="1" t="n">
        <v>45788</v>
      </c>
      <c r="D633" t="inlineStr">
        <is>
          <t>SÖDERMANLANDS LÄN</t>
        </is>
      </c>
      <c r="E633" t="inlineStr">
        <is>
          <t>NYKÖPING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44473-2021</t>
        </is>
      </c>
      <c r="B634" s="1" t="n">
        <v>44435</v>
      </c>
      <c r="C634" s="1" t="n">
        <v>45788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44536-2021</t>
        </is>
      </c>
      <c r="B635" s="1" t="n">
        <v>44435</v>
      </c>
      <c r="C635" s="1" t="n">
        <v>45788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45034-2021</t>
        </is>
      </c>
      <c r="B636" s="1" t="n">
        <v>44438</v>
      </c>
      <c r="C636" s="1" t="n">
        <v>45788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45533-2021</t>
        </is>
      </c>
      <c r="B637" s="1" t="n">
        <v>44440</v>
      </c>
      <c r="C637" s="1" t="n">
        <v>45788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45574-2021</t>
        </is>
      </c>
      <c r="B638" s="1" t="n">
        <v>44440</v>
      </c>
      <c r="C638" s="1" t="n">
        <v>45788</v>
      </c>
      <c r="D638" t="inlineStr">
        <is>
          <t>SÖDERMANLANDS LÄN</t>
        </is>
      </c>
      <c r="E638" t="inlineStr">
        <is>
          <t>NYKÖPING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45569-2021</t>
        </is>
      </c>
      <c r="B639" s="1" t="n">
        <v>44440</v>
      </c>
      <c r="C639" s="1" t="n">
        <v>45788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46575-2021</t>
        </is>
      </c>
      <c r="B640" s="1" t="n">
        <v>44445</v>
      </c>
      <c r="C640" s="1" t="n">
        <v>45788</v>
      </c>
      <c r="D640" t="inlineStr">
        <is>
          <t>SÖDERMANLANDS LÄN</t>
        </is>
      </c>
      <c r="E640" t="inlineStr">
        <is>
          <t>NYKÖPING</t>
        </is>
      </c>
      <c r="G640" t="n">
        <v>19.1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46648-2021</t>
        </is>
      </c>
      <c r="B641" s="1" t="n">
        <v>44445</v>
      </c>
      <c r="C641" s="1" t="n">
        <v>45788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46574-2021</t>
        </is>
      </c>
      <c r="B642" s="1" t="n">
        <v>44445</v>
      </c>
      <c r="C642" s="1" t="n">
        <v>45788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46828-2021</t>
        </is>
      </c>
      <c r="B643" s="1" t="n">
        <v>44446</v>
      </c>
      <c r="C643" s="1" t="n">
        <v>45788</v>
      </c>
      <c r="D643" t="inlineStr">
        <is>
          <t>SÖDERMANLANDS LÄN</t>
        </is>
      </c>
      <c r="E643" t="inlineStr">
        <is>
          <t>NYKÖPING</t>
        </is>
      </c>
      <c r="G643" t="n">
        <v>30.2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46838-2021</t>
        </is>
      </c>
      <c r="B644" s="1" t="n">
        <v>44446</v>
      </c>
      <c r="C644" s="1" t="n">
        <v>45788</v>
      </c>
      <c r="D644" t="inlineStr">
        <is>
          <t>SÖDERMANLANDS LÄN</t>
        </is>
      </c>
      <c r="E644" t="inlineStr">
        <is>
          <t>NYKÖPING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47107-2021</t>
        </is>
      </c>
      <c r="B645" s="1" t="n">
        <v>44446</v>
      </c>
      <c r="C645" s="1" t="n">
        <v>45788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48459-2021</t>
        </is>
      </c>
      <c r="B646" s="1" t="n">
        <v>44452</v>
      </c>
      <c r="C646" s="1" t="n">
        <v>45788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48819-2021</t>
        </is>
      </c>
      <c r="B647" s="1" t="n">
        <v>44452</v>
      </c>
      <c r="C647" s="1" t="n">
        <v>45788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49234-2021</t>
        </is>
      </c>
      <c r="B648" s="1" t="n">
        <v>44454</v>
      </c>
      <c r="C648" s="1" t="n">
        <v>45788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49494-2021</t>
        </is>
      </c>
      <c r="B649" s="1" t="n">
        <v>44454</v>
      </c>
      <c r="C649" s="1" t="n">
        <v>45788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50156-2021</t>
        </is>
      </c>
      <c r="B650" s="1" t="n">
        <v>44456</v>
      </c>
      <c r="C650" s="1" t="n">
        <v>45788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51689-2021</t>
        </is>
      </c>
      <c r="B651" s="1" t="n">
        <v>44462</v>
      </c>
      <c r="C651" s="1" t="n">
        <v>45788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51715-2021</t>
        </is>
      </c>
      <c r="B652" s="1" t="n">
        <v>44462</v>
      </c>
      <c r="C652" s="1" t="n">
        <v>45788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51722-2021</t>
        </is>
      </c>
      <c r="B653" s="1" t="n">
        <v>44462</v>
      </c>
      <c r="C653" s="1" t="n">
        <v>45788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51691-2021</t>
        </is>
      </c>
      <c r="B654" s="1" t="n">
        <v>44462</v>
      </c>
      <c r="C654" s="1" t="n">
        <v>45788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51700-2021</t>
        </is>
      </c>
      <c r="B655" s="1" t="n">
        <v>44462</v>
      </c>
      <c r="C655" s="1" t="n">
        <v>45788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51720-2021</t>
        </is>
      </c>
      <c r="B656" s="1" t="n">
        <v>44462</v>
      </c>
      <c r="C656" s="1" t="n">
        <v>45788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45788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51698-2021</t>
        </is>
      </c>
      <c r="B658" s="1" t="n">
        <v>44462</v>
      </c>
      <c r="C658" s="1" t="n">
        <v>45788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45788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52045-2021</t>
        </is>
      </c>
      <c r="B660" s="1" t="n">
        <v>44463</v>
      </c>
      <c r="C660" s="1" t="n">
        <v>45788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52543-2021</t>
        </is>
      </c>
      <c r="B661" s="1" t="n">
        <v>44466</v>
      </c>
      <c r="C661" s="1" t="n">
        <v>45788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52535-2021</t>
        </is>
      </c>
      <c r="B662" s="1" t="n">
        <v>44466</v>
      </c>
      <c r="C662" s="1" t="n">
        <v>45788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45788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53201-2021</t>
        </is>
      </c>
      <c r="B664" s="1" t="n">
        <v>44466</v>
      </c>
      <c r="C664" s="1" t="n">
        <v>45788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53374-2021</t>
        </is>
      </c>
      <c r="B665" s="1" t="n">
        <v>44468</v>
      </c>
      <c r="C665" s="1" t="n">
        <v>45788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53920-2021</t>
        </is>
      </c>
      <c r="B666" s="1" t="n">
        <v>44469</v>
      </c>
      <c r="C666" s="1" t="n">
        <v>45788</v>
      </c>
      <c r="D666" t="inlineStr">
        <is>
          <t>SÖDERMANLANDS LÄN</t>
        </is>
      </c>
      <c r="E666" t="inlineStr">
        <is>
          <t>NYKÖPING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55014-2021</t>
        </is>
      </c>
      <c r="B667" s="1" t="n">
        <v>44474</v>
      </c>
      <c r="C667" s="1" t="n">
        <v>45788</v>
      </c>
      <c r="D667" t="inlineStr">
        <is>
          <t>SÖDERMANLANDS LÄN</t>
        </is>
      </c>
      <c r="E667" t="inlineStr">
        <is>
          <t>NYKÖPING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54897-2021</t>
        </is>
      </c>
      <c r="B668" s="1" t="n">
        <v>44474</v>
      </c>
      <c r="C668" s="1" t="n">
        <v>45788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55199-2021</t>
        </is>
      </c>
      <c r="B669" s="1" t="n">
        <v>44475</v>
      </c>
      <c r="C669" s="1" t="n">
        <v>45788</v>
      </c>
      <c r="D669" t="inlineStr">
        <is>
          <t>SÖDERMANLANDS LÄN</t>
        </is>
      </c>
      <c r="E669" t="inlineStr">
        <is>
          <t>NYKÖPING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55272-2021</t>
        </is>
      </c>
      <c r="B670" s="1" t="n">
        <v>44475</v>
      </c>
      <c r="C670" s="1" t="n">
        <v>45788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55497-2021</t>
        </is>
      </c>
      <c r="B671" s="1" t="n">
        <v>44475</v>
      </c>
      <c r="C671" s="1" t="n">
        <v>45788</v>
      </c>
      <c r="D671" t="inlineStr">
        <is>
          <t>SÖDERMANLANDS LÄN</t>
        </is>
      </c>
      <c r="E671" t="inlineStr">
        <is>
          <t>NYKÖPING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55307-2021</t>
        </is>
      </c>
      <c r="B672" s="1" t="n">
        <v>44475</v>
      </c>
      <c r="C672" s="1" t="n">
        <v>45788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55312-2021</t>
        </is>
      </c>
      <c r="B673" s="1" t="n">
        <v>44475</v>
      </c>
      <c r="C673" s="1" t="n">
        <v>45788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55304-2021</t>
        </is>
      </c>
      <c r="B674" s="1" t="n">
        <v>44475</v>
      </c>
      <c r="C674" s="1" t="n">
        <v>45788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55310-2021</t>
        </is>
      </c>
      <c r="B675" s="1" t="n">
        <v>44475</v>
      </c>
      <c r="C675" s="1" t="n">
        <v>45788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55506-2021</t>
        </is>
      </c>
      <c r="B676" s="1" t="n">
        <v>44475</v>
      </c>
      <c r="C676" s="1" t="n">
        <v>45788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55706-2021</t>
        </is>
      </c>
      <c r="B677" s="1" t="n">
        <v>44476</v>
      </c>
      <c r="C677" s="1" t="n">
        <v>45788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55983-2021</t>
        </is>
      </c>
      <c r="B678" s="1" t="n">
        <v>44477</v>
      </c>
      <c r="C678" s="1" t="n">
        <v>45788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58012-2021</t>
        </is>
      </c>
      <c r="B679" s="1" t="n">
        <v>44487</v>
      </c>
      <c r="C679" s="1" t="n">
        <v>45788</v>
      </c>
      <c r="D679" t="inlineStr">
        <is>
          <t>SÖDERMANLANDS LÄN</t>
        </is>
      </c>
      <c r="E679" t="inlineStr">
        <is>
          <t>NYKÖPING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58857-2021</t>
        </is>
      </c>
      <c r="B680" s="1" t="n">
        <v>44489</v>
      </c>
      <c r="C680" s="1" t="n">
        <v>45788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58862-2021</t>
        </is>
      </c>
      <c r="B681" s="1" t="n">
        <v>44489</v>
      </c>
      <c r="C681" s="1" t="n">
        <v>45788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59592-2021</t>
        </is>
      </c>
      <c r="B682" s="1" t="n">
        <v>44491</v>
      </c>
      <c r="C682" s="1" t="n">
        <v>45788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59613-2021</t>
        </is>
      </c>
      <c r="B683" s="1" t="n">
        <v>44491</v>
      </c>
      <c r="C683" s="1" t="n">
        <v>45788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59620-2021</t>
        </is>
      </c>
      <c r="B684" s="1" t="n">
        <v>44491</v>
      </c>
      <c r="C684" s="1" t="n">
        <v>45788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59733-2021</t>
        </is>
      </c>
      <c r="B685" s="1" t="n">
        <v>44494</v>
      </c>
      <c r="C685" s="1" t="n">
        <v>45788</v>
      </c>
      <c r="D685" t="inlineStr">
        <is>
          <t>SÖDERMANLANDS LÄN</t>
        </is>
      </c>
      <c r="E685" t="inlineStr">
        <is>
          <t>NYKÖPING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59776-2021</t>
        </is>
      </c>
      <c r="B686" s="1" t="n">
        <v>44494</v>
      </c>
      <c r="C686" s="1" t="n">
        <v>45788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60938-2021</t>
        </is>
      </c>
      <c r="B687" s="1" t="n">
        <v>44495</v>
      </c>
      <c r="C687" s="1" t="n">
        <v>45788</v>
      </c>
      <c r="D687" t="inlineStr">
        <is>
          <t>SÖDERMANLANDS LÄN</t>
        </is>
      </c>
      <c r="E687" t="inlineStr">
        <is>
          <t>NYKÖPING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60674-2021</t>
        </is>
      </c>
      <c r="B688" s="1" t="n">
        <v>44496</v>
      </c>
      <c r="C688" s="1" t="n">
        <v>45788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60512-2021</t>
        </is>
      </c>
      <c r="B689" s="1" t="n">
        <v>44496</v>
      </c>
      <c r="C689" s="1" t="n">
        <v>45788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61007-2021</t>
        </is>
      </c>
      <c r="B690" s="1" t="n">
        <v>44497</v>
      </c>
      <c r="C690" s="1" t="n">
        <v>45788</v>
      </c>
      <c r="D690" t="inlineStr">
        <is>
          <t>SÖDERMANLANDS LÄN</t>
        </is>
      </c>
      <c r="E690" t="inlineStr">
        <is>
          <t>NYKÖPING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61248-2021</t>
        </is>
      </c>
      <c r="B691" s="1" t="n">
        <v>44498</v>
      </c>
      <c r="C691" s="1" t="n">
        <v>45788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62076-2021</t>
        </is>
      </c>
      <c r="B692" s="1" t="n">
        <v>44502</v>
      </c>
      <c r="C692" s="1" t="n">
        <v>45788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62786-2021</t>
        </is>
      </c>
      <c r="B693" s="1" t="n">
        <v>44504</v>
      </c>
      <c r="C693" s="1" t="n">
        <v>45788</v>
      </c>
      <c r="D693" t="inlineStr">
        <is>
          <t>SÖDERMANLANDS LÄN</t>
        </is>
      </c>
      <c r="E693" t="inlineStr">
        <is>
          <t>NYKÖPING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63052-2021</t>
        </is>
      </c>
      <c r="B694" s="1" t="n">
        <v>44505</v>
      </c>
      <c r="C694" s="1" t="n">
        <v>45788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63017-2021</t>
        </is>
      </c>
      <c r="B695" s="1" t="n">
        <v>44505</v>
      </c>
      <c r="C695" s="1" t="n">
        <v>45788</v>
      </c>
      <c r="D695" t="inlineStr">
        <is>
          <t>SÖDERMANLANDS LÄN</t>
        </is>
      </c>
      <c r="E695" t="inlineStr">
        <is>
          <t>NYKÖPING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63055-2021</t>
        </is>
      </c>
      <c r="B696" s="1" t="n">
        <v>44505</v>
      </c>
      <c r="C696" s="1" t="n">
        <v>45788</v>
      </c>
      <c r="D696" t="inlineStr">
        <is>
          <t>SÖDERMANLANDS LÄN</t>
        </is>
      </c>
      <c r="E696" t="inlineStr">
        <is>
          <t>NYKÖPING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63006-2021</t>
        </is>
      </c>
      <c r="B697" s="1" t="n">
        <v>44505</v>
      </c>
      <c r="C697" s="1" t="n">
        <v>45788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64099-2021</t>
        </is>
      </c>
      <c r="B698" s="1" t="n">
        <v>44509</v>
      </c>
      <c r="C698" s="1" t="n">
        <v>45788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64162-2021</t>
        </is>
      </c>
      <c r="B699" s="1" t="n">
        <v>44510</v>
      </c>
      <c r="C699" s="1" t="n">
        <v>45788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64157-2021</t>
        </is>
      </c>
      <c r="B700" s="1" t="n">
        <v>44510</v>
      </c>
      <c r="C700" s="1" t="n">
        <v>45788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64159-2021</t>
        </is>
      </c>
      <c r="B701" s="1" t="n">
        <v>44510</v>
      </c>
      <c r="C701" s="1" t="n">
        <v>45788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64879-2021</t>
        </is>
      </c>
      <c r="B702" s="1" t="n">
        <v>44512</v>
      </c>
      <c r="C702" s="1" t="n">
        <v>45788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65109-2021</t>
        </is>
      </c>
      <c r="B703" s="1" t="n">
        <v>44515</v>
      </c>
      <c r="C703" s="1" t="n">
        <v>45788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65520-2021</t>
        </is>
      </c>
      <c r="B704" s="1" t="n">
        <v>44516</v>
      </c>
      <c r="C704" s="1" t="n">
        <v>45788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45788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66852-2021</t>
        </is>
      </c>
      <c r="B706" s="1" t="n">
        <v>44522</v>
      </c>
      <c r="C706" s="1" t="n">
        <v>45788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66939-2021</t>
        </is>
      </c>
      <c r="B707" s="1" t="n">
        <v>44522</v>
      </c>
      <c r="C707" s="1" t="n">
        <v>45788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66798-2021</t>
        </is>
      </c>
      <c r="B708" s="1" t="n">
        <v>44522</v>
      </c>
      <c r="C708" s="1" t="n">
        <v>45788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66860-2021</t>
        </is>
      </c>
      <c r="B709" s="1" t="n">
        <v>44522</v>
      </c>
      <c r="C709" s="1" t="n">
        <v>45788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66975-2021</t>
        </is>
      </c>
      <c r="B710" s="1" t="n">
        <v>44522</v>
      </c>
      <c r="C710" s="1" t="n">
        <v>45788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67736-2021</t>
        </is>
      </c>
      <c r="B711" s="1" t="n">
        <v>44525</v>
      </c>
      <c r="C711" s="1" t="n">
        <v>45788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67817-2021</t>
        </is>
      </c>
      <c r="B712" s="1" t="n">
        <v>44525</v>
      </c>
      <c r="C712" s="1" t="n">
        <v>45788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67829-2021</t>
        </is>
      </c>
      <c r="B713" s="1" t="n">
        <v>44525</v>
      </c>
      <c r="C713" s="1" t="n">
        <v>45788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67802-2021</t>
        </is>
      </c>
      <c r="B714" s="1" t="n">
        <v>44525</v>
      </c>
      <c r="C714" s="1" t="n">
        <v>45788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67805-2021</t>
        </is>
      </c>
      <c r="B715" s="1" t="n">
        <v>44525</v>
      </c>
      <c r="C715" s="1" t="n">
        <v>45788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67825-2021</t>
        </is>
      </c>
      <c r="B716" s="1" t="n">
        <v>44525</v>
      </c>
      <c r="C716" s="1" t="n">
        <v>45788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67833-2021</t>
        </is>
      </c>
      <c r="B717" s="1" t="n">
        <v>44525</v>
      </c>
      <c r="C717" s="1" t="n">
        <v>45788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67823-2021</t>
        </is>
      </c>
      <c r="B718" s="1" t="n">
        <v>44525</v>
      </c>
      <c r="C718" s="1" t="n">
        <v>45788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67830-2021</t>
        </is>
      </c>
      <c r="B719" s="1" t="n">
        <v>44525</v>
      </c>
      <c r="C719" s="1" t="n">
        <v>45788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67852-2021</t>
        </is>
      </c>
      <c r="B720" s="1" t="n">
        <v>44525</v>
      </c>
      <c r="C720" s="1" t="n">
        <v>45788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67857-2021</t>
        </is>
      </c>
      <c r="B721" s="1" t="n">
        <v>44525</v>
      </c>
      <c r="C721" s="1" t="n">
        <v>45788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68034-2021</t>
        </is>
      </c>
      <c r="B722" s="1" t="n">
        <v>44525</v>
      </c>
      <c r="C722" s="1" t="n">
        <v>45788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68028-2021</t>
        </is>
      </c>
      <c r="B723" s="1" t="n">
        <v>44525</v>
      </c>
      <c r="C723" s="1" t="n">
        <v>45788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68024-2021</t>
        </is>
      </c>
      <c r="B724" s="1" t="n">
        <v>44525</v>
      </c>
      <c r="C724" s="1" t="n">
        <v>45788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68030-2021</t>
        </is>
      </c>
      <c r="B725" s="1" t="n">
        <v>44525</v>
      </c>
      <c r="C725" s="1" t="n">
        <v>45788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45788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68231-2021</t>
        </is>
      </c>
      <c r="B727" s="1" t="n">
        <v>44526</v>
      </c>
      <c r="C727" s="1" t="n">
        <v>45788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68500-2021</t>
        </is>
      </c>
      <c r="B728" s="1" t="n">
        <v>44529</v>
      </c>
      <c r="C728" s="1" t="n">
        <v>45788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68401-2021</t>
        </is>
      </c>
      <c r="B729" s="1" t="n">
        <v>44529</v>
      </c>
      <c r="C729" s="1" t="n">
        <v>45788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69244-2021</t>
        </is>
      </c>
      <c r="B730" s="1" t="n">
        <v>44530</v>
      </c>
      <c r="C730" s="1" t="n">
        <v>45788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69255-2021</t>
        </is>
      </c>
      <c r="B731" s="1" t="n">
        <v>44530</v>
      </c>
      <c r="C731" s="1" t="n">
        <v>45788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69252-2021</t>
        </is>
      </c>
      <c r="B732" s="1" t="n">
        <v>44530</v>
      </c>
      <c r="C732" s="1" t="n">
        <v>45788</v>
      </c>
      <c r="D732" t="inlineStr">
        <is>
          <t>SÖDERMANLANDS LÄN</t>
        </is>
      </c>
      <c r="E732" t="inlineStr">
        <is>
          <t>NYKÖPING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69247-2021</t>
        </is>
      </c>
      <c r="B733" s="1" t="n">
        <v>44530</v>
      </c>
      <c r="C733" s="1" t="n">
        <v>45788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69598-2021</t>
        </is>
      </c>
      <c r="B734" s="1" t="n">
        <v>44531</v>
      </c>
      <c r="C734" s="1" t="n">
        <v>45788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69622-2021</t>
        </is>
      </c>
      <c r="B735" s="1" t="n">
        <v>44531</v>
      </c>
      <c r="C735" s="1" t="n">
        <v>45788</v>
      </c>
      <c r="D735" t="inlineStr">
        <is>
          <t>SÖDERMANLANDS LÄN</t>
        </is>
      </c>
      <c r="E735" t="inlineStr">
        <is>
          <t>NYKÖPING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69618-2021</t>
        </is>
      </c>
      <c r="B736" s="1" t="n">
        <v>44531</v>
      </c>
      <c r="C736" s="1" t="n">
        <v>45788</v>
      </c>
      <c r="D736" t="inlineStr">
        <is>
          <t>SÖDERMANLANDS LÄN</t>
        </is>
      </c>
      <c r="E736" t="inlineStr">
        <is>
          <t>NYKÖPING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69602-2021</t>
        </is>
      </c>
      <c r="B737" s="1" t="n">
        <v>44531</v>
      </c>
      <c r="C737" s="1" t="n">
        <v>45788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45788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70749-2021</t>
        </is>
      </c>
      <c r="B739" s="1" t="n">
        <v>44536</v>
      </c>
      <c r="C739" s="1" t="n">
        <v>45788</v>
      </c>
      <c r="D739" t="inlineStr">
        <is>
          <t>SÖDERMANLANDS LÄN</t>
        </is>
      </c>
      <c r="E739" t="inlineStr">
        <is>
          <t>NYKÖPING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70772-2021</t>
        </is>
      </c>
      <c r="B740" s="1" t="n">
        <v>44536</v>
      </c>
      <c r="C740" s="1" t="n">
        <v>45788</v>
      </c>
      <c r="D740" t="inlineStr">
        <is>
          <t>SÖDERMANLANDS LÄN</t>
        </is>
      </c>
      <c r="E740" t="inlineStr">
        <is>
          <t>NYKÖPING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70777-2021</t>
        </is>
      </c>
      <c r="B741" s="1" t="n">
        <v>44536</v>
      </c>
      <c r="C741" s="1" t="n">
        <v>45788</v>
      </c>
      <c r="D741" t="inlineStr">
        <is>
          <t>SÖDERMANLANDS LÄN</t>
        </is>
      </c>
      <c r="E741" t="inlineStr">
        <is>
          <t>NYKÖPING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70791-2021</t>
        </is>
      </c>
      <c r="B742" s="1" t="n">
        <v>44536</v>
      </c>
      <c r="C742" s="1" t="n">
        <v>45788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71103-2021</t>
        </is>
      </c>
      <c r="B743" s="1" t="n">
        <v>44537</v>
      </c>
      <c r="C743" s="1" t="n">
        <v>45788</v>
      </c>
      <c r="D743" t="inlineStr">
        <is>
          <t>SÖDERMANLANDS LÄN</t>
        </is>
      </c>
      <c r="E743" t="inlineStr">
        <is>
          <t>NYKÖPING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71107-2021</t>
        </is>
      </c>
      <c r="B744" s="1" t="n">
        <v>44537</v>
      </c>
      <c r="C744" s="1" t="n">
        <v>45788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71111-2021</t>
        </is>
      </c>
      <c r="B745" s="1" t="n">
        <v>44537</v>
      </c>
      <c r="C745" s="1" t="n">
        <v>45788</v>
      </c>
      <c r="D745" t="inlineStr">
        <is>
          <t>SÖDERMANLANDS LÄN</t>
        </is>
      </c>
      <c r="E745" t="inlineStr">
        <is>
          <t>NYKÖPING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71115-2021</t>
        </is>
      </c>
      <c r="B746" s="1" t="n">
        <v>44537</v>
      </c>
      <c r="C746" s="1" t="n">
        <v>45788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71175-2021</t>
        </is>
      </c>
      <c r="B747" s="1" t="n">
        <v>44539</v>
      </c>
      <c r="C747" s="1" t="n">
        <v>45788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71240-2021</t>
        </is>
      </c>
      <c r="B748" s="1" t="n">
        <v>44539</v>
      </c>
      <c r="C748" s="1" t="n">
        <v>45788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71251-2021</t>
        </is>
      </c>
      <c r="B749" s="1" t="n">
        <v>44539</v>
      </c>
      <c r="C749" s="1" t="n">
        <v>45788</v>
      </c>
      <c r="D749" t="inlineStr">
        <is>
          <t>SÖDERMANLANDS LÄN</t>
        </is>
      </c>
      <c r="E749" t="inlineStr">
        <is>
          <t>NYKÖPING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71555-2021</t>
        </is>
      </c>
      <c r="B750" s="1" t="n">
        <v>44540</v>
      </c>
      <c r="C750" s="1" t="n">
        <v>45788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71884-2021</t>
        </is>
      </c>
      <c r="B751" s="1" t="n">
        <v>44543</v>
      </c>
      <c r="C751" s="1" t="n">
        <v>45788</v>
      </c>
      <c r="D751" t="inlineStr">
        <is>
          <t>SÖDERMANLANDS LÄN</t>
        </is>
      </c>
      <c r="E751" t="inlineStr">
        <is>
          <t>NYKÖPING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71884-2021 karta knärot.png", "A 71884-2021")</f>
        <v/>
      </c>
      <c r="V751">
        <f>HYPERLINK("https://klasma.github.io/Logging_0480/klagomål/A 71884-2021 FSC-klagomål.docx", "A 71884-2021")</f>
        <v/>
      </c>
      <c r="W751">
        <f>HYPERLINK("https://klasma.github.io/Logging_0480/klagomålsmail/A 71884-2021 FSC-klagomål mail.docx", "A 71884-2021")</f>
        <v/>
      </c>
      <c r="X751">
        <f>HYPERLINK("https://klasma.github.io/Logging_0480/tillsyn/A 71884-2021 tillsynsbegäran.docx", "A 71884-2021")</f>
        <v/>
      </c>
      <c r="Y751">
        <f>HYPERLINK("https://klasma.github.io/Logging_0480/tillsynsmail/A 71884-2021 tillsynsbegäran mail.docx", "A 71884-2021")</f>
        <v/>
      </c>
    </row>
    <row r="752" ht="15" customHeight="1">
      <c r="A752" t="inlineStr">
        <is>
          <t>A 72117-2021</t>
        </is>
      </c>
      <c r="B752" s="1" t="n">
        <v>44543</v>
      </c>
      <c r="C752" s="1" t="n">
        <v>45788</v>
      </c>
      <c r="D752" t="inlineStr">
        <is>
          <t>SÖDERMANLANDS LÄN</t>
        </is>
      </c>
      <c r="E752" t="inlineStr">
        <is>
          <t>NYKÖPING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72307-2021</t>
        </is>
      </c>
      <c r="B753" s="1" t="n">
        <v>44544</v>
      </c>
      <c r="C753" s="1" t="n">
        <v>45788</v>
      </c>
      <c r="D753" t="inlineStr">
        <is>
          <t>SÖDERMANLANDS LÄN</t>
        </is>
      </c>
      <c r="E753" t="inlineStr">
        <is>
          <t>NYKÖPING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72304-2021</t>
        </is>
      </c>
      <c r="B754" s="1" t="n">
        <v>44544</v>
      </c>
      <c r="C754" s="1" t="n">
        <v>45788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72554-2021</t>
        </is>
      </c>
      <c r="B755" s="1" t="n">
        <v>44545</v>
      </c>
      <c r="C755" s="1" t="n">
        <v>45788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72666-2021</t>
        </is>
      </c>
      <c r="B756" s="1" t="n">
        <v>44546</v>
      </c>
      <c r="C756" s="1" t="n">
        <v>45788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45788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72985-2021</t>
        </is>
      </c>
      <c r="B758" s="1" t="n">
        <v>44549</v>
      </c>
      <c r="C758" s="1" t="n">
        <v>45788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73962-2021</t>
        </is>
      </c>
      <c r="B759" s="1" t="n">
        <v>44553</v>
      </c>
      <c r="C759" s="1" t="n">
        <v>45788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45788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74496-2021</t>
        </is>
      </c>
      <c r="B761" s="1" t="n">
        <v>44560</v>
      </c>
      <c r="C761" s="1" t="n">
        <v>45788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74404-2021</t>
        </is>
      </c>
      <c r="B762" s="1" t="n">
        <v>44560</v>
      </c>
      <c r="C762" s="1" t="n">
        <v>45788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1467-2022</t>
        </is>
      </c>
      <c r="B763" s="1" t="n">
        <v>44573</v>
      </c>
      <c r="C763" s="1" t="n">
        <v>45788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1473-2022</t>
        </is>
      </c>
      <c r="B764" s="1" t="n">
        <v>44573</v>
      </c>
      <c r="C764" s="1" t="n">
        <v>45788</v>
      </c>
      <c r="D764" t="inlineStr">
        <is>
          <t>SÖDERMANLANDS LÄN</t>
        </is>
      </c>
      <c r="E764" t="inlineStr">
        <is>
          <t>NYKÖPING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1647-2022</t>
        </is>
      </c>
      <c r="B765" s="1" t="n">
        <v>44574</v>
      </c>
      <c r="C765" s="1" t="n">
        <v>45788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1912-2022</t>
        </is>
      </c>
      <c r="B766" s="1" t="n">
        <v>44575</v>
      </c>
      <c r="C766" s="1" t="n">
        <v>45788</v>
      </c>
      <c r="D766" t="inlineStr">
        <is>
          <t>SÖDERMANLANDS LÄN</t>
        </is>
      </c>
      <c r="E766" t="inlineStr">
        <is>
          <t>NYKÖPING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1930-2022</t>
        </is>
      </c>
      <c r="B767" s="1" t="n">
        <v>44575</v>
      </c>
      <c r="C767" s="1" t="n">
        <v>45788</v>
      </c>
      <c r="D767" t="inlineStr">
        <is>
          <t>SÖDERMANLANDS LÄN</t>
        </is>
      </c>
      <c r="E767" t="inlineStr">
        <is>
          <t>NYKÖPING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1931-2022</t>
        </is>
      </c>
      <c r="B768" s="1" t="n">
        <v>44575</v>
      </c>
      <c r="C768" s="1" t="n">
        <v>45788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1915-2022</t>
        </is>
      </c>
      <c r="B769" s="1" t="n">
        <v>44575</v>
      </c>
      <c r="C769" s="1" t="n">
        <v>45788</v>
      </c>
      <c r="D769" t="inlineStr">
        <is>
          <t>SÖDERMANLANDS LÄN</t>
        </is>
      </c>
      <c r="E769" t="inlineStr">
        <is>
          <t>NYKÖPING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2041-2022</t>
        </is>
      </c>
      <c r="B770" s="1" t="n">
        <v>44575</v>
      </c>
      <c r="C770" s="1" t="n">
        <v>45788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2225-2022</t>
        </is>
      </c>
      <c r="B771" s="1" t="n">
        <v>44578</v>
      </c>
      <c r="C771" s="1" t="n">
        <v>45788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2255-2022</t>
        </is>
      </c>
      <c r="B772" s="1" t="n">
        <v>44578</v>
      </c>
      <c r="C772" s="1" t="n">
        <v>45788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2256-2022</t>
        </is>
      </c>
      <c r="B773" s="1" t="n">
        <v>44578</v>
      </c>
      <c r="C773" s="1" t="n">
        <v>45788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45788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2429-2022</t>
        </is>
      </c>
      <c r="B775" s="1" t="n">
        <v>44579</v>
      </c>
      <c r="C775" s="1" t="n">
        <v>45788</v>
      </c>
      <c r="D775" t="inlineStr">
        <is>
          <t>SÖDERMANLANDS LÄN</t>
        </is>
      </c>
      <c r="E775" t="inlineStr">
        <is>
          <t>NYKÖPING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45788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2507-2022</t>
        </is>
      </c>
      <c r="B777" s="1" t="n">
        <v>44579</v>
      </c>
      <c r="C777" s="1" t="n">
        <v>45788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2513-2022</t>
        </is>
      </c>
      <c r="B778" s="1" t="n">
        <v>44579</v>
      </c>
      <c r="C778" s="1" t="n">
        <v>45788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2506-2022</t>
        </is>
      </c>
      <c r="B779" s="1" t="n">
        <v>44579</v>
      </c>
      <c r="C779" s="1" t="n">
        <v>45788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2510-2022</t>
        </is>
      </c>
      <c r="B780" s="1" t="n">
        <v>44579</v>
      </c>
      <c r="C780" s="1" t="n">
        <v>45788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2517-2022</t>
        </is>
      </c>
      <c r="B781" s="1" t="n">
        <v>44579</v>
      </c>
      <c r="C781" s="1" t="n">
        <v>45788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45788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2973-2022</t>
        </is>
      </c>
      <c r="B783" s="1" t="n">
        <v>44581</v>
      </c>
      <c r="C783" s="1" t="n">
        <v>45788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2947-2022</t>
        </is>
      </c>
      <c r="B784" s="1" t="n">
        <v>44581</v>
      </c>
      <c r="C784" s="1" t="n">
        <v>45788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3193-2022</t>
        </is>
      </c>
      <c r="B785" s="1" t="n">
        <v>44582</v>
      </c>
      <c r="C785" s="1" t="n">
        <v>45788</v>
      </c>
      <c r="D785" t="inlineStr">
        <is>
          <t>SÖDERMANLANDS LÄN</t>
        </is>
      </c>
      <c r="E785" t="inlineStr">
        <is>
          <t>NYKÖPING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3187-2022</t>
        </is>
      </c>
      <c r="B786" s="1" t="n">
        <v>44582</v>
      </c>
      <c r="C786" s="1" t="n">
        <v>45788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3353-2022</t>
        </is>
      </c>
      <c r="B787" s="1" t="n">
        <v>44585</v>
      </c>
      <c r="C787" s="1" t="n">
        <v>45788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4903-2022</t>
        </is>
      </c>
      <c r="B788" s="1" t="n">
        <v>44593</v>
      </c>
      <c r="C788" s="1" t="n">
        <v>45788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HYPERLINK("https://klasma.github.io/Logging_0480/knärot/A 4903-2022 karta knärot.png", "A 4903-2022")</f>
        <v/>
      </c>
      <c r="V788">
        <f>HYPERLINK("https://klasma.github.io/Logging_0480/klagomål/A 4903-2022 FSC-klagomål.docx", "A 4903-2022")</f>
        <v/>
      </c>
      <c r="W788">
        <f>HYPERLINK("https://klasma.github.io/Logging_0480/klagomålsmail/A 4903-2022 FSC-klagomål mail.docx", "A 4903-2022")</f>
        <v/>
      </c>
      <c r="X788">
        <f>HYPERLINK("https://klasma.github.io/Logging_0480/tillsyn/A 4903-2022 tillsynsbegäran.docx", "A 4903-2022")</f>
        <v/>
      </c>
      <c r="Y788">
        <f>HYPERLINK("https://klasma.github.io/Logging_0480/tillsynsmail/A 4903-2022 tillsynsbegäran mail.docx", "A 4903-2022")</f>
        <v/>
      </c>
    </row>
    <row r="789" ht="15" customHeight="1">
      <c r="A789" t="inlineStr">
        <is>
          <t>A 5357-2022</t>
        </is>
      </c>
      <c r="B789" s="1" t="n">
        <v>44594</v>
      </c>
      <c r="C789" s="1" t="n">
        <v>45788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6538-2022</t>
        </is>
      </c>
      <c r="B790" s="1" t="n">
        <v>44601</v>
      </c>
      <c r="C790" s="1" t="n">
        <v>45788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7253-2022</t>
        </is>
      </c>
      <c r="B791" s="1" t="n">
        <v>44606</v>
      </c>
      <c r="C791" s="1" t="n">
        <v>45788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Allmännings- och besparingsskogar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7496-2022</t>
        </is>
      </c>
      <c r="B792" s="1" t="n">
        <v>44607</v>
      </c>
      <c r="C792" s="1" t="n">
        <v>45788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7887-2022</t>
        </is>
      </c>
      <c r="B793" s="1" t="n">
        <v>44608</v>
      </c>
      <c r="C793" s="1" t="n">
        <v>45788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8523-2022</t>
        </is>
      </c>
      <c r="B794" s="1" t="n">
        <v>44613</v>
      </c>
      <c r="C794" s="1" t="n">
        <v>45788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8532-2022</t>
        </is>
      </c>
      <c r="B795" s="1" t="n">
        <v>44613</v>
      </c>
      <c r="C795" s="1" t="n">
        <v>45788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8517-2022</t>
        </is>
      </c>
      <c r="B796" s="1" t="n">
        <v>44613</v>
      </c>
      <c r="C796" s="1" t="n">
        <v>45788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8783-2022</t>
        </is>
      </c>
      <c r="B797" s="1" t="n">
        <v>44614</v>
      </c>
      <c r="C797" s="1" t="n">
        <v>45788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8778-2022</t>
        </is>
      </c>
      <c r="B798" s="1" t="n">
        <v>44614</v>
      </c>
      <c r="C798" s="1" t="n">
        <v>45788</v>
      </c>
      <c r="D798" t="inlineStr">
        <is>
          <t>SÖDERMANLANDS LÄN</t>
        </is>
      </c>
      <c r="E798" t="inlineStr">
        <is>
          <t>NYKÖPING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8781-2022</t>
        </is>
      </c>
      <c r="B799" s="1" t="n">
        <v>44614</v>
      </c>
      <c r="C799" s="1" t="n">
        <v>45788</v>
      </c>
      <c r="D799" t="inlineStr">
        <is>
          <t>SÖDERMANLANDS LÄN</t>
        </is>
      </c>
      <c r="E799" t="inlineStr">
        <is>
          <t>NYKÖPING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9174-2022</t>
        </is>
      </c>
      <c r="B800" s="1" t="n">
        <v>44615</v>
      </c>
      <c r="C800" s="1" t="n">
        <v>45788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9469-2022</t>
        </is>
      </c>
      <c r="B801" s="1" t="n">
        <v>44616</v>
      </c>
      <c r="C801" s="1" t="n">
        <v>45788</v>
      </c>
      <c r="D801" t="inlineStr">
        <is>
          <t>SÖDERMANLANDS LÄN</t>
        </is>
      </c>
      <c r="E801" t="inlineStr">
        <is>
          <t>NYKÖPING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9842-2022</t>
        </is>
      </c>
      <c r="B802" s="1" t="n">
        <v>44620</v>
      </c>
      <c r="C802" s="1" t="n">
        <v>45788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</v>
      </c>
      <c r="C803" s="1" t="n">
        <v>45788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10357-2022</t>
        </is>
      </c>
      <c r="B804" s="1" t="n">
        <v>44623</v>
      </c>
      <c r="C804" s="1" t="n">
        <v>45788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10435-2022</t>
        </is>
      </c>
      <c r="B805" s="1" t="n">
        <v>44623</v>
      </c>
      <c r="C805" s="1" t="n">
        <v>45788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10873-2022</t>
        </is>
      </c>
      <c r="B806" s="1" t="n">
        <v>44627</v>
      </c>
      <c r="C806" s="1" t="n">
        <v>45788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11443-2022</t>
        </is>
      </c>
      <c r="B807" s="1" t="n">
        <v>44630</v>
      </c>
      <c r="C807" s="1" t="n">
        <v>45788</v>
      </c>
      <c r="D807" t="inlineStr">
        <is>
          <t>SÖDERMANLANDS LÄN</t>
        </is>
      </c>
      <c r="E807" t="inlineStr">
        <is>
          <t>NYKÖPING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11446-2022</t>
        </is>
      </c>
      <c r="B808" s="1" t="n">
        <v>44630</v>
      </c>
      <c r="C808" s="1" t="n">
        <v>45788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11728-2022</t>
        </is>
      </c>
      <c r="B809" s="1" t="n">
        <v>44634</v>
      </c>
      <c r="C809" s="1" t="n">
        <v>45788</v>
      </c>
      <c r="D809" t="inlineStr">
        <is>
          <t>SÖDERMANLANDS LÄN</t>
        </is>
      </c>
      <c r="E809" t="inlineStr">
        <is>
          <t>NYKÖPING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12669-2022</t>
        </is>
      </c>
      <c r="B810" s="1" t="n">
        <v>44641</v>
      </c>
      <c r="C810" s="1" t="n">
        <v>45788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</v>
      </c>
      <c r="C811" s="1" t="n">
        <v>45788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13372-2022</t>
        </is>
      </c>
      <c r="B812" s="1" t="n">
        <v>44645</v>
      </c>
      <c r="C812" s="1" t="n">
        <v>45788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13452-2022</t>
        </is>
      </c>
      <c r="B813" s="1" t="n">
        <v>44645</v>
      </c>
      <c r="C813" s="1" t="n">
        <v>45788</v>
      </c>
      <c r="D813" t="inlineStr">
        <is>
          <t>SÖDERMANLANDS LÄN</t>
        </is>
      </c>
      <c r="E813" t="inlineStr">
        <is>
          <t>NYKÖPING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13542-2022</t>
        </is>
      </c>
      <c r="B814" s="1" t="n">
        <v>44648</v>
      </c>
      <c r="C814" s="1" t="n">
        <v>45788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13559-2022</t>
        </is>
      </c>
      <c r="B815" s="1" t="n">
        <v>44648</v>
      </c>
      <c r="C815" s="1" t="n">
        <v>45788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13861-2022</t>
        </is>
      </c>
      <c r="B816" s="1" t="n">
        <v>44649</v>
      </c>
      <c r="C816" s="1" t="n">
        <v>45788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13858-2022</t>
        </is>
      </c>
      <c r="B817" s="1" t="n">
        <v>44649</v>
      </c>
      <c r="C817" s="1" t="n">
        <v>45788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13963-2022</t>
        </is>
      </c>
      <c r="B818" s="1" t="n">
        <v>44650</v>
      </c>
      <c r="C818" s="1" t="n">
        <v>45788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14350-2022</t>
        </is>
      </c>
      <c r="B819" s="1" t="n">
        <v>44652</v>
      </c>
      <c r="C819" s="1" t="n">
        <v>45788</v>
      </c>
      <c r="D819" t="inlineStr">
        <is>
          <t>SÖDERMANLANDS LÄN</t>
        </is>
      </c>
      <c r="E819" t="inlineStr">
        <is>
          <t>NYKÖPING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14384-2022</t>
        </is>
      </c>
      <c r="B820" s="1" t="n">
        <v>44652</v>
      </c>
      <c r="C820" s="1" t="n">
        <v>45788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14370-2022</t>
        </is>
      </c>
      <c r="B821" s="1" t="n">
        <v>44652</v>
      </c>
      <c r="C821" s="1" t="n">
        <v>45788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14828-2022</t>
        </is>
      </c>
      <c r="B822" s="1" t="n">
        <v>44656</v>
      </c>
      <c r="C822" s="1" t="n">
        <v>45788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14737-2022</t>
        </is>
      </c>
      <c r="B823" s="1" t="n">
        <v>44656</v>
      </c>
      <c r="C823" s="1" t="n">
        <v>45788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15147-2022</t>
        </is>
      </c>
      <c r="B824" s="1" t="n">
        <v>44658</v>
      </c>
      <c r="C824" s="1" t="n">
        <v>45788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15224-2022</t>
        </is>
      </c>
      <c r="B825" s="1" t="n">
        <v>44658</v>
      </c>
      <c r="C825" s="1" t="n">
        <v>45788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15404-2022</t>
        </is>
      </c>
      <c r="B826" s="1" t="n">
        <v>44659</v>
      </c>
      <c r="C826" s="1" t="n">
        <v>45788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15391-2022</t>
        </is>
      </c>
      <c r="B827" s="1" t="n">
        <v>44659</v>
      </c>
      <c r="C827" s="1" t="n">
        <v>45788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15466-2022</t>
        </is>
      </c>
      <c r="B828" s="1" t="n">
        <v>44662</v>
      </c>
      <c r="C828" s="1" t="n">
        <v>45788</v>
      </c>
      <c r="D828" t="inlineStr">
        <is>
          <t>SÖDERMANLANDS LÄN</t>
        </is>
      </c>
      <c r="E828" t="inlineStr">
        <is>
          <t>NYKÖPING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15954-2022</t>
        </is>
      </c>
      <c r="B829" s="1" t="n">
        <v>44664</v>
      </c>
      <c r="C829" s="1" t="n">
        <v>45788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Kyrkan</t>
        </is>
      </c>
      <c r="G829" t="n">
        <v>20.8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16716-2022</t>
        </is>
      </c>
      <c r="B830" s="1" t="n">
        <v>44673</v>
      </c>
      <c r="C830" s="1" t="n">
        <v>45788</v>
      </c>
      <c r="D830" t="inlineStr">
        <is>
          <t>SÖDERMANLANDS LÄN</t>
        </is>
      </c>
      <c r="E830" t="inlineStr">
        <is>
          <t>NYKÖPING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16906-2022</t>
        </is>
      </c>
      <c r="B831" s="1" t="n">
        <v>44676</v>
      </c>
      <c r="C831" s="1" t="n">
        <v>45788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16957-2022</t>
        </is>
      </c>
      <c r="B832" s="1" t="n">
        <v>44676</v>
      </c>
      <c r="C832" s="1" t="n">
        <v>45788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17234-2022</t>
        </is>
      </c>
      <c r="B833" s="1" t="n">
        <v>44678</v>
      </c>
      <c r="C833" s="1" t="n">
        <v>45788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17541-2022</t>
        </is>
      </c>
      <c r="B834" s="1" t="n">
        <v>44679</v>
      </c>
      <c r="C834" s="1" t="n">
        <v>45788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18216-2022</t>
        </is>
      </c>
      <c r="B835" s="1" t="n">
        <v>44685</v>
      </c>
      <c r="C835" s="1" t="n">
        <v>45788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18827-2022</t>
        </is>
      </c>
      <c r="B836" s="1" t="n">
        <v>44690</v>
      </c>
      <c r="C836" s="1" t="n">
        <v>45788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18824-2022</t>
        </is>
      </c>
      <c r="B837" s="1" t="n">
        <v>44690</v>
      </c>
      <c r="C837" s="1" t="n">
        <v>45788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18821-2022</t>
        </is>
      </c>
      <c r="B838" s="1" t="n">
        <v>44690</v>
      </c>
      <c r="C838" s="1" t="n">
        <v>45788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45788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20775-2022</t>
        </is>
      </c>
      <c r="B840" s="1" t="n">
        <v>44701</v>
      </c>
      <c r="C840" s="1" t="n">
        <v>45788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21088-2022</t>
        </is>
      </c>
      <c r="B841" s="1" t="n">
        <v>44704</v>
      </c>
      <c r="C841" s="1" t="n">
        <v>45788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21364-2022</t>
        </is>
      </c>
      <c r="B842" s="1" t="n">
        <v>44705</v>
      </c>
      <c r="C842" s="1" t="n">
        <v>45788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21369-2022</t>
        </is>
      </c>
      <c r="B843" s="1" t="n">
        <v>44705</v>
      </c>
      <c r="C843" s="1" t="n">
        <v>45788</v>
      </c>
      <c r="D843" t="inlineStr">
        <is>
          <t>SÖDERMANLANDS LÄN</t>
        </is>
      </c>
      <c r="E843" t="inlineStr">
        <is>
          <t>NYKÖPING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21374-2022</t>
        </is>
      </c>
      <c r="B844" s="1" t="n">
        <v>44705</v>
      </c>
      <c r="C844" s="1" t="n">
        <v>45788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21804-2022</t>
        </is>
      </c>
      <c r="B845" s="1" t="n">
        <v>44708</v>
      </c>
      <c r="C845" s="1" t="n">
        <v>45788</v>
      </c>
      <c r="D845" t="inlineStr">
        <is>
          <t>SÖDERMANLANDS LÄN</t>
        </is>
      </c>
      <c r="E845" t="inlineStr">
        <is>
          <t>NYKÖPING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21815-2022</t>
        </is>
      </c>
      <c r="B846" s="1" t="n">
        <v>44709</v>
      </c>
      <c r="C846" s="1" t="n">
        <v>45788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21818-2022</t>
        </is>
      </c>
      <c r="B847" s="1" t="n">
        <v>44709</v>
      </c>
      <c r="C847" s="1" t="n">
        <v>45788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21819-2022</t>
        </is>
      </c>
      <c r="B848" s="1" t="n">
        <v>44709</v>
      </c>
      <c r="C848" s="1" t="n">
        <v>45788</v>
      </c>
      <c r="D848" t="inlineStr">
        <is>
          <t>SÖDERMANLANDS LÄN</t>
        </is>
      </c>
      <c r="E848" t="inlineStr">
        <is>
          <t>NYKÖPING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21925-2022</t>
        </is>
      </c>
      <c r="B849" s="1" t="n">
        <v>44711</v>
      </c>
      <c r="C849" s="1" t="n">
        <v>45788</v>
      </c>
      <c r="D849" t="inlineStr">
        <is>
          <t>SÖDERMANLANDS LÄN</t>
        </is>
      </c>
      <c r="E849" t="inlineStr">
        <is>
          <t>NYKÖPING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21917-2022</t>
        </is>
      </c>
      <c r="B850" s="1" t="n">
        <v>44711</v>
      </c>
      <c r="C850" s="1" t="n">
        <v>45788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22393-2022</t>
        </is>
      </c>
      <c r="B851" s="1" t="n">
        <v>44713</v>
      </c>
      <c r="C851" s="1" t="n">
        <v>45788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22402-2022</t>
        </is>
      </c>
      <c r="B852" s="1" t="n">
        <v>44713</v>
      </c>
      <c r="C852" s="1" t="n">
        <v>45788</v>
      </c>
      <c r="D852" t="inlineStr">
        <is>
          <t>SÖDERMANLANDS LÄN</t>
        </is>
      </c>
      <c r="E852" t="inlineStr">
        <is>
          <t>NYKÖPING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22990-2022</t>
        </is>
      </c>
      <c r="B853" s="1" t="n">
        <v>44718</v>
      </c>
      <c r="C853" s="1" t="n">
        <v>45788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23107-2022</t>
        </is>
      </c>
      <c r="B854" s="1" t="n">
        <v>44719</v>
      </c>
      <c r="C854" s="1" t="n">
        <v>45788</v>
      </c>
      <c r="D854" t="inlineStr">
        <is>
          <t>SÖDERMANLANDS LÄN</t>
        </is>
      </c>
      <c r="E854" t="inlineStr">
        <is>
          <t>NYKÖPING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23641-2022</t>
        </is>
      </c>
      <c r="B855" s="1" t="n">
        <v>44721</v>
      </c>
      <c r="C855" s="1" t="n">
        <v>45788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23922-2022</t>
        </is>
      </c>
      <c r="B856" s="1" t="n">
        <v>44722</v>
      </c>
      <c r="C856" s="1" t="n">
        <v>45788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24285-2022</t>
        </is>
      </c>
      <c r="B857" s="1" t="n">
        <v>44725</v>
      </c>
      <c r="C857" s="1" t="n">
        <v>45788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24280-2022</t>
        </is>
      </c>
      <c r="B858" s="1" t="n">
        <v>44725</v>
      </c>
      <c r="C858" s="1" t="n">
        <v>45788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24197-2022</t>
        </is>
      </c>
      <c r="B859" s="1" t="n">
        <v>44725</v>
      </c>
      <c r="C859" s="1" t="n">
        <v>45788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24631-2022</t>
        </is>
      </c>
      <c r="B860" s="1" t="n">
        <v>44727</v>
      </c>
      <c r="C860" s="1" t="n">
        <v>45788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24609-2022</t>
        </is>
      </c>
      <c r="B861" s="1" t="n">
        <v>44727</v>
      </c>
      <c r="C861" s="1" t="n">
        <v>45788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</v>
      </c>
      <c r="C862" s="1" t="n">
        <v>45788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25130-2022</t>
        </is>
      </c>
      <c r="B863" s="1" t="n">
        <v>44729</v>
      </c>
      <c r="C863" s="1" t="n">
        <v>45788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25493-2022</t>
        </is>
      </c>
      <c r="B864" s="1" t="n">
        <v>44732</v>
      </c>
      <c r="C864" s="1" t="n">
        <v>45788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25714-2022</t>
        </is>
      </c>
      <c r="B865" s="1" t="n">
        <v>44733</v>
      </c>
      <c r="C865" s="1" t="n">
        <v>45788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25709-2022</t>
        </is>
      </c>
      <c r="B866" s="1" t="n">
        <v>44733</v>
      </c>
      <c r="C866" s="1" t="n">
        <v>45788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25718-2022</t>
        </is>
      </c>
      <c r="B867" s="1" t="n">
        <v>44733</v>
      </c>
      <c r="C867" s="1" t="n">
        <v>45788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25796-2022</t>
        </is>
      </c>
      <c r="B868" s="1" t="n">
        <v>44733</v>
      </c>
      <c r="C868" s="1" t="n">
        <v>45788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25705-2022</t>
        </is>
      </c>
      <c r="B869" s="1" t="n">
        <v>44733</v>
      </c>
      <c r="C869" s="1" t="n">
        <v>45788</v>
      </c>
      <c r="D869" t="inlineStr">
        <is>
          <t>SÖDERMANLANDS LÄN</t>
        </is>
      </c>
      <c r="E869" t="inlineStr">
        <is>
          <t>NYKÖPING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25948-2022</t>
        </is>
      </c>
      <c r="B870" s="1" t="n">
        <v>44734</v>
      </c>
      <c r="C870" s="1" t="n">
        <v>45788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26993-2022</t>
        </is>
      </c>
      <c r="B871" s="1" t="n">
        <v>44740</v>
      </c>
      <c r="C871" s="1" t="n">
        <v>45788</v>
      </c>
      <c r="D871" t="inlineStr">
        <is>
          <t>SÖDERMANLANDS LÄN</t>
        </is>
      </c>
      <c r="E871" t="inlineStr">
        <is>
          <t>NYKÖPING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27975-2022</t>
        </is>
      </c>
      <c r="B872" s="1" t="n">
        <v>44744</v>
      </c>
      <c r="C872" s="1" t="n">
        <v>45788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27974-2022</t>
        </is>
      </c>
      <c r="B873" s="1" t="n">
        <v>44744</v>
      </c>
      <c r="C873" s="1" t="n">
        <v>45788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28503-2022</t>
        </is>
      </c>
      <c r="B874" s="1" t="n">
        <v>44747</v>
      </c>
      <c r="C874" s="1" t="n">
        <v>45788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28636-2022</t>
        </is>
      </c>
      <c r="B875" s="1" t="n">
        <v>44748</v>
      </c>
      <c r="C875" s="1" t="n">
        <v>45788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28511-2022</t>
        </is>
      </c>
      <c r="B876" s="1" t="n">
        <v>44748</v>
      </c>
      <c r="C876" s="1" t="n">
        <v>45788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29499-2022</t>
        </is>
      </c>
      <c r="B877" s="1" t="n">
        <v>44753</v>
      </c>
      <c r="C877" s="1" t="n">
        <v>45788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29610-2022</t>
        </is>
      </c>
      <c r="B878" s="1" t="n">
        <v>44754</v>
      </c>
      <c r="C878" s="1" t="n">
        <v>45788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29631-2022</t>
        </is>
      </c>
      <c r="B879" s="1" t="n">
        <v>44754</v>
      </c>
      <c r="C879" s="1" t="n">
        <v>45788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29766-2022</t>
        </is>
      </c>
      <c r="B880" s="1" t="n">
        <v>44755</v>
      </c>
      <c r="C880" s="1" t="n">
        <v>45788</v>
      </c>
      <c r="D880" t="inlineStr">
        <is>
          <t>SÖDERMANLANDS LÄN</t>
        </is>
      </c>
      <c r="E880" t="inlineStr">
        <is>
          <t>NYKÖPING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30167-2022</t>
        </is>
      </c>
      <c r="B881" s="1" t="n">
        <v>44757</v>
      </c>
      <c r="C881" s="1" t="n">
        <v>45788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30198-2022</t>
        </is>
      </c>
      <c r="B882" s="1" t="n">
        <v>44757</v>
      </c>
      <c r="C882" s="1" t="n">
        <v>45788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30471-2022</t>
        </is>
      </c>
      <c r="B883" s="1" t="n">
        <v>44761</v>
      </c>
      <c r="C883" s="1" t="n">
        <v>45788</v>
      </c>
      <c r="D883" t="inlineStr">
        <is>
          <t>SÖDERMANLANDS LÄN</t>
        </is>
      </c>
      <c r="E883" t="inlineStr">
        <is>
          <t>NYKÖPING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30865-2022</t>
        </is>
      </c>
      <c r="B884" s="1" t="n">
        <v>44767</v>
      </c>
      <c r="C884" s="1" t="n">
        <v>45788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30859-2022</t>
        </is>
      </c>
      <c r="B885" s="1" t="n">
        <v>44767</v>
      </c>
      <c r="C885" s="1" t="n">
        <v>45788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30840-2022</t>
        </is>
      </c>
      <c r="B886" s="1" t="n">
        <v>44767</v>
      </c>
      <c r="C886" s="1" t="n">
        <v>45788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30907-2022</t>
        </is>
      </c>
      <c r="B887" s="1" t="n">
        <v>44767</v>
      </c>
      <c r="C887" s="1" t="n">
        <v>45788</v>
      </c>
      <c r="D887" t="inlineStr">
        <is>
          <t>SÖDERMANLANDS LÄN</t>
        </is>
      </c>
      <c r="E887" t="inlineStr">
        <is>
          <t>NYKÖPING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31401-2022</t>
        </is>
      </c>
      <c r="B888" s="1" t="n">
        <v>44774</v>
      </c>
      <c r="C888" s="1" t="n">
        <v>45788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31392-2022</t>
        </is>
      </c>
      <c r="B889" s="1" t="n">
        <v>44774</v>
      </c>
      <c r="C889" s="1" t="n">
        <v>45788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31398-2022</t>
        </is>
      </c>
      <c r="B890" s="1" t="n">
        <v>44774</v>
      </c>
      <c r="C890" s="1" t="n">
        <v>45788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31422-2022</t>
        </is>
      </c>
      <c r="B891" s="1" t="n">
        <v>44774</v>
      </c>
      <c r="C891" s="1" t="n">
        <v>45788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31424-2022</t>
        </is>
      </c>
      <c r="B892" s="1" t="n">
        <v>44774</v>
      </c>
      <c r="C892" s="1" t="n">
        <v>45788</v>
      </c>
      <c r="D892" t="inlineStr">
        <is>
          <t>SÖDERMANLANDS LÄN</t>
        </is>
      </c>
      <c r="E892" t="inlineStr">
        <is>
          <t>NYKÖPING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31538-2022</t>
        </is>
      </c>
      <c r="B893" s="1" t="n">
        <v>44775</v>
      </c>
      <c r="C893" s="1" t="n">
        <v>45788</v>
      </c>
      <c r="D893" t="inlineStr">
        <is>
          <t>SÖDERMANLANDS LÄN</t>
        </is>
      </c>
      <c r="E893" t="inlineStr">
        <is>
          <t>NYKÖPING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31833-2022</t>
        </is>
      </c>
      <c r="B894" s="1" t="n">
        <v>44776</v>
      </c>
      <c r="C894" s="1" t="n">
        <v>45788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32715-2022</t>
        </is>
      </c>
      <c r="B895" s="1" t="n">
        <v>44783</v>
      </c>
      <c r="C895" s="1" t="n">
        <v>45788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32721-2022</t>
        </is>
      </c>
      <c r="B896" s="1" t="n">
        <v>44783</v>
      </c>
      <c r="C896" s="1" t="n">
        <v>45788</v>
      </c>
      <c r="D896" t="inlineStr">
        <is>
          <t>SÖDERMANLANDS LÄN</t>
        </is>
      </c>
      <c r="E896" t="inlineStr">
        <is>
          <t>NYKÖPING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32594-2022</t>
        </is>
      </c>
      <c r="B897" s="1" t="n">
        <v>44783</v>
      </c>
      <c r="C897" s="1" t="n">
        <v>45788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32719-2022</t>
        </is>
      </c>
      <c r="B898" s="1" t="n">
        <v>44783</v>
      </c>
      <c r="C898" s="1" t="n">
        <v>45788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32671-2022</t>
        </is>
      </c>
      <c r="B899" s="1" t="n">
        <v>44783</v>
      </c>
      <c r="C899" s="1" t="n">
        <v>45788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32837-2022</t>
        </is>
      </c>
      <c r="B900" s="1" t="n">
        <v>44784</v>
      </c>
      <c r="C900" s="1" t="n">
        <v>45788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32846-2022</t>
        </is>
      </c>
      <c r="B901" s="1" t="n">
        <v>44784</v>
      </c>
      <c r="C901" s="1" t="n">
        <v>45788</v>
      </c>
      <c r="D901" t="inlineStr">
        <is>
          <t>SÖDERMANLANDS LÄN</t>
        </is>
      </c>
      <c r="E901" t="inlineStr">
        <is>
          <t>NYKÖPING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32841-2022</t>
        </is>
      </c>
      <c r="B902" s="1" t="n">
        <v>44784</v>
      </c>
      <c r="C902" s="1" t="n">
        <v>45788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32836-2022</t>
        </is>
      </c>
      <c r="B903" s="1" t="n">
        <v>44784</v>
      </c>
      <c r="C903" s="1" t="n">
        <v>45788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</v>
      </c>
      <c r="C904" s="1" t="n">
        <v>45788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32928-2022</t>
        </is>
      </c>
      <c r="B905" s="1" t="n">
        <v>44784</v>
      </c>
      <c r="C905" s="1" t="n">
        <v>45788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33706-2022</t>
        </is>
      </c>
      <c r="B906" s="1" t="n">
        <v>44789</v>
      </c>
      <c r="C906" s="1" t="n">
        <v>45788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33769-2022</t>
        </is>
      </c>
      <c r="B907" s="1" t="n">
        <v>44789</v>
      </c>
      <c r="C907" s="1" t="n">
        <v>45788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33759-2022</t>
        </is>
      </c>
      <c r="B908" s="1" t="n">
        <v>44789</v>
      </c>
      <c r="C908" s="1" t="n">
        <v>45788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33763-2022</t>
        </is>
      </c>
      <c r="B909" s="1" t="n">
        <v>44789</v>
      </c>
      <c r="C909" s="1" t="n">
        <v>45788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33863-2022</t>
        </is>
      </c>
      <c r="B910" s="1" t="n">
        <v>44790</v>
      </c>
      <c r="C910" s="1" t="n">
        <v>45788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33875-2022</t>
        </is>
      </c>
      <c r="B911" s="1" t="n">
        <v>44790</v>
      </c>
      <c r="C911" s="1" t="n">
        <v>45788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35252-2022</t>
        </is>
      </c>
      <c r="B912" s="1" t="n">
        <v>44798</v>
      </c>
      <c r="C912" s="1" t="n">
        <v>45788</v>
      </c>
      <c r="D912" t="inlineStr">
        <is>
          <t>SÖDERMANLANDS LÄN</t>
        </is>
      </c>
      <c r="E912" t="inlineStr">
        <is>
          <t>NYKÖPING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35532-2022</t>
        </is>
      </c>
      <c r="B913" s="1" t="n">
        <v>44799</v>
      </c>
      <c r="C913" s="1" t="n">
        <v>45788</v>
      </c>
      <c r="D913" t="inlineStr">
        <is>
          <t>SÖDERMANLANDS LÄN</t>
        </is>
      </c>
      <c r="E913" t="inlineStr">
        <is>
          <t>NYKÖPING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35836-2022</t>
        </is>
      </c>
      <c r="B914" s="1" t="n">
        <v>44800</v>
      </c>
      <c r="C914" s="1" t="n">
        <v>45788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35824-2022</t>
        </is>
      </c>
      <c r="B915" s="1" t="n">
        <v>44800</v>
      </c>
      <c r="C915" s="1" t="n">
        <v>45788</v>
      </c>
      <c r="D915" t="inlineStr">
        <is>
          <t>SÖDERMANLANDS LÄN</t>
        </is>
      </c>
      <c r="E915" t="inlineStr">
        <is>
          <t>NYKÖPING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35833-2022</t>
        </is>
      </c>
      <c r="B916" s="1" t="n">
        <v>44802</v>
      </c>
      <c r="C916" s="1" t="n">
        <v>45788</v>
      </c>
      <c r="D916" t="inlineStr">
        <is>
          <t>SÖDERMANLANDS LÄN</t>
        </is>
      </c>
      <c r="E916" t="inlineStr">
        <is>
          <t>NYKÖPING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36327-2022</t>
        </is>
      </c>
      <c r="B917" s="1" t="n">
        <v>44803</v>
      </c>
      <c r="C917" s="1" t="n">
        <v>45788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36602-2022</t>
        </is>
      </c>
      <c r="B918" s="1" t="n">
        <v>44804</v>
      </c>
      <c r="C918" s="1" t="n">
        <v>45788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36622-2022</t>
        </is>
      </c>
      <c r="B919" s="1" t="n">
        <v>44804</v>
      </c>
      <c r="C919" s="1" t="n">
        <v>45788</v>
      </c>
      <c r="D919" t="inlineStr">
        <is>
          <t>SÖDERMANLANDS LÄN</t>
        </is>
      </c>
      <c r="E919" t="inlineStr">
        <is>
          <t>NYKÖPING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36634-2022</t>
        </is>
      </c>
      <c r="B920" s="1" t="n">
        <v>44804</v>
      </c>
      <c r="C920" s="1" t="n">
        <v>45788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37941-2022</t>
        </is>
      </c>
      <c r="B921" s="1" t="n">
        <v>44810</v>
      </c>
      <c r="C921" s="1" t="n">
        <v>45788</v>
      </c>
      <c r="D921" t="inlineStr">
        <is>
          <t>SÖDERMANLANDS LÄN</t>
        </is>
      </c>
      <c r="E921" t="inlineStr">
        <is>
          <t>NYKÖPING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38465-2022</t>
        </is>
      </c>
      <c r="B922" s="1" t="n">
        <v>44810</v>
      </c>
      <c r="C922" s="1" t="n">
        <v>45788</v>
      </c>
      <c r="D922" t="inlineStr">
        <is>
          <t>SÖDERMANLANDS LÄN</t>
        </is>
      </c>
      <c r="E922" t="inlineStr">
        <is>
          <t>NYKÖPING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37912-2022</t>
        </is>
      </c>
      <c r="B923" s="1" t="n">
        <v>44810</v>
      </c>
      <c r="C923" s="1" t="n">
        <v>45788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37911-2022</t>
        </is>
      </c>
      <c r="B924" s="1" t="n">
        <v>44810</v>
      </c>
      <c r="C924" s="1" t="n">
        <v>45788</v>
      </c>
      <c r="D924" t="inlineStr">
        <is>
          <t>SÖDERMANLANDS LÄN</t>
        </is>
      </c>
      <c r="E924" t="inlineStr">
        <is>
          <t>NYKÖPING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37885-2022</t>
        </is>
      </c>
      <c r="B925" s="1" t="n">
        <v>44811</v>
      </c>
      <c r="C925" s="1" t="n">
        <v>45788</v>
      </c>
      <c r="D925" t="inlineStr">
        <is>
          <t>SÖDERMANLANDS LÄN</t>
        </is>
      </c>
      <c r="E925" t="inlineStr">
        <is>
          <t>NYKÖPING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37903-2022</t>
        </is>
      </c>
      <c r="B926" s="1" t="n">
        <v>44811</v>
      </c>
      <c r="C926" s="1" t="n">
        <v>45788</v>
      </c>
      <c r="D926" t="inlineStr">
        <is>
          <t>SÖDERMANLANDS LÄN</t>
        </is>
      </c>
      <c r="E926" t="inlineStr">
        <is>
          <t>NYKÖPING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37908-2022</t>
        </is>
      </c>
      <c r="B927" s="1" t="n">
        <v>44811</v>
      </c>
      <c r="C927" s="1" t="n">
        <v>45788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37907-2022</t>
        </is>
      </c>
      <c r="B928" s="1" t="n">
        <v>44811</v>
      </c>
      <c r="C928" s="1" t="n">
        <v>45788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38155-2022</t>
        </is>
      </c>
      <c r="B929" s="1" t="n">
        <v>44812</v>
      </c>
      <c r="C929" s="1" t="n">
        <v>45788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38166-2022</t>
        </is>
      </c>
      <c r="B930" s="1" t="n">
        <v>44812</v>
      </c>
      <c r="C930" s="1" t="n">
        <v>45788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38173-2022</t>
        </is>
      </c>
      <c r="B931" s="1" t="n">
        <v>44812</v>
      </c>
      <c r="C931" s="1" t="n">
        <v>45788</v>
      </c>
      <c r="D931" t="inlineStr">
        <is>
          <t>SÖDERMANLANDS LÄN</t>
        </is>
      </c>
      <c r="E931" t="inlineStr">
        <is>
          <t>NYKÖPING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38317-2022</t>
        </is>
      </c>
      <c r="B932" s="1" t="n">
        <v>44812</v>
      </c>
      <c r="C932" s="1" t="n">
        <v>45788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38368-2022</t>
        </is>
      </c>
      <c r="B933" s="1" t="n">
        <v>44812</v>
      </c>
      <c r="C933" s="1" t="n">
        <v>45788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38372-2022</t>
        </is>
      </c>
      <c r="B934" s="1" t="n">
        <v>44812</v>
      </c>
      <c r="C934" s="1" t="n">
        <v>45788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45788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38459-2022</t>
        </is>
      </c>
      <c r="B936" s="1" t="n">
        <v>44813</v>
      </c>
      <c r="C936" s="1" t="n">
        <v>45788</v>
      </c>
      <c r="D936" t="inlineStr">
        <is>
          <t>SÖDERMANLANDS LÄN</t>
        </is>
      </c>
      <c r="E936" t="inlineStr">
        <is>
          <t>NYKÖPING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38468-2022</t>
        </is>
      </c>
      <c r="B937" s="1" t="n">
        <v>44813</v>
      </c>
      <c r="C937" s="1" t="n">
        <v>45788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39120-2022</t>
        </is>
      </c>
      <c r="B938" s="1" t="n">
        <v>44817</v>
      </c>
      <c r="C938" s="1" t="n">
        <v>45788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39756-2022</t>
        </is>
      </c>
      <c r="B939" s="1" t="n">
        <v>44819</v>
      </c>
      <c r="C939" s="1" t="n">
        <v>45788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40911-2022</t>
        </is>
      </c>
      <c r="B940" s="1" t="n">
        <v>44820</v>
      </c>
      <c r="C940" s="1" t="n">
        <v>45788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41107-2022</t>
        </is>
      </c>
      <c r="B941" s="1" t="n">
        <v>44825</v>
      </c>
      <c r="C941" s="1" t="n">
        <v>45788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41133-2022</t>
        </is>
      </c>
      <c r="B942" s="1" t="n">
        <v>44825</v>
      </c>
      <c r="C942" s="1" t="n">
        <v>45788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41136-2022</t>
        </is>
      </c>
      <c r="B943" s="1" t="n">
        <v>44825</v>
      </c>
      <c r="C943" s="1" t="n">
        <v>45788</v>
      </c>
      <c r="D943" t="inlineStr">
        <is>
          <t>SÖDERMANLANDS LÄN</t>
        </is>
      </c>
      <c r="E943" t="inlineStr">
        <is>
          <t>NYKÖPING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41129-2022</t>
        </is>
      </c>
      <c r="B944" s="1" t="n">
        <v>44825</v>
      </c>
      <c r="C944" s="1" t="n">
        <v>45788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41137-2022</t>
        </is>
      </c>
      <c r="B945" s="1" t="n">
        <v>44825</v>
      </c>
      <c r="C945" s="1" t="n">
        <v>45788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41099-2022</t>
        </is>
      </c>
      <c r="B946" s="1" t="n">
        <v>44825</v>
      </c>
      <c r="C946" s="1" t="n">
        <v>45788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41139-2022</t>
        </is>
      </c>
      <c r="B947" s="1" t="n">
        <v>44825</v>
      </c>
      <c r="C947" s="1" t="n">
        <v>45788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41247-2022</t>
        </is>
      </c>
      <c r="B948" s="1" t="n">
        <v>44826</v>
      </c>
      <c r="C948" s="1" t="n">
        <v>45788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41242-2022</t>
        </is>
      </c>
      <c r="B949" s="1" t="n">
        <v>44826</v>
      </c>
      <c r="C949" s="1" t="n">
        <v>45788</v>
      </c>
      <c r="D949" t="inlineStr">
        <is>
          <t>SÖDERMANLANDS LÄN</t>
        </is>
      </c>
      <c r="E949" t="inlineStr">
        <is>
          <t>NYKÖPING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45788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45788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45788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45788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45788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45788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45788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45788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45788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45788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45788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45788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45788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45788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45788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45788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45788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45788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45788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45788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45788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45788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45788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45788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45788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45788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45788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45788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45788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45788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45788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45788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45788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45788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45788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45788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45788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45788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45788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45788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45788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45788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45788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45788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45788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45788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45788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45788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45788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45788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45788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45788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45788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45788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45788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45788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45788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45788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45788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45788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45788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45788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45788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45788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45788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45788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45788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45788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45788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45788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45788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45788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45788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45788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45788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45788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45788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45788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45788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45788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45788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45788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45788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45788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45788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45788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45788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45788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45788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45788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45788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45788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45788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45788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45788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45788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45788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45788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45788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45788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45788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45788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45788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45788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45788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45788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45788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45788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45788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45788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45788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45788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45788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45788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45788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45788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45788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45788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45788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45788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45788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45788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45788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45788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45788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45788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45788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45788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45788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45788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45788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45788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45788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45788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45788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45788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45788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45788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45788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45788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45788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45788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45788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45788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45788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45788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45788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45788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45788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45788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45788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45788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45788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45788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45788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45788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45788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45788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45788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45788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45788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45788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45788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45788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45788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45788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45788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45788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45788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45788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45788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45788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45788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45788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45788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45788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45788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45788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45788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45788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45788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45788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45788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45788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45788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45788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45788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45788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45788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45788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45788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45788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45788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45788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45788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45788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45788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45788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45788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45788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45788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45788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45788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45788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45788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45788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45788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45788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45788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45788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45788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45788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45788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45788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45788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45788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45788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45788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45788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45788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45788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45788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45788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45788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45788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45788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45788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45788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45788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45788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45788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45788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45788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45788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45788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45788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45788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45788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45788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45788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45788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45788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45788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45788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45788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45788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45788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45788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45788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45788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45788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45788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45788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45788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45788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45788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45788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45788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45788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45788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45788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45788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45788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45788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45788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45788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45788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45788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45788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45788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45788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45788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45788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45788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45788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45788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45788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45788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45788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45788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45788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45788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45788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45788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45788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45788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45788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45788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45788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45788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45788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45788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45788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45788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45788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45788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45788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45788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45788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45788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45788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45788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45788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45788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45788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45788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45788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45788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45788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45788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45788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45788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45788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45788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45788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45788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45788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45788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45788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45788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45788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45788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45788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45788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45788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45788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45788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45788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45788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45788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45788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45788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45788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45788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45788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45788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45788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45788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45788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45788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45788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45788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45788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45788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45788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45788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45788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45788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45788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45788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45788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45788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45788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45788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45788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45788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45788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45788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45788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45788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45788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45788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45788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45788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45788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45788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45788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45788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45788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45788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45788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45788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45788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45788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45788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45788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45788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45788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45788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45788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45788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45788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45788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45788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45788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45788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45788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45788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45788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45788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45788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45788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45788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45788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45788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45788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45788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45788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45788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45788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45788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45788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45788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45788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45788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45788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45788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45788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45788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45788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45788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45788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45788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45788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45788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45788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45788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45788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45788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45788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45788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45788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45788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45788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45788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45788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45788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45788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45788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45788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45788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45788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45788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45788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45788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45788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45788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45788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45788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45788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45788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45788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45788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45788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45788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45788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45788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45788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45788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45788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45788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45788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45788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45788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45788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45788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45788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45788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45788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45788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45788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45788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45788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45788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45788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45788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45788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45788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45788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45788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45788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45788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45788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45788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45788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45788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45788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45788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45788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45788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45788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45788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45788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45788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45788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45788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45788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45788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45788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45788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45788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45788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45788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45788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45788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45788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45788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45788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45788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45788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45788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45788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45788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45788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45788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45788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45788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45788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45788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45788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45788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45788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45788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45788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45788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45788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45788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45788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45788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45788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45788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45788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45788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45788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45788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45788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45788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45788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45788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45788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45788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45788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45788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45788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45788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45788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45788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45788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45788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45788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45788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45788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45788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45788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45788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45788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45788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45788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45788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45788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45788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45788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45788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45788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45788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45788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45788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45788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45788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45788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45788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45788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45788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45788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45788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45788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45788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45788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45788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45788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45788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45788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45788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45788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45788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45788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45788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45788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45788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45788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45788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45788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45788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45788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45788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45788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45788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45788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45788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45788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45788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45788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45788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45788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45788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45788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45788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45788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45788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45788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45788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45788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45788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45788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45788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45788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45788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45788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45788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45788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45788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45788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45788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45788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45788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45788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45788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45788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45788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45788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45788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45788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45788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45788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45788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45788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45788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45788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45788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45788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45788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45788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45788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45788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45788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45788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45788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45788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45788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45788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45788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45788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45788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45788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45788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45788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45788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45788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45788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45788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45788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45788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45788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45788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45788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45788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45788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45788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45788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45788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45788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45788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45788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45788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45788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45788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45788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45788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45788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45788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45788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45788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45788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45788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45788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45788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45788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45788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45788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45788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45788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45788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45788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45788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45788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45788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45788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45788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45788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45788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45788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45788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45788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45788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45788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45788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45788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45788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45788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45788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45788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45788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45788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45788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45788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45788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45788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45788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45788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45788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45788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45788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45788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45788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45788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45788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45788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45788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45788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45788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45788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45788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45788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45788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45788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45788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45788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45788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45788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45788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45788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45788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45788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45788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45788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45788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45788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45788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45788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45788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45788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45788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45788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45788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45788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45788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45788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45788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45788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45788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45788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45788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45788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45788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45788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45788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45788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45788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45788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45788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45788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45788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45788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45788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45788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45788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45788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45788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45788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45788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45788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45788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45788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45788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45788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45788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45788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45788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45788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45788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45788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45788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45788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45788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45788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45788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45788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45788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45788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45788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45788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45788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45788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45788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45788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45788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45788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45788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45788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45788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45788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45788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45788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45788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45788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45788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45788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45788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45788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45788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45788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45788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45788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45788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45788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45788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45788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45788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45788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45788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45788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45788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45788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45788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45788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45788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45788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45788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45788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45788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45788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45788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45788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45788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45788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45788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45788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45788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45788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45788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45788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45788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45788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45788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45788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45788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45788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45788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45788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45788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45788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45788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45788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45788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45788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45788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45788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45788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45788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45788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45788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45788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45788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45788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45788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45788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45788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45788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45788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45788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18479-2025</t>
        </is>
      </c>
      <c r="B1820" s="1" t="n">
        <v>45762</v>
      </c>
      <c r="C1820" s="1" t="n">
        <v>45788</v>
      </c>
      <c r="D1820" t="inlineStr">
        <is>
          <t>SÖDERMANLANDS LÄN</t>
        </is>
      </c>
      <c r="E1820" t="inlineStr">
        <is>
          <t>NYKÖPING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45788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45788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45788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>
      <c r="A1824" t="inlineStr">
        <is>
          <t>A 21310-2025</t>
        </is>
      </c>
      <c r="B1824" s="1" t="n">
        <v>45781</v>
      </c>
      <c r="C1824" s="1" t="n">
        <v>45788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2025-05-11T17:31:30Z</dcterms:created>
  <dcterms:modified xmlns:dcterms="http://purl.org/dc/terms/" xmlns:xsi="http://www.w3.org/2001/XMLSchema-instance" xsi:type="dcterms:W3CDTF">2025-05-11T17:31:31Z</dcterms:modified>
</cp:coreProperties>
</file>