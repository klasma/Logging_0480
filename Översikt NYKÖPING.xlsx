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45585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45585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45585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45585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45585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45585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45585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45585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45585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45585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45585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45585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45585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45585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45585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45585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45585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45585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64594-2019</t>
        </is>
      </c>
      <c r="B32" s="1" t="n">
        <v>43798</v>
      </c>
      <c r="C32" s="1" t="n">
        <v>45585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2.6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Kricka
Järnsparv
Åkergroda</t>
        </is>
      </c>
      <c r="S32">
        <f>HYPERLINK("https://klasma.github.io/Logging_0480/artfynd/A 64594-2019 artfynd.xlsx", "A 64594-2019")</f>
        <v/>
      </c>
      <c r="T32">
        <f>HYPERLINK("https://klasma.github.io/Logging_0480/kartor/A 64594-2019 karta.png", "A 64594-2019")</f>
        <v/>
      </c>
      <c r="V32">
        <f>HYPERLINK("https://klasma.github.io/Logging_0480/klagomål/A 64594-2019 FSC-klagomål.docx", "A 64594-2019")</f>
        <v/>
      </c>
      <c r="W32">
        <f>HYPERLINK("https://klasma.github.io/Logging_0480/klagomålsmail/A 64594-2019 FSC-klagomål mail.docx", "A 64594-2019")</f>
        <v/>
      </c>
      <c r="X32">
        <f>HYPERLINK("https://klasma.github.io/Logging_0480/tillsyn/A 64594-2019 tillsynsbegäran.docx", "A 64594-2019")</f>
        <v/>
      </c>
      <c r="Y32">
        <f>HYPERLINK("https://klasma.github.io/Logging_0480/tillsynsmail/A 64594-2019 tillsynsbegäran mail.docx", "A 64594-2019")</f>
        <v/>
      </c>
      <c r="Z32">
        <f>HYPERLINK("https://klasma.github.io/Logging_0480/fåglar/A 64594-2019 prioriterade fågelarter.docx", "A 64594-2019")</f>
        <v/>
      </c>
    </row>
    <row r="33" ht="15" customHeight="1">
      <c r="A33" t="inlineStr">
        <is>
          <t>A 1892-2020</t>
        </is>
      </c>
      <c r="B33" s="1" t="n">
        <v>43845</v>
      </c>
      <c r="C33" s="1" t="n">
        <v>45585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Grovticka
Vågbandad barkbock</t>
        </is>
      </c>
      <c r="S33">
        <f>HYPERLINK("https://klasma.github.io/Logging_0480/artfynd/A 1892-2020 artfynd.xlsx", "A 1892-2020")</f>
        <v/>
      </c>
      <c r="T33">
        <f>HYPERLINK("https://klasma.github.io/Logging_0480/kartor/A 1892-2020 karta.png", "A 1892-2020")</f>
        <v/>
      </c>
      <c r="V33">
        <f>HYPERLINK("https://klasma.github.io/Logging_0480/klagomål/A 1892-2020 FSC-klagomål.docx", "A 1892-2020")</f>
        <v/>
      </c>
      <c r="W33">
        <f>HYPERLINK("https://klasma.github.io/Logging_0480/klagomålsmail/A 1892-2020 FSC-klagomål mail.docx", "A 1892-2020")</f>
        <v/>
      </c>
      <c r="X33">
        <f>HYPERLINK("https://klasma.github.io/Logging_0480/tillsyn/A 1892-2020 tillsynsbegäran.docx", "A 1892-2020")</f>
        <v/>
      </c>
      <c r="Y33">
        <f>HYPERLINK("https://klasma.github.io/Logging_0480/tillsynsmail/A 1892-2020 tillsynsbegäran mail.docx", "A 1892-2020")</f>
        <v/>
      </c>
    </row>
    <row r="34" ht="15" customHeight="1">
      <c r="A34" t="inlineStr">
        <is>
          <t>A 55963-2021</t>
        </is>
      </c>
      <c r="B34" s="1" t="n">
        <v>44476</v>
      </c>
      <c r="C34" s="1" t="n">
        <v>45585</v>
      </c>
      <c r="D34" t="inlineStr">
        <is>
          <t>SÖDERMANLANDS LÄN</t>
        </is>
      </c>
      <c r="E34" t="inlineStr">
        <is>
          <t>NYKÖPING</t>
        </is>
      </c>
      <c r="G34" t="n">
        <v>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Skogsklocka
Svinrot
Fläcknycklar</t>
        </is>
      </c>
      <c r="S34">
        <f>HYPERLINK("https://klasma.github.io/Logging_0480/artfynd/A 55963-2021 artfynd.xlsx", "A 55963-2021")</f>
        <v/>
      </c>
      <c r="T34">
        <f>HYPERLINK("https://klasma.github.io/Logging_0480/kartor/A 55963-2021 karta.png", "A 55963-2021")</f>
        <v/>
      </c>
      <c r="V34">
        <f>HYPERLINK("https://klasma.github.io/Logging_0480/klagomål/A 55963-2021 FSC-klagomål.docx", "A 55963-2021")</f>
        <v/>
      </c>
      <c r="W34">
        <f>HYPERLINK("https://klasma.github.io/Logging_0480/klagomålsmail/A 55963-2021 FSC-klagomål mail.docx", "A 55963-2021")</f>
        <v/>
      </c>
      <c r="X34">
        <f>HYPERLINK("https://klasma.github.io/Logging_0480/tillsyn/A 55963-2021 tillsynsbegäran.docx", "A 55963-2021")</f>
        <v/>
      </c>
      <c r="Y34">
        <f>HYPERLINK("https://klasma.github.io/Logging_0480/tillsynsmail/A 55963-2021 tillsynsbegäran mail.docx", "A 55963-2021")</f>
        <v/>
      </c>
    </row>
    <row r="35" ht="15" customHeight="1">
      <c r="A35" t="inlineStr">
        <is>
          <t>A 5532-2023</t>
        </is>
      </c>
      <c r="B35" s="1" t="n">
        <v>44960</v>
      </c>
      <c r="C35" s="1" t="n">
        <v>45585</v>
      </c>
      <c r="D35" t="inlineStr">
        <is>
          <t>SÖDERMANLANDS LÄN</t>
        </is>
      </c>
      <c r="E35" t="inlineStr">
        <is>
          <t>NYKÖPING</t>
        </is>
      </c>
      <c r="G35" t="n">
        <v>4.8</v>
      </c>
      <c r="H35" t="n">
        <v>3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Tornseglare
Skogsknipprot
Åkergroda</t>
        </is>
      </c>
      <c r="S35">
        <f>HYPERLINK("https://klasma.github.io/Logging_0480/artfynd/A 5532-2023 artfynd.xlsx", "A 5532-2023")</f>
        <v/>
      </c>
      <c r="T35">
        <f>HYPERLINK("https://klasma.github.io/Logging_0480/kartor/A 5532-2023 karta.png", "A 5532-2023")</f>
        <v/>
      </c>
      <c r="V35">
        <f>HYPERLINK("https://klasma.github.io/Logging_0480/klagomål/A 5532-2023 FSC-klagomål.docx", "A 5532-2023")</f>
        <v/>
      </c>
      <c r="W35">
        <f>HYPERLINK("https://klasma.github.io/Logging_0480/klagomålsmail/A 5532-2023 FSC-klagomål mail.docx", "A 5532-2023")</f>
        <v/>
      </c>
      <c r="X35">
        <f>HYPERLINK("https://klasma.github.io/Logging_0480/tillsyn/A 5532-2023 tillsynsbegäran.docx", "A 5532-2023")</f>
        <v/>
      </c>
      <c r="Y35">
        <f>HYPERLINK("https://klasma.github.io/Logging_0480/tillsynsmail/A 5532-2023 tillsynsbegäran mail.docx", "A 5532-2023")</f>
        <v/>
      </c>
      <c r="Z35">
        <f>HYPERLINK("https://klasma.github.io/Logging_0480/fåglar/A 5532-2023 prioriterade fågelarter.docx", "A 5532-2023")</f>
        <v/>
      </c>
    </row>
    <row r="36" ht="15" customHeight="1">
      <c r="A36" t="inlineStr">
        <is>
          <t>A 4710-2024</t>
        </is>
      </c>
      <c r="B36" s="1" t="n">
        <v>45328</v>
      </c>
      <c r="C36" s="1" t="n">
        <v>45585</v>
      </c>
      <c r="D36" t="inlineStr">
        <is>
          <t>SÖDERMANLANDS LÄN</t>
        </is>
      </c>
      <c r="E36" t="inlineStr">
        <is>
          <t>NYKÖPING</t>
        </is>
      </c>
      <c r="G36" t="n">
        <v>8.699999999999999</v>
      </c>
      <c r="H36" t="n">
        <v>2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Ask
Grönvit nattviol
Blåsippa</t>
        </is>
      </c>
      <c r="S36">
        <f>HYPERLINK("https://klasma.github.io/Logging_0480/artfynd/A 4710-2024 artfynd.xlsx", "A 4710-2024")</f>
        <v/>
      </c>
      <c r="T36">
        <f>HYPERLINK("https://klasma.github.io/Logging_0480/kartor/A 4710-2024 karta.png", "A 4710-2024")</f>
        <v/>
      </c>
      <c r="V36">
        <f>HYPERLINK("https://klasma.github.io/Logging_0480/klagomål/A 4710-2024 FSC-klagomål.docx", "A 4710-2024")</f>
        <v/>
      </c>
      <c r="W36">
        <f>HYPERLINK("https://klasma.github.io/Logging_0480/klagomålsmail/A 4710-2024 FSC-klagomål mail.docx", "A 4710-2024")</f>
        <v/>
      </c>
      <c r="X36">
        <f>HYPERLINK("https://klasma.github.io/Logging_0480/tillsyn/A 4710-2024 tillsynsbegäran.docx", "A 4710-2024")</f>
        <v/>
      </c>
      <c r="Y36">
        <f>HYPERLINK("https://klasma.github.io/Logging_0480/tillsynsmail/A 4710-2024 tillsynsbegäran mail.docx", "A 4710-2024")</f>
        <v/>
      </c>
    </row>
    <row r="37" ht="15" customHeight="1">
      <c r="A37" t="inlineStr">
        <is>
          <t>A 5858-2024</t>
        </is>
      </c>
      <c r="B37" s="1" t="n">
        <v>45335</v>
      </c>
      <c r="C37" s="1" t="n">
        <v>45585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Kopparödla
Fläcknycklar
Mattlummer</t>
        </is>
      </c>
      <c r="S37">
        <f>HYPERLINK("https://klasma.github.io/Logging_0480/artfynd/A 5858-2024 artfynd.xlsx", "A 5858-2024")</f>
        <v/>
      </c>
      <c r="T37">
        <f>HYPERLINK("https://klasma.github.io/Logging_0480/kartor/A 5858-2024 karta.png", "A 5858-2024")</f>
        <v/>
      </c>
      <c r="V37">
        <f>HYPERLINK("https://klasma.github.io/Logging_0480/klagomål/A 5858-2024 FSC-klagomål.docx", "A 5858-2024")</f>
        <v/>
      </c>
      <c r="W37">
        <f>HYPERLINK("https://klasma.github.io/Logging_0480/klagomålsmail/A 5858-2024 FSC-klagomål mail.docx", "A 5858-2024")</f>
        <v/>
      </c>
      <c r="X37">
        <f>HYPERLINK("https://klasma.github.io/Logging_0480/tillsyn/A 5858-2024 tillsynsbegäran.docx", "A 5858-2024")</f>
        <v/>
      </c>
      <c r="Y37">
        <f>HYPERLINK("https://klasma.github.io/Logging_0480/tillsynsmail/A 5858-2024 tillsynsbegäran mail.docx", "A 5858-2024")</f>
        <v/>
      </c>
    </row>
    <row r="38" ht="15" customHeight="1">
      <c r="A38" t="inlineStr">
        <is>
          <t>A 5855-2024</t>
        </is>
      </c>
      <c r="B38" s="1" t="n">
        <v>45335</v>
      </c>
      <c r="C38" s="1" t="n">
        <v>45585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3.3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Mindre vattensalamander
Fläcknycklar
Revlummer</t>
        </is>
      </c>
      <c r="S38">
        <f>HYPERLINK("https://klasma.github.io/Logging_0480/artfynd/A 5855-2024 artfynd.xlsx", "A 5855-2024")</f>
        <v/>
      </c>
      <c r="T38">
        <f>HYPERLINK("https://klasma.github.io/Logging_0480/kartor/A 5855-2024 karta.png", "A 5855-2024")</f>
        <v/>
      </c>
      <c r="V38">
        <f>HYPERLINK("https://klasma.github.io/Logging_0480/klagomål/A 5855-2024 FSC-klagomål.docx", "A 5855-2024")</f>
        <v/>
      </c>
      <c r="W38">
        <f>HYPERLINK("https://klasma.github.io/Logging_0480/klagomålsmail/A 5855-2024 FSC-klagomål mail.docx", "A 5855-2024")</f>
        <v/>
      </c>
      <c r="X38">
        <f>HYPERLINK("https://klasma.github.io/Logging_0480/tillsyn/A 5855-2024 tillsynsbegäran.docx", "A 5855-2024")</f>
        <v/>
      </c>
      <c r="Y38">
        <f>HYPERLINK("https://klasma.github.io/Logging_0480/tillsynsmail/A 5855-2024 tillsynsbegäran mail.docx", "A 5855-2024")</f>
        <v/>
      </c>
    </row>
    <row r="39" ht="15" customHeight="1">
      <c r="A39" t="inlineStr">
        <is>
          <t>A 22809-2024</t>
        </is>
      </c>
      <c r="B39" s="1" t="n">
        <v>45448</v>
      </c>
      <c r="C39" s="1" t="n">
        <v>45585</v>
      </c>
      <c r="D39" t="inlineStr">
        <is>
          <t>SÖDERMANLANDS LÄN</t>
        </is>
      </c>
      <c r="E39" t="inlineStr">
        <is>
          <t>NYKÖPING</t>
        </is>
      </c>
      <c r="G39" t="n">
        <v>3.7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Fjällig taggsvamp s.str.
Zontaggsvamp</t>
        </is>
      </c>
      <c r="S39">
        <f>HYPERLINK("https://klasma.github.io/Logging_0480/artfynd/A 22809-2024 artfynd.xlsx", "A 22809-2024")</f>
        <v/>
      </c>
      <c r="T39">
        <f>HYPERLINK("https://klasma.github.io/Logging_0480/kartor/A 22809-2024 karta.png", "A 22809-2024")</f>
        <v/>
      </c>
      <c r="V39">
        <f>HYPERLINK("https://klasma.github.io/Logging_0480/klagomål/A 22809-2024 FSC-klagomål.docx", "A 22809-2024")</f>
        <v/>
      </c>
      <c r="W39">
        <f>HYPERLINK("https://klasma.github.io/Logging_0480/klagomålsmail/A 22809-2024 FSC-klagomål mail.docx", "A 22809-2024")</f>
        <v/>
      </c>
      <c r="X39">
        <f>HYPERLINK("https://klasma.github.io/Logging_0480/tillsyn/A 22809-2024 tillsynsbegäran.docx", "A 22809-2024")</f>
        <v/>
      </c>
      <c r="Y39">
        <f>HYPERLINK("https://klasma.github.io/Logging_0480/tillsynsmail/A 22809-2024 tillsynsbegäran mail.docx", "A 22809-2024")</f>
        <v/>
      </c>
      <c r="Z39">
        <f>HYPERLINK("https://klasma.github.io/Logging_0480/fåglar/A 22809-2024 prioriterade fågelarter.docx", "A 22809-2024")</f>
        <v/>
      </c>
    </row>
    <row r="40" ht="15" customHeight="1">
      <c r="A40" t="inlineStr">
        <is>
          <t>A 36034-2024</t>
        </is>
      </c>
      <c r="B40" s="1" t="n">
        <v>45533</v>
      </c>
      <c r="C40" s="1" t="n">
        <v>45585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7.5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Motaggsvamp
Spillkråka
Blåmossa</t>
        </is>
      </c>
      <c r="S40">
        <f>HYPERLINK("https://klasma.github.io/Logging_0480/artfynd/A 36034-2024 artfynd.xlsx", "A 36034-2024")</f>
        <v/>
      </c>
      <c r="T40">
        <f>HYPERLINK("https://klasma.github.io/Logging_0480/kartor/A 36034-2024 karta.png", "A 36034-2024")</f>
        <v/>
      </c>
      <c r="V40">
        <f>HYPERLINK("https://klasma.github.io/Logging_0480/klagomål/A 36034-2024 FSC-klagomål.docx", "A 36034-2024")</f>
        <v/>
      </c>
      <c r="W40">
        <f>HYPERLINK("https://klasma.github.io/Logging_0480/klagomålsmail/A 36034-2024 FSC-klagomål mail.docx", "A 36034-2024")</f>
        <v/>
      </c>
      <c r="X40">
        <f>HYPERLINK("https://klasma.github.io/Logging_0480/tillsyn/A 36034-2024 tillsynsbegäran.docx", "A 36034-2024")</f>
        <v/>
      </c>
      <c r="Y40">
        <f>HYPERLINK("https://klasma.github.io/Logging_0480/tillsynsmail/A 36034-2024 tillsynsbegäran mail.docx", "A 36034-2024")</f>
        <v/>
      </c>
      <c r="Z40">
        <f>HYPERLINK("https://klasma.github.io/Logging_0480/fåglar/A 36034-2024 prioriterade fågelarter.docx", "A 36034-2024")</f>
        <v/>
      </c>
    </row>
    <row r="41" ht="15" customHeight="1">
      <c r="A41" t="inlineStr">
        <is>
          <t>A 37405-2024</t>
        </is>
      </c>
      <c r="B41" s="1" t="n">
        <v>45540</v>
      </c>
      <c r="C41" s="1" t="n">
        <v>45585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Flagellkvastmossa</t>
        </is>
      </c>
      <c r="S41">
        <f>HYPERLINK("https://klasma.github.io/Logging_0480/artfynd/A 37405-2024 artfynd.xlsx", "A 37405-2024")</f>
        <v/>
      </c>
      <c r="T41">
        <f>HYPERLINK("https://klasma.github.io/Logging_0480/kartor/A 37405-2024 karta.png", "A 37405-2024")</f>
        <v/>
      </c>
      <c r="V41">
        <f>HYPERLINK("https://klasma.github.io/Logging_0480/klagomål/A 37405-2024 FSC-klagomål.docx", "A 37405-2024")</f>
        <v/>
      </c>
      <c r="W41">
        <f>HYPERLINK("https://klasma.github.io/Logging_0480/klagomålsmail/A 37405-2024 FSC-klagomål mail.docx", "A 37405-2024")</f>
        <v/>
      </c>
      <c r="X41">
        <f>HYPERLINK("https://klasma.github.io/Logging_0480/tillsyn/A 37405-2024 tillsynsbegäran.docx", "A 37405-2024")</f>
        <v/>
      </c>
      <c r="Y41">
        <f>HYPERLINK("https://klasma.github.io/Logging_0480/tillsynsmail/A 37405-2024 tillsynsbegäran mail.docx", "A 37405-2024")</f>
        <v/>
      </c>
    </row>
    <row r="42" ht="15" customHeight="1">
      <c r="A42" t="inlineStr">
        <is>
          <t>A 40489-2024</t>
        </is>
      </c>
      <c r="B42" s="1" t="n">
        <v>45555</v>
      </c>
      <c r="C42" s="1" t="n">
        <v>45585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0.8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Svart taggsvamp
Flagellkvastmossa
Grönpyrola</t>
        </is>
      </c>
      <c r="S42">
        <f>HYPERLINK("https://klasma.github.io/Logging_0480/artfynd/A 40489-2024 artfynd.xlsx", "A 40489-2024")</f>
        <v/>
      </c>
      <c r="T42">
        <f>HYPERLINK("https://klasma.github.io/Logging_0480/kartor/A 40489-2024 karta.png", "A 40489-2024")</f>
        <v/>
      </c>
      <c r="V42">
        <f>HYPERLINK("https://klasma.github.io/Logging_0480/klagomål/A 40489-2024 FSC-klagomål.docx", "A 40489-2024")</f>
        <v/>
      </c>
      <c r="W42">
        <f>HYPERLINK("https://klasma.github.io/Logging_0480/klagomålsmail/A 40489-2024 FSC-klagomål mail.docx", "A 40489-2024")</f>
        <v/>
      </c>
      <c r="X42">
        <f>HYPERLINK("https://klasma.github.io/Logging_0480/tillsyn/A 40489-2024 tillsynsbegäran.docx", "A 40489-2024")</f>
        <v/>
      </c>
      <c r="Y42">
        <f>HYPERLINK("https://klasma.github.io/Logging_0480/tillsynsmail/A 40489-2024 tillsynsbegäran mail.docx", "A 40489-2024")</f>
        <v/>
      </c>
    </row>
    <row r="43" ht="15" customHeight="1">
      <c r="A43" t="inlineStr">
        <is>
          <t>A 28642-2019</t>
        </is>
      </c>
      <c r="B43" s="1" t="n">
        <v>43614</v>
      </c>
      <c r="C43" s="1" t="n">
        <v>45585</v>
      </c>
      <c r="D43" t="inlineStr">
        <is>
          <t>SÖDERMANLANDS LÄN</t>
        </is>
      </c>
      <c r="E43" t="inlineStr">
        <is>
          <t>NYKÖPING</t>
        </is>
      </c>
      <c r="G43" t="n">
        <v>17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Bombmurkla
Granticka</t>
        </is>
      </c>
      <c r="S43">
        <f>HYPERLINK("https://klasma.github.io/Logging_0480/artfynd/A 28642-2019 artfynd.xlsx", "A 28642-2019")</f>
        <v/>
      </c>
      <c r="T43">
        <f>HYPERLINK("https://klasma.github.io/Logging_0480/kartor/A 28642-2019 karta.png", "A 28642-2019")</f>
        <v/>
      </c>
      <c r="V43">
        <f>HYPERLINK("https://klasma.github.io/Logging_0480/klagomål/A 28642-2019 FSC-klagomål.docx", "A 28642-2019")</f>
        <v/>
      </c>
      <c r="W43">
        <f>HYPERLINK("https://klasma.github.io/Logging_0480/klagomålsmail/A 28642-2019 FSC-klagomål mail.docx", "A 28642-2019")</f>
        <v/>
      </c>
      <c r="X43">
        <f>HYPERLINK("https://klasma.github.io/Logging_0480/tillsyn/A 28642-2019 tillsynsbegäran.docx", "A 28642-2019")</f>
        <v/>
      </c>
      <c r="Y43">
        <f>HYPERLINK("https://klasma.github.io/Logging_0480/tillsynsmail/A 28642-2019 tillsynsbegäran mail.docx", "A 28642-2019")</f>
        <v/>
      </c>
    </row>
    <row r="44" ht="15" customHeight="1">
      <c r="A44" t="inlineStr">
        <is>
          <t>A 42501-2019</t>
        </is>
      </c>
      <c r="B44" s="1" t="n">
        <v>43704</v>
      </c>
      <c r="C44" s="1" t="n">
        <v>45585</v>
      </c>
      <c r="D44" t="inlineStr">
        <is>
          <t>SÖDERMANLANDS LÄN</t>
        </is>
      </c>
      <c r="E44" t="inlineStr">
        <is>
          <t>NYKÖPING</t>
        </is>
      </c>
      <c r="G44" t="n">
        <v>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Entita
Talltita</t>
        </is>
      </c>
      <c r="S44">
        <f>HYPERLINK("https://klasma.github.io/Logging_0480/artfynd/A 42501-2019 artfynd.xlsx", "A 42501-2019")</f>
        <v/>
      </c>
      <c r="T44">
        <f>HYPERLINK("https://klasma.github.io/Logging_0480/kartor/A 42501-2019 karta.png", "A 42501-2019")</f>
        <v/>
      </c>
      <c r="V44">
        <f>HYPERLINK("https://klasma.github.io/Logging_0480/klagomål/A 42501-2019 FSC-klagomål.docx", "A 42501-2019")</f>
        <v/>
      </c>
      <c r="W44">
        <f>HYPERLINK("https://klasma.github.io/Logging_0480/klagomålsmail/A 42501-2019 FSC-klagomål mail.docx", "A 42501-2019")</f>
        <v/>
      </c>
      <c r="X44">
        <f>HYPERLINK("https://klasma.github.io/Logging_0480/tillsyn/A 42501-2019 tillsynsbegäran.docx", "A 42501-2019")</f>
        <v/>
      </c>
      <c r="Y44">
        <f>HYPERLINK("https://klasma.github.io/Logging_0480/tillsynsmail/A 42501-2019 tillsynsbegäran mail.docx", "A 42501-2019")</f>
        <v/>
      </c>
      <c r="Z44">
        <f>HYPERLINK("https://klasma.github.io/Logging_0480/fåglar/A 42501-2019 prioriterade fågelarter.docx", "A 42501-2019")</f>
        <v/>
      </c>
    </row>
    <row r="45" ht="15" customHeight="1">
      <c r="A45" t="inlineStr">
        <is>
          <t>A 59598-2019</t>
        </is>
      </c>
      <c r="B45" s="1" t="n">
        <v>43776</v>
      </c>
      <c r="C45" s="1" t="n">
        <v>45585</v>
      </c>
      <c r="D45" t="inlineStr">
        <is>
          <t>SÖDERMANLANDS LÄN</t>
        </is>
      </c>
      <c r="E45" t="inlineStr">
        <is>
          <t>NYKÖPING</t>
        </is>
      </c>
      <c r="G45" t="n">
        <v>5.5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Mindre bastardsvärmare</t>
        </is>
      </c>
      <c r="S45">
        <f>HYPERLINK("https://klasma.github.io/Logging_0480/artfynd/A 59598-2019 artfynd.xlsx", "A 59598-2019")</f>
        <v/>
      </c>
      <c r="T45">
        <f>HYPERLINK("https://klasma.github.io/Logging_0480/kartor/A 59598-2019 karta.png", "A 59598-2019")</f>
        <v/>
      </c>
      <c r="V45">
        <f>HYPERLINK("https://klasma.github.io/Logging_0480/klagomål/A 59598-2019 FSC-klagomål.docx", "A 59598-2019")</f>
        <v/>
      </c>
      <c r="W45">
        <f>HYPERLINK("https://klasma.github.io/Logging_0480/klagomålsmail/A 59598-2019 FSC-klagomål mail.docx", "A 59598-2019")</f>
        <v/>
      </c>
      <c r="X45">
        <f>HYPERLINK("https://klasma.github.io/Logging_0480/tillsyn/A 59598-2019 tillsynsbegäran.docx", "A 59598-2019")</f>
        <v/>
      </c>
      <c r="Y45">
        <f>HYPERLINK("https://klasma.github.io/Logging_0480/tillsynsmail/A 59598-2019 tillsynsbegäran mail.docx", "A 59598-2019")</f>
        <v/>
      </c>
    </row>
    <row r="46" ht="15" customHeight="1">
      <c r="A46" t="inlineStr">
        <is>
          <t>A 64948-2019</t>
        </is>
      </c>
      <c r="B46" s="1" t="n">
        <v>43801</v>
      </c>
      <c r="C46" s="1" t="n">
        <v>45585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17</v>
      </c>
      <c r="H46" t="n">
        <v>0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Ask
Aspfjädermossa</t>
        </is>
      </c>
      <c r="S46">
        <f>HYPERLINK("https://klasma.github.io/Logging_0480/artfynd/A 64948-2019 artfynd.xlsx", "A 64948-2019")</f>
        <v/>
      </c>
      <c r="T46">
        <f>HYPERLINK("https://klasma.github.io/Logging_0480/kartor/A 64948-2019 karta.png", "A 64948-2019")</f>
        <v/>
      </c>
      <c r="V46">
        <f>HYPERLINK("https://klasma.github.io/Logging_0480/klagomål/A 64948-2019 FSC-klagomål.docx", "A 64948-2019")</f>
        <v/>
      </c>
      <c r="W46">
        <f>HYPERLINK("https://klasma.github.io/Logging_0480/klagomålsmail/A 64948-2019 FSC-klagomål mail.docx", "A 64948-2019")</f>
        <v/>
      </c>
      <c r="X46">
        <f>HYPERLINK("https://klasma.github.io/Logging_0480/tillsyn/A 64948-2019 tillsynsbegäran.docx", "A 64948-2019")</f>
        <v/>
      </c>
      <c r="Y46">
        <f>HYPERLINK("https://klasma.github.io/Logging_0480/tillsynsmail/A 64948-2019 tillsynsbegäran mail.docx", "A 64948-2019")</f>
        <v/>
      </c>
    </row>
    <row r="47" ht="15" customHeight="1">
      <c r="A47" t="inlineStr">
        <is>
          <t>A 44224-2020</t>
        </is>
      </c>
      <c r="B47" s="1" t="n">
        <v>44084</v>
      </c>
      <c r="C47" s="1" t="n">
        <v>45585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5.4</v>
      </c>
      <c r="H47" t="n">
        <v>2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Tornseglare
Vanlig groda</t>
        </is>
      </c>
      <c r="S47">
        <f>HYPERLINK("https://klasma.github.io/Logging_0480/artfynd/A 44224-2020 artfynd.xlsx", "A 44224-2020")</f>
        <v/>
      </c>
      <c r="T47">
        <f>HYPERLINK("https://klasma.github.io/Logging_0480/kartor/A 44224-2020 karta.png", "A 44224-2020")</f>
        <v/>
      </c>
      <c r="V47">
        <f>HYPERLINK("https://klasma.github.io/Logging_0480/klagomål/A 44224-2020 FSC-klagomål.docx", "A 44224-2020")</f>
        <v/>
      </c>
      <c r="W47">
        <f>HYPERLINK("https://klasma.github.io/Logging_0480/klagomålsmail/A 44224-2020 FSC-klagomål mail.docx", "A 44224-2020")</f>
        <v/>
      </c>
      <c r="X47">
        <f>HYPERLINK("https://klasma.github.io/Logging_0480/tillsyn/A 44224-2020 tillsynsbegäran.docx", "A 44224-2020")</f>
        <v/>
      </c>
      <c r="Y47">
        <f>HYPERLINK("https://klasma.github.io/Logging_0480/tillsynsmail/A 44224-2020 tillsynsbegäran mail.docx", "A 44224-2020")</f>
        <v/>
      </c>
      <c r="Z47">
        <f>HYPERLINK("https://klasma.github.io/Logging_0480/fåglar/A 44224-2020 prioriterade fågelarter.docx", "A 44224-2020")</f>
        <v/>
      </c>
    </row>
    <row r="48" ht="15" customHeight="1">
      <c r="A48" t="inlineStr">
        <is>
          <t>A 68920-2020</t>
        </is>
      </c>
      <c r="B48" s="1" t="n">
        <v>44187</v>
      </c>
      <c r="C48" s="1" t="n">
        <v>45585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Ängsskära</t>
        </is>
      </c>
      <c r="S48">
        <f>HYPERLINK("https://klasma.github.io/Logging_0480/artfynd/A 68920-2020 artfynd.xlsx", "A 68920-2020")</f>
        <v/>
      </c>
      <c r="T48">
        <f>HYPERLINK("https://klasma.github.io/Logging_0480/kartor/A 68920-2020 karta.png", "A 68920-2020")</f>
        <v/>
      </c>
      <c r="V48">
        <f>HYPERLINK("https://klasma.github.io/Logging_0480/klagomål/A 68920-2020 FSC-klagomål.docx", "A 68920-2020")</f>
        <v/>
      </c>
      <c r="W48">
        <f>HYPERLINK("https://klasma.github.io/Logging_0480/klagomålsmail/A 68920-2020 FSC-klagomål mail.docx", "A 68920-2020")</f>
        <v/>
      </c>
      <c r="X48">
        <f>HYPERLINK("https://klasma.github.io/Logging_0480/tillsyn/A 68920-2020 tillsynsbegäran.docx", "A 68920-2020")</f>
        <v/>
      </c>
      <c r="Y48">
        <f>HYPERLINK("https://klasma.github.io/Logging_0480/tillsynsmail/A 68920-2020 tillsynsbegäran mail.docx", "A 68920-2020")</f>
        <v/>
      </c>
    </row>
    <row r="49" ht="15" customHeight="1">
      <c r="A49" t="inlineStr">
        <is>
          <t>A 9101-2021</t>
        </is>
      </c>
      <c r="B49" s="1" t="n">
        <v>44249</v>
      </c>
      <c r="C49" s="1" t="n">
        <v>45585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Barkticka</t>
        </is>
      </c>
      <c r="S49">
        <f>HYPERLINK("https://klasma.github.io/Logging_0480/artfynd/A 9101-2021 artfynd.xlsx", "A 9101-2021")</f>
        <v/>
      </c>
      <c r="T49">
        <f>HYPERLINK("https://klasma.github.io/Logging_0480/kartor/A 9101-2021 karta.png", "A 9101-2021")</f>
        <v/>
      </c>
      <c r="V49">
        <f>HYPERLINK("https://klasma.github.io/Logging_0480/klagomål/A 9101-2021 FSC-klagomål.docx", "A 9101-2021")</f>
        <v/>
      </c>
      <c r="W49">
        <f>HYPERLINK("https://klasma.github.io/Logging_0480/klagomålsmail/A 9101-2021 FSC-klagomål mail.docx", "A 9101-2021")</f>
        <v/>
      </c>
      <c r="X49">
        <f>HYPERLINK("https://klasma.github.io/Logging_0480/tillsyn/A 9101-2021 tillsynsbegäran.docx", "A 9101-2021")</f>
        <v/>
      </c>
      <c r="Y49">
        <f>HYPERLINK("https://klasma.github.io/Logging_0480/tillsynsmail/A 9101-2021 tillsynsbegäran mail.docx", "A 9101-2021")</f>
        <v/>
      </c>
    </row>
    <row r="50" ht="15" customHeight="1">
      <c r="A50" t="inlineStr">
        <is>
          <t>A 11354-2021</t>
        </is>
      </c>
      <c r="B50" s="1" t="n">
        <v>44263</v>
      </c>
      <c r="C50" s="1" t="n">
        <v>45585</v>
      </c>
      <c r="D50" t="inlineStr">
        <is>
          <t>SÖDERMANLANDS LÄN</t>
        </is>
      </c>
      <c r="E50" t="inlineStr">
        <is>
          <t>NYKÖPING</t>
        </is>
      </c>
      <c r="G50" t="n">
        <v>4.2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Mellanlummer
Revlummer</t>
        </is>
      </c>
      <c r="S50">
        <f>HYPERLINK("https://klasma.github.io/Logging_0480/artfynd/A 11354-2021 artfynd.xlsx", "A 11354-2021")</f>
        <v/>
      </c>
      <c r="T50">
        <f>HYPERLINK("https://klasma.github.io/Logging_0480/kartor/A 11354-2021 karta.png", "A 11354-2021")</f>
        <v/>
      </c>
      <c r="V50">
        <f>HYPERLINK("https://klasma.github.io/Logging_0480/klagomål/A 11354-2021 FSC-klagomål.docx", "A 11354-2021")</f>
        <v/>
      </c>
      <c r="W50">
        <f>HYPERLINK("https://klasma.github.io/Logging_0480/klagomålsmail/A 11354-2021 FSC-klagomål mail.docx", "A 11354-2021")</f>
        <v/>
      </c>
      <c r="X50">
        <f>HYPERLINK("https://klasma.github.io/Logging_0480/tillsyn/A 11354-2021 tillsynsbegäran.docx", "A 11354-2021")</f>
        <v/>
      </c>
      <c r="Y50">
        <f>HYPERLINK("https://klasma.github.io/Logging_0480/tillsynsmail/A 11354-2021 tillsynsbegäran mail.docx", "A 11354-2021")</f>
        <v/>
      </c>
    </row>
    <row r="51" ht="15" customHeight="1">
      <c r="A51" t="inlineStr">
        <is>
          <t>A 12952-2021</t>
        </is>
      </c>
      <c r="B51" s="1" t="n">
        <v>44271</v>
      </c>
      <c r="C51" s="1" t="n">
        <v>45585</v>
      </c>
      <c r="D51" t="inlineStr">
        <is>
          <t>SÖDERMANLANDS LÄN</t>
        </is>
      </c>
      <c r="E51" t="inlineStr">
        <is>
          <t>NYKÖPING</t>
        </is>
      </c>
      <c r="G51" t="n">
        <v>3.6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Trubbdaggkåpa
Strutbräken</t>
        </is>
      </c>
      <c r="S51">
        <f>HYPERLINK("https://klasma.github.io/Logging_0480/artfynd/A 12952-2021 artfynd.xlsx", "A 12952-2021")</f>
        <v/>
      </c>
      <c r="T51">
        <f>HYPERLINK("https://klasma.github.io/Logging_0480/kartor/A 12952-2021 karta.png", "A 12952-2021")</f>
        <v/>
      </c>
      <c r="V51">
        <f>HYPERLINK("https://klasma.github.io/Logging_0480/klagomål/A 12952-2021 FSC-klagomål.docx", "A 12952-2021")</f>
        <v/>
      </c>
      <c r="W51">
        <f>HYPERLINK("https://klasma.github.io/Logging_0480/klagomålsmail/A 12952-2021 FSC-klagomål mail.docx", "A 12952-2021")</f>
        <v/>
      </c>
      <c r="X51">
        <f>HYPERLINK("https://klasma.github.io/Logging_0480/tillsyn/A 12952-2021 tillsynsbegäran.docx", "A 12952-2021")</f>
        <v/>
      </c>
      <c r="Y51">
        <f>HYPERLINK("https://klasma.github.io/Logging_0480/tillsynsmail/A 12952-2021 tillsynsbegäran mail.docx", "A 12952-2021")</f>
        <v/>
      </c>
    </row>
    <row r="52" ht="15" customHeight="1">
      <c r="A52" t="inlineStr">
        <is>
          <t>A 26647-2021</t>
        </is>
      </c>
      <c r="B52" s="1" t="n">
        <v>44348</v>
      </c>
      <c r="C52" s="1" t="n">
        <v>45585</v>
      </c>
      <c r="D52" t="inlineStr">
        <is>
          <t>SÖDERMANLANDS LÄN</t>
        </is>
      </c>
      <c r="E52" t="inlineStr">
        <is>
          <t>NYKÖPING</t>
        </is>
      </c>
      <c r="G52" t="n">
        <v>2.2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Hornuggla
Stenfalk</t>
        </is>
      </c>
      <c r="S52">
        <f>HYPERLINK("https://klasma.github.io/Logging_0480/artfynd/A 26647-2021 artfynd.xlsx", "A 26647-2021")</f>
        <v/>
      </c>
      <c r="T52">
        <f>HYPERLINK("https://klasma.github.io/Logging_0480/kartor/A 26647-2021 karta.png", "A 26647-2021")</f>
        <v/>
      </c>
      <c r="V52">
        <f>HYPERLINK("https://klasma.github.io/Logging_0480/klagomål/A 26647-2021 FSC-klagomål.docx", "A 26647-2021")</f>
        <v/>
      </c>
      <c r="W52">
        <f>HYPERLINK("https://klasma.github.io/Logging_0480/klagomålsmail/A 26647-2021 FSC-klagomål mail.docx", "A 26647-2021")</f>
        <v/>
      </c>
      <c r="X52">
        <f>HYPERLINK("https://klasma.github.io/Logging_0480/tillsyn/A 26647-2021 tillsynsbegäran.docx", "A 26647-2021")</f>
        <v/>
      </c>
      <c r="Y52">
        <f>HYPERLINK("https://klasma.github.io/Logging_0480/tillsynsmail/A 26647-2021 tillsynsbegäran mail.docx", "A 26647-2021")</f>
        <v/>
      </c>
      <c r="Z52">
        <f>HYPERLINK("https://klasma.github.io/Logging_0480/fåglar/A 26647-2021 prioriterade fågelarter.docx", "A 26647-2021")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45585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38418-2021</t>
        </is>
      </c>
      <c r="B54" s="1" t="n">
        <v>44406</v>
      </c>
      <c r="C54" s="1" t="n">
        <v>45585</v>
      </c>
      <c r="D54" t="inlineStr">
        <is>
          <t>SÖDERMANLANDS LÄN</t>
        </is>
      </c>
      <c r="E54" t="inlineStr">
        <is>
          <t>NYKÖPING</t>
        </is>
      </c>
      <c r="G54" t="n">
        <v>2.7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Tibast
Blåsippa</t>
        </is>
      </c>
      <c r="S54">
        <f>HYPERLINK("https://klasma.github.io/Logging_0480/artfynd/A 38418-2021 artfynd.xlsx", "A 38418-2021")</f>
        <v/>
      </c>
      <c r="T54">
        <f>HYPERLINK("https://klasma.github.io/Logging_0480/kartor/A 38418-2021 karta.png", "A 38418-2021")</f>
        <v/>
      </c>
      <c r="V54">
        <f>HYPERLINK("https://klasma.github.io/Logging_0480/klagomål/A 38418-2021 FSC-klagomål.docx", "A 38418-2021")</f>
        <v/>
      </c>
      <c r="W54">
        <f>HYPERLINK("https://klasma.github.io/Logging_0480/klagomålsmail/A 38418-2021 FSC-klagomål mail.docx", "A 38418-2021")</f>
        <v/>
      </c>
      <c r="X54">
        <f>HYPERLINK("https://klasma.github.io/Logging_0480/tillsyn/A 38418-2021 tillsynsbegäran.docx", "A 38418-2021")</f>
        <v/>
      </c>
      <c r="Y54">
        <f>HYPERLINK("https://klasma.github.io/Logging_0480/tillsynsmail/A 38418-2021 tillsynsbegäran mail.docx", "A 38418-2021")</f>
        <v/>
      </c>
    </row>
    <row r="55" ht="15" customHeight="1">
      <c r="A55" t="inlineStr">
        <is>
          <t>A 51697-2021</t>
        </is>
      </c>
      <c r="B55" s="1" t="n">
        <v>44462</v>
      </c>
      <c r="C55" s="1" t="n">
        <v>45585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2.6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Mindre vattensalamander
Fläcknycklar</t>
        </is>
      </c>
      <c r="S55">
        <f>HYPERLINK("https://klasma.github.io/Logging_0480/artfynd/A 51697-2021 artfynd.xlsx", "A 51697-2021")</f>
        <v/>
      </c>
      <c r="T55">
        <f>HYPERLINK("https://klasma.github.io/Logging_0480/kartor/A 51697-2021 karta.png", "A 51697-2021")</f>
        <v/>
      </c>
      <c r="V55">
        <f>HYPERLINK("https://klasma.github.io/Logging_0480/klagomål/A 51697-2021 FSC-klagomål.docx", "A 51697-2021")</f>
        <v/>
      </c>
      <c r="W55">
        <f>HYPERLINK("https://klasma.github.io/Logging_0480/klagomålsmail/A 51697-2021 FSC-klagomål mail.docx", "A 51697-2021")</f>
        <v/>
      </c>
      <c r="X55">
        <f>HYPERLINK("https://klasma.github.io/Logging_0480/tillsyn/A 51697-2021 tillsynsbegäran.docx", "A 51697-2021")</f>
        <v/>
      </c>
      <c r="Y55">
        <f>HYPERLINK("https://klasma.github.io/Logging_0480/tillsynsmail/A 51697-2021 tillsynsbegäran mail.docx", "A 51697-2021")</f>
        <v/>
      </c>
    </row>
    <row r="56" ht="15" customHeight="1">
      <c r="A56" t="inlineStr">
        <is>
          <t>A 51705-2021</t>
        </is>
      </c>
      <c r="B56" s="1" t="n">
        <v>44462</v>
      </c>
      <c r="C56" s="1" t="n">
        <v>45585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10.7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Blåsippa</t>
        </is>
      </c>
      <c r="S56">
        <f>HYPERLINK("https://klasma.github.io/Logging_0480/artfynd/A 51705-2021 artfynd.xlsx", "A 51705-2021")</f>
        <v/>
      </c>
      <c r="T56">
        <f>HYPERLINK("https://klasma.github.io/Logging_0480/kartor/A 51705-2021 karta.png", "A 51705-2021")</f>
        <v/>
      </c>
      <c r="V56">
        <f>HYPERLINK("https://klasma.github.io/Logging_0480/klagomål/A 51705-2021 FSC-klagomål.docx", "A 51705-2021")</f>
        <v/>
      </c>
      <c r="W56">
        <f>HYPERLINK("https://klasma.github.io/Logging_0480/klagomålsmail/A 51705-2021 FSC-klagomål mail.docx", "A 51705-2021")</f>
        <v/>
      </c>
      <c r="X56">
        <f>HYPERLINK("https://klasma.github.io/Logging_0480/tillsyn/A 51705-2021 tillsynsbegäran.docx", "A 51705-2021")</f>
        <v/>
      </c>
      <c r="Y56">
        <f>HYPERLINK("https://klasma.github.io/Logging_0480/tillsynsmail/A 51705-2021 tillsynsbegäran mail.docx", "A 51705-2021")</f>
        <v/>
      </c>
    </row>
    <row r="57" ht="15" customHeight="1">
      <c r="A57" t="inlineStr">
        <is>
          <t>A 54930-2021</t>
        </is>
      </c>
      <c r="B57" s="1" t="n">
        <v>44474</v>
      </c>
      <c r="C57" s="1" t="n">
        <v>45585</v>
      </c>
      <c r="D57" t="inlineStr">
        <is>
          <t>SÖDERMANLANDS LÄN</t>
        </is>
      </c>
      <c r="E57" t="inlineStr">
        <is>
          <t>NYKÖPING</t>
        </is>
      </c>
      <c r="G57" t="n">
        <v>3.4</v>
      </c>
      <c r="H57" t="n">
        <v>2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Bombmurkla
Knärot</t>
        </is>
      </c>
      <c r="S57">
        <f>HYPERLINK("https://klasma.github.io/Logging_0480/artfynd/A 54930-2021 artfynd.xlsx", "A 54930-2021")</f>
        <v/>
      </c>
      <c r="T57">
        <f>HYPERLINK("https://klasma.github.io/Logging_0480/kartor/A 54930-2021 karta.png", "A 54930-2021")</f>
        <v/>
      </c>
      <c r="U57">
        <f>HYPERLINK("https://klasma.github.io/Logging_0480/knärot/A 54930-2021 karta knärot.png", "A 54930-2021")</f>
        <v/>
      </c>
      <c r="V57">
        <f>HYPERLINK("https://klasma.github.io/Logging_0480/klagomål/A 54930-2021 FSC-klagomål.docx", "A 54930-2021")</f>
        <v/>
      </c>
      <c r="W57">
        <f>HYPERLINK("https://klasma.github.io/Logging_0480/klagomålsmail/A 54930-2021 FSC-klagomål mail.docx", "A 54930-2021")</f>
        <v/>
      </c>
      <c r="X57">
        <f>HYPERLINK("https://klasma.github.io/Logging_0480/tillsyn/A 54930-2021 tillsynsbegäran.docx", "A 54930-2021")</f>
        <v/>
      </c>
      <c r="Y57">
        <f>HYPERLINK("https://klasma.github.io/Logging_0480/tillsynsmail/A 54930-2021 tillsynsbegäran mail.docx", "A 54930-2021")</f>
        <v/>
      </c>
    </row>
    <row r="58" ht="15" customHeight="1">
      <c r="A58" t="inlineStr">
        <is>
          <t>A 11640-2022</t>
        </is>
      </c>
      <c r="B58" s="1" t="n">
        <v>44631</v>
      </c>
      <c r="C58" s="1" t="n">
        <v>45585</v>
      </c>
      <c r="D58" t="inlineStr">
        <is>
          <t>SÖDERMANLANDS LÄN</t>
        </is>
      </c>
      <c r="E58" t="inlineStr">
        <is>
          <t>NYKÖPING</t>
        </is>
      </c>
      <c r="F58" t="inlineStr">
        <is>
          <t>Kyrkan</t>
        </is>
      </c>
      <c r="G58" t="n">
        <v>7.6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Granbarkgnagare</t>
        </is>
      </c>
      <c r="S58">
        <f>HYPERLINK("https://klasma.github.io/Logging_0480/artfynd/A 11640-2022 artfynd.xlsx", "A 11640-2022")</f>
        <v/>
      </c>
      <c r="T58">
        <f>HYPERLINK("https://klasma.github.io/Logging_0480/kartor/A 11640-2022 karta.png", "A 11640-2022")</f>
        <v/>
      </c>
      <c r="V58">
        <f>HYPERLINK("https://klasma.github.io/Logging_0480/klagomål/A 11640-2022 FSC-klagomål.docx", "A 11640-2022")</f>
        <v/>
      </c>
      <c r="W58">
        <f>HYPERLINK("https://klasma.github.io/Logging_0480/klagomålsmail/A 11640-2022 FSC-klagomål mail.docx", "A 11640-2022")</f>
        <v/>
      </c>
      <c r="X58">
        <f>HYPERLINK("https://klasma.github.io/Logging_0480/tillsyn/A 11640-2022 tillsynsbegäran.docx", "A 11640-2022")</f>
        <v/>
      </c>
      <c r="Y58">
        <f>HYPERLINK("https://klasma.github.io/Logging_0480/tillsynsmail/A 11640-2022 tillsynsbegäran mail.docx", "A 11640-2022")</f>
        <v/>
      </c>
    </row>
    <row r="59" ht="15" customHeight="1">
      <c r="A59" t="inlineStr">
        <is>
          <t>A 12369-2022</t>
        </is>
      </c>
      <c r="B59" s="1" t="n">
        <v>44637</v>
      </c>
      <c r="C59" s="1" t="n">
        <v>45585</v>
      </c>
      <c r="D59" t="inlineStr">
        <is>
          <t>SÖDERMANLANDS LÄN</t>
        </is>
      </c>
      <c r="E59" t="inlineStr">
        <is>
          <t>NYKÖPING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Granbarkgnagare</t>
        </is>
      </c>
      <c r="S59">
        <f>HYPERLINK("https://klasma.github.io/Logging_0480/artfynd/A 12369-2022 artfynd.xlsx", "A 12369-2022")</f>
        <v/>
      </c>
      <c r="T59">
        <f>HYPERLINK("https://klasma.github.io/Logging_0480/kartor/A 12369-2022 karta.png", "A 12369-2022")</f>
        <v/>
      </c>
      <c r="V59">
        <f>HYPERLINK("https://klasma.github.io/Logging_0480/klagomål/A 12369-2022 FSC-klagomål.docx", "A 12369-2022")</f>
        <v/>
      </c>
      <c r="W59">
        <f>HYPERLINK("https://klasma.github.io/Logging_0480/klagomålsmail/A 12369-2022 FSC-klagomål mail.docx", "A 12369-2022")</f>
        <v/>
      </c>
      <c r="X59">
        <f>HYPERLINK("https://klasma.github.io/Logging_0480/tillsyn/A 12369-2022 tillsynsbegäran.docx", "A 12369-2022")</f>
        <v/>
      </c>
      <c r="Y59">
        <f>HYPERLINK("https://klasma.github.io/Logging_0480/tillsynsmail/A 12369-2022 tillsynsbegäran mail.docx", "A 12369-2022")</f>
        <v/>
      </c>
    </row>
    <row r="60" ht="15" customHeight="1">
      <c r="A60" t="inlineStr">
        <is>
          <t>A 34310-2022</t>
        </is>
      </c>
      <c r="B60" s="1" t="n">
        <v>44792</v>
      </c>
      <c r="C60" s="1" t="n">
        <v>45585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Bombmurkla
Grönpyrola</t>
        </is>
      </c>
      <c r="S60">
        <f>HYPERLINK("https://klasma.github.io/Logging_0480/artfynd/A 34310-2022 artfynd.xlsx", "A 34310-2022")</f>
        <v/>
      </c>
      <c r="T60">
        <f>HYPERLINK("https://klasma.github.io/Logging_0480/kartor/A 34310-2022 karta.png", "A 34310-2022")</f>
        <v/>
      </c>
      <c r="V60">
        <f>HYPERLINK("https://klasma.github.io/Logging_0480/klagomål/A 34310-2022 FSC-klagomål.docx", "A 34310-2022")</f>
        <v/>
      </c>
      <c r="W60">
        <f>HYPERLINK("https://klasma.github.io/Logging_0480/klagomålsmail/A 34310-2022 FSC-klagomål mail.docx", "A 34310-2022")</f>
        <v/>
      </c>
      <c r="X60">
        <f>HYPERLINK("https://klasma.github.io/Logging_0480/tillsyn/A 34310-2022 tillsynsbegäran.docx", "A 34310-2022")</f>
        <v/>
      </c>
      <c r="Y60">
        <f>HYPERLINK("https://klasma.github.io/Logging_0480/tillsynsmail/A 34310-2022 tillsynsbegäran mail.docx", "A 34310-2022")</f>
        <v/>
      </c>
    </row>
    <row r="61" ht="15" customHeight="1">
      <c r="A61" t="inlineStr">
        <is>
          <t>A 38203-2022</t>
        </is>
      </c>
      <c r="B61" s="1" t="n">
        <v>44812</v>
      </c>
      <c r="C61" s="1" t="n">
        <v>45585</v>
      </c>
      <c r="D61" t="inlineStr">
        <is>
          <t>SÖDERMANLANDS LÄN</t>
        </is>
      </c>
      <c r="E61" t="inlineStr">
        <is>
          <t>NYKÖPING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Kösa
Linmåra/småsnärjmåra</t>
        </is>
      </c>
      <c r="S61">
        <f>HYPERLINK("https://klasma.github.io/Logging_0480/artfynd/A 38203-2022 artfynd.xlsx", "A 38203-2022")</f>
        <v/>
      </c>
      <c r="T61">
        <f>HYPERLINK("https://klasma.github.io/Logging_0480/kartor/A 38203-2022 karta.png", "A 38203-2022")</f>
        <v/>
      </c>
      <c r="V61">
        <f>HYPERLINK("https://klasma.github.io/Logging_0480/klagomål/A 38203-2022 FSC-klagomål.docx", "A 38203-2022")</f>
        <v/>
      </c>
      <c r="W61">
        <f>HYPERLINK("https://klasma.github.io/Logging_0480/klagomålsmail/A 38203-2022 FSC-klagomål mail.docx", "A 38203-2022")</f>
        <v/>
      </c>
      <c r="X61">
        <f>HYPERLINK("https://klasma.github.io/Logging_0480/tillsyn/A 38203-2022 tillsynsbegäran.docx", "A 38203-2022")</f>
        <v/>
      </c>
      <c r="Y61">
        <f>HYPERLINK("https://klasma.github.io/Logging_0480/tillsynsmail/A 38203-2022 tillsynsbegäran mail.docx", "A 38203-2022")</f>
        <v/>
      </c>
    </row>
    <row r="62" ht="15" customHeight="1">
      <c r="A62" t="inlineStr">
        <is>
          <t>A 52792-2022</t>
        </is>
      </c>
      <c r="B62" s="1" t="n">
        <v>44875</v>
      </c>
      <c r="C62" s="1" t="n">
        <v>45585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17.5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Ärtsångare
Fläcknycklar</t>
        </is>
      </c>
      <c r="S62">
        <f>HYPERLINK("https://klasma.github.io/Logging_0480/artfynd/A 52792-2022 artfynd.xlsx", "A 52792-2022")</f>
        <v/>
      </c>
      <c r="T62">
        <f>HYPERLINK("https://klasma.github.io/Logging_0480/kartor/A 52792-2022 karta.png", "A 52792-2022")</f>
        <v/>
      </c>
      <c r="V62">
        <f>HYPERLINK("https://klasma.github.io/Logging_0480/klagomål/A 52792-2022 FSC-klagomål.docx", "A 52792-2022")</f>
        <v/>
      </c>
      <c r="W62">
        <f>HYPERLINK("https://klasma.github.io/Logging_0480/klagomålsmail/A 52792-2022 FSC-klagomål mail.docx", "A 52792-2022")</f>
        <v/>
      </c>
      <c r="X62">
        <f>HYPERLINK("https://klasma.github.io/Logging_0480/tillsyn/A 52792-2022 tillsynsbegäran.docx", "A 52792-2022")</f>
        <v/>
      </c>
      <c r="Y62">
        <f>HYPERLINK("https://klasma.github.io/Logging_0480/tillsynsmail/A 52792-2022 tillsynsbegäran mail.docx", "A 52792-2022")</f>
        <v/>
      </c>
      <c r="Z62">
        <f>HYPERLINK("https://klasma.github.io/Logging_0480/fåglar/A 52792-2022 prioriterade fågelarter.docx", "A 52792-2022")</f>
        <v/>
      </c>
    </row>
    <row r="63" ht="15" customHeight="1">
      <c r="A63" t="inlineStr">
        <is>
          <t>A 853-2023</t>
        </is>
      </c>
      <c r="B63" s="1" t="n">
        <v>44931</v>
      </c>
      <c r="C63" s="1" t="n">
        <v>45585</v>
      </c>
      <c r="D63" t="inlineStr">
        <is>
          <t>SÖDERMANLANDS LÄN</t>
        </is>
      </c>
      <c r="E63" t="inlineStr">
        <is>
          <t>NYKÖPING</t>
        </is>
      </c>
      <c r="G63" t="n">
        <v>10.9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Granticka
Revlummer</t>
        </is>
      </c>
      <c r="S63">
        <f>HYPERLINK("https://klasma.github.io/Logging_0480/artfynd/A 853-2023 artfynd.xlsx", "A 853-2023")</f>
        <v/>
      </c>
      <c r="T63">
        <f>HYPERLINK("https://klasma.github.io/Logging_0480/kartor/A 853-2023 karta.png", "A 853-2023")</f>
        <v/>
      </c>
      <c r="V63">
        <f>HYPERLINK("https://klasma.github.io/Logging_0480/klagomål/A 853-2023 FSC-klagomål.docx", "A 853-2023")</f>
        <v/>
      </c>
      <c r="W63">
        <f>HYPERLINK("https://klasma.github.io/Logging_0480/klagomålsmail/A 853-2023 FSC-klagomål mail.docx", "A 853-2023")</f>
        <v/>
      </c>
      <c r="X63">
        <f>HYPERLINK("https://klasma.github.io/Logging_0480/tillsyn/A 853-2023 tillsynsbegäran.docx", "A 853-2023")</f>
        <v/>
      </c>
      <c r="Y63">
        <f>HYPERLINK("https://klasma.github.io/Logging_0480/tillsynsmail/A 853-2023 tillsynsbegäran mail.docx", "A 853-2023")</f>
        <v/>
      </c>
    </row>
    <row r="64" ht="15" customHeight="1">
      <c r="A64" t="inlineStr">
        <is>
          <t>A 3070-2023</t>
        </is>
      </c>
      <c r="B64" s="1" t="n">
        <v>44946</v>
      </c>
      <c r="C64" s="1" t="n">
        <v>45585</v>
      </c>
      <c r="D64" t="inlineStr">
        <is>
          <t>SÖDERMANLANDS LÄN</t>
        </is>
      </c>
      <c r="E64" t="inlineStr">
        <is>
          <t>NYKÖPING</t>
        </is>
      </c>
      <c r="G64" t="n">
        <v>8.5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Kambräken</t>
        </is>
      </c>
      <c r="S64">
        <f>HYPERLINK("https://klasma.github.io/Logging_0480/artfynd/A 3070-2023 artfynd.xlsx", "A 3070-2023")</f>
        <v/>
      </c>
      <c r="T64">
        <f>HYPERLINK("https://klasma.github.io/Logging_0480/kartor/A 3070-2023 karta.png", "A 3070-2023")</f>
        <v/>
      </c>
      <c r="V64">
        <f>HYPERLINK("https://klasma.github.io/Logging_0480/klagomål/A 3070-2023 FSC-klagomål.docx", "A 3070-2023")</f>
        <v/>
      </c>
      <c r="W64">
        <f>HYPERLINK("https://klasma.github.io/Logging_0480/klagomålsmail/A 3070-2023 FSC-klagomål mail.docx", "A 3070-2023")</f>
        <v/>
      </c>
      <c r="X64">
        <f>HYPERLINK("https://klasma.github.io/Logging_0480/tillsyn/A 3070-2023 tillsynsbegäran.docx", "A 3070-2023")</f>
        <v/>
      </c>
      <c r="Y64">
        <f>HYPERLINK("https://klasma.github.io/Logging_0480/tillsynsmail/A 3070-2023 tillsynsbegäran mail.docx", "A 3070-2023")</f>
        <v/>
      </c>
      <c r="Z64">
        <f>HYPERLINK("https://klasma.github.io/Logging_0480/fåglar/A 3070-2023 prioriterade fågelarter.docx", "A 3070-2023")</f>
        <v/>
      </c>
    </row>
    <row r="65" ht="15" customHeight="1">
      <c r="A65" t="inlineStr">
        <is>
          <t>A 48174-2023</t>
        </is>
      </c>
      <c r="B65" s="1" t="n">
        <v>45205</v>
      </c>
      <c r="C65" s="1" t="n">
        <v>45585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1.2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Havsörn
Nötkråka</t>
        </is>
      </c>
      <c r="S65">
        <f>HYPERLINK("https://klasma.github.io/Logging_0480/artfynd/A 48174-2023 artfynd.xlsx", "A 48174-2023")</f>
        <v/>
      </c>
      <c r="T65">
        <f>HYPERLINK("https://klasma.github.io/Logging_0480/kartor/A 48174-2023 karta.png", "A 48174-2023")</f>
        <v/>
      </c>
      <c r="V65">
        <f>HYPERLINK("https://klasma.github.io/Logging_0480/klagomål/A 48174-2023 FSC-klagomål.docx", "A 48174-2023")</f>
        <v/>
      </c>
      <c r="W65">
        <f>HYPERLINK("https://klasma.github.io/Logging_0480/klagomålsmail/A 48174-2023 FSC-klagomål mail.docx", "A 48174-2023")</f>
        <v/>
      </c>
      <c r="X65">
        <f>HYPERLINK("https://klasma.github.io/Logging_0480/tillsyn/A 48174-2023 tillsynsbegäran.docx", "A 48174-2023")</f>
        <v/>
      </c>
      <c r="Y65">
        <f>HYPERLINK("https://klasma.github.io/Logging_0480/tillsynsmail/A 48174-2023 tillsynsbegäran mail.docx", "A 48174-2023")</f>
        <v/>
      </c>
      <c r="Z65">
        <f>HYPERLINK("https://klasma.github.io/Logging_0480/fåglar/A 48174-2023 prioriterade fågelarter.docx", "A 48174-2023")</f>
        <v/>
      </c>
    </row>
    <row r="66" ht="15" customHeight="1">
      <c r="A66" t="inlineStr">
        <is>
          <t>A 49231-2023</t>
        </is>
      </c>
      <c r="B66" s="1" t="n">
        <v>45210</v>
      </c>
      <c r="C66" s="1" t="n">
        <v>45585</v>
      </c>
      <c r="D66" t="inlineStr">
        <is>
          <t>SÖDERMANLANDS LÄN</t>
        </is>
      </c>
      <c r="E66" t="inlineStr">
        <is>
          <t>NYKÖPING</t>
        </is>
      </c>
      <c r="G66" t="n">
        <v>0.5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Blåmossa</t>
        </is>
      </c>
      <c r="S66">
        <f>HYPERLINK("https://klasma.github.io/Logging_0480/artfynd/A 49231-2023 artfynd.xlsx", "A 49231-2023")</f>
        <v/>
      </c>
      <c r="T66">
        <f>HYPERLINK("https://klasma.github.io/Logging_0480/kartor/A 49231-2023 karta.png", "A 49231-2023")</f>
        <v/>
      </c>
      <c r="V66">
        <f>HYPERLINK("https://klasma.github.io/Logging_0480/klagomål/A 49231-2023 FSC-klagomål.docx", "A 49231-2023")</f>
        <v/>
      </c>
      <c r="W66">
        <f>HYPERLINK("https://klasma.github.io/Logging_0480/klagomålsmail/A 49231-2023 FSC-klagomål mail.docx", "A 49231-2023")</f>
        <v/>
      </c>
      <c r="X66">
        <f>HYPERLINK("https://klasma.github.io/Logging_0480/tillsyn/A 49231-2023 tillsynsbegäran.docx", "A 49231-2023")</f>
        <v/>
      </c>
      <c r="Y66">
        <f>HYPERLINK("https://klasma.github.io/Logging_0480/tillsynsmail/A 49231-2023 tillsynsbegäran mail.docx", "A 49231-2023")</f>
        <v/>
      </c>
    </row>
    <row r="67" ht="15" customHeight="1">
      <c r="A67" t="inlineStr">
        <is>
          <t>A 57006-2023</t>
        </is>
      </c>
      <c r="B67" s="1" t="n">
        <v>45244</v>
      </c>
      <c r="C67" s="1" t="n">
        <v>45585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11.9</v>
      </c>
      <c r="H67" t="n">
        <v>1</v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Tornseglare
Rödgul trumpetsvamp</t>
        </is>
      </c>
      <c r="S67">
        <f>HYPERLINK("https://klasma.github.io/Logging_0480/artfynd/A 57006-2023 artfynd.xlsx", "A 57006-2023")</f>
        <v/>
      </c>
      <c r="T67">
        <f>HYPERLINK("https://klasma.github.io/Logging_0480/kartor/A 57006-2023 karta.png", "A 57006-2023")</f>
        <v/>
      </c>
      <c r="V67">
        <f>HYPERLINK("https://klasma.github.io/Logging_0480/klagomål/A 57006-2023 FSC-klagomål.docx", "A 57006-2023")</f>
        <v/>
      </c>
      <c r="W67">
        <f>HYPERLINK("https://klasma.github.io/Logging_0480/klagomålsmail/A 57006-2023 FSC-klagomål mail.docx", "A 57006-2023")</f>
        <v/>
      </c>
      <c r="X67">
        <f>HYPERLINK("https://klasma.github.io/Logging_0480/tillsyn/A 57006-2023 tillsynsbegäran.docx", "A 57006-2023")</f>
        <v/>
      </c>
      <c r="Y67">
        <f>HYPERLINK("https://klasma.github.io/Logging_0480/tillsynsmail/A 57006-2023 tillsynsbegäran mail.docx", "A 57006-2023")</f>
        <v/>
      </c>
      <c r="Z67">
        <f>HYPERLINK("https://klasma.github.io/Logging_0480/fåglar/A 57006-2023 prioriterade fågelarter.docx", "A 57006-2023")</f>
        <v/>
      </c>
    </row>
    <row r="68" ht="15" customHeight="1">
      <c r="A68" t="inlineStr">
        <is>
          <t>A 12658-2024</t>
        </is>
      </c>
      <c r="B68" s="1" t="n">
        <v>45381</v>
      </c>
      <c r="C68" s="1" t="n">
        <v>45585</v>
      </c>
      <c r="D68" t="inlineStr">
        <is>
          <t>SÖDERMANLANDS LÄN</t>
        </is>
      </c>
      <c r="E68" t="inlineStr">
        <is>
          <t>NYKÖPING</t>
        </is>
      </c>
      <c r="G68" t="n">
        <v>1.5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Skogsalm
Gulsparv</t>
        </is>
      </c>
      <c r="S68">
        <f>HYPERLINK("https://klasma.github.io/Logging_0480/artfynd/A 12658-2024 artfynd.xlsx", "A 12658-2024")</f>
        <v/>
      </c>
      <c r="T68">
        <f>HYPERLINK("https://klasma.github.io/Logging_0480/kartor/A 12658-2024 karta.png", "A 12658-2024")</f>
        <v/>
      </c>
      <c r="V68">
        <f>HYPERLINK("https://klasma.github.io/Logging_0480/klagomål/A 12658-2024 FSC-klagomål.docx", "A 12658-2024")</f>
        <v/>
      </c>
      <c r="W68">
        <f>HYPERLINK("https://klasma.github.io/Logging_0480/klagomålsmail/A 12658-2024 FSC-klagomål mail.docx", "A 12658-2024")</f>
        <v/>
      </c>
      <c r="X68">
        <f>HYPERLINK("https://klasma.github.io/Logging_0480/tillsyn/A 12658-2024 tillsynsbegäran.docx", "A 12658-2024")</f>
        <v/>
      </c>
      <c r="Y68">
        <f>HYPERLINK("https://klasma.github.io/Logging_0480/tillsynsmail/A 12658-2024 tillsynsbegäran mail.docx", "A 12658-2024")</f>
        <v/>
      </c>
      <c r="Z68">
        <f>HYPERLINK("https://klasma.github.io/Logging_0480/fåglar/A 12658-2024 prioriterade fågelarter.docx", "A 12658-2024")</f>
        <v/>
      </c>
    </row>
    <row r="69" ht="15" customHeight="1">
      <c r="A69" t="inlineStr">
        <is>
          <t>A 37401-2024</t>
        </is>
      </c>
      <c r="B69" s="1" t="n">
        <v>45540</v>
      </c>
      <c r="C69" s="1" t="n">
        <v>45585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Gropticka
Svart taggsvamp</t>
        </is>
      </c>
      <c r="S69">
        <f>HYPERLINK("https://klasma.github.io/Logging_0480/artfynd/A 37401-2024 artfynd.xlsx", "A 37401-2024")</f>
        <v/>
      </c>
      <c r="T69">
        <f>HYPERLINK("https://klasma.github.io/Logging_0480/kartor/A 37401-2024 karta.png", "A 37401-2024")</f>
        <v/>
      </c>
      <c r="V69">
        <f>HYPERLINK("https://klasma.github.io/Logging_0480/klagomål/A 37401-2024 FSC-klagomål.docx", "A 37401-2024")</f>
        <v/>
      </c>
      <c r="W69">
        <f>HYPERLINK("https://klasma.github.io/Logging_0480/klagomålsmail/A 37401-2024 FSC-klagomål mail.docx", "A 37401-2024")</f>
        <v/>
      </c>
      <c r="X69">
        <f>HYPERLINK("https://klasma.github.io/Logging_0480/tillsyn/A 37401-2024 tillsynsbegäran.docx", "A 37401-2024")</f>
        <v/>
      </c>
      <c r="Y69">
        <f>HYPERLINK("https://klasma.github.io/Logging_0480/tillsynsmail/A 37401-2024 tillsynsbegäran mail.docx", "A 37401-2024")</f>
        <v/>
      </c>
    </row>
    <row r="70" ht="15" customHeight="1">
      <c r="A70" t="inlineStr">
        <is>
          <t>A 38923-2024</t>
        </is>
      </c>
      <c r="B70" s="1" t="n">
        <v>45547</v>
      </c>
      <c r="C70" s="1" t="n">
        <v>45585</v>
      </c>
      <c r="D70" t="inlineStr">
        <is>
          <t>SÖDERMANLANDS LÄN</t>
        </is>
      </c>
      <c r="E70" t="inlineStr">
        <is>
          <t>NYKÖPING</t>
        </is>
      </c>
      <c r="G70" t="n">
        <v>18.9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Blodticka</t>
        </is>
      </c>
      <c r="S70">
        <f>HYPERLINK("https://klasma.github.io/Logging_0480/artfynd/A 38923-2024 artfynd.xlsx", "A 38923-2024")</f>
        <v/>
      </c>
      <c r="T70">
        <f>HYPERLINK("https://klasma.github.io/Logging_0480/kartor/A 38923-2024 karta.png", "A 38923-2024")</f>
        <v/>
      </c>
      <c r="V70">
        <f>HYPERLINK("https://klasma.github.io/Logging_0480/klagomål/A 38923-2024 FSC-klagomål.docx", "A 38923-2024")</f>
        <v/>
      </c>
      <c r="W70">
        <f>HYPERLINK("https://klasma.github.io/Logging_0480/klagomålsmail/A 38923-2024 FSC-klagomål mail.docx", "A 38923-2024")</f>
        <v/>
      </c>
      <c r="X70">
        <f>HYPERLINK("https://klasma.github.io/Logging_0480/tillsyn/A 38923-2024 tillsynsbegäran.docx", "A 38923-2024")</f>
        <v/>
      </c>
      <c r="Y70">
        <f>HYPERLINK("https://klasma.github.io/Logging_0480/tillsynsmail/A 38923-2024 tillsynsbegäran mail.docx", "A 38923-2024")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45585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45585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45585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45585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45585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45585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45585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45585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45585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45585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45585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45585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45585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45585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45585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45585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45585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45585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45585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45585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45585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45585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45585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45585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45585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45585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45585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45585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45585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45585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45585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45585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45585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45585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45585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45585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45585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45585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45585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45585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45585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45585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45585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45585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45585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45585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45585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45585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45585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45585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45585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45585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45585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45585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45585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45585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45585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45585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45585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45585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45585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45585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45585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45585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45585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45585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45585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45585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45585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45585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45585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45585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45585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45585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45585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45585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45585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45585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45585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45585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45585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45585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45585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45585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45585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45585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45585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45585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45585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45585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45585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45585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45585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45585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45585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45585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45585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45585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45585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45585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45585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45585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45585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45585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45585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45585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45585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45585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45585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45585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45585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45585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45585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45585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45585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45585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45585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45585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45585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45585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45585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45585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45585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45585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45585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45585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45585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45585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45585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45585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45585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45585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45585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45585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45585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45585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45585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45585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45585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45585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45585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45585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45585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45585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45585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45585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45585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45585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45585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45585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45585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45585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45585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45585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45585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45585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45585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45585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45585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45585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45585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45585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45585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45585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45585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45585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45585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45585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45585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45585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45585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45585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45585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45585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45585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45585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45585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45585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45585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45585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45585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45585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45585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45585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45585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45585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45585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45585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45585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45585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45585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45585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45585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45585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45585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45585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45585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45585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45585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45585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45585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45585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45585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45585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45585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45585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45585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45585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45585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45585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45585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45585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45585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45585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45585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45585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45585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45585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45585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45585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45585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45585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45585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45585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45585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45585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45585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45585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45585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45585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45585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45585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45585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45585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45585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45585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45585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45585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45585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45585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45585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45585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45585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45585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45585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45585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45585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45585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45585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45585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45585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45585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45585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45585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45585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45585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45585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45585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45585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45585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45585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45585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45585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45585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45585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45585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45585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45585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45585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45585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45585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45585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45585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45585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45585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45585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45585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45585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45585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45585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45585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45585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45585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45585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45585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45585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45585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45585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45585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45585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45585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45585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45585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45585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45585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45585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45585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45585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45585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45585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45585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45585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45585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45585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45585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45585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45585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45585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45585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45585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45585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45585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45585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45585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45585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45585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45585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45585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45585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45585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45585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45585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45585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45585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45585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45585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45585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45585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45585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45585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45585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45585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45585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45585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45585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45585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45585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45585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45585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45585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45585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45585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45585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45585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45585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45585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45585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45585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45585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45585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45585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45585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45585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45585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45585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45585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45585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45585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45585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45585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45585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45585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45585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45585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45585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45585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45585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45585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45585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45585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45585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45585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45585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45585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45585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45585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45585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45585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45585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45585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45585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45585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45585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45585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45585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45585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45585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45585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45585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45585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45585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45585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45585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45585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45585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45585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45585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45585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45585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45585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45585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45585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45585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45585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45585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45585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45585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45585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45585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45585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45585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45585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45585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45585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45585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45585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45585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45585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45585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45585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45585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45585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45585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45585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45585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45585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45585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45585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45585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45585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45585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45585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45585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45585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45585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45585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45585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45585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45585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45585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45585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45585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45585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45585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45585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45585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45585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45585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45585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45585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45585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45585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45585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45585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45585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45585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45585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45585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45585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45585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45585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45585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45585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45585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45585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45585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45585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45585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45585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45585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45585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45585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45585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45585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45585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45585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45585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45585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45585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45585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45585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45585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45585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45585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45585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45585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45585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45585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45585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45585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45585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45585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45585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45585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45585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45585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45585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45585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45585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45585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45585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45585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45585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45585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45585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45585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45585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45585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45585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45585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45585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45585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45585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45585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45585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45585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45585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45585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45585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45585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45585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45585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45585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45585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45585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45585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45585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45585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45585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45585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45585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45585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45585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45585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45585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45585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45585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45585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45585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45585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45585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45585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45585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45585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45585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45585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45585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45585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45585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45585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45585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45585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45585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45585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45585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45585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45585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45585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45585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45585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45585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45585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45585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45585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45585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45585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45585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45585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45585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45585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45585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45585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45585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45585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45585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45585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45585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45585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45585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45585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45585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45585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45585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45585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45585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45585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45585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45585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45585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45585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45585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45585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45585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45585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45585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45585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45585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45585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45585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45585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45585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45585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45585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45585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45585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45585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45585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45585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45585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45585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45585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45585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45585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45585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45585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45585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45585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45585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45585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45585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45585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45585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45585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45585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45585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45585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45585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45585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45585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45585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45585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45585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45585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45585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45585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45585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45585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45585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45585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45585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45585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45585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45585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45585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45585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45585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45585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45585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45585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45585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45585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45585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45585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45585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45585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45585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45585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45585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45585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45585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45585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45585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45585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45585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45585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45585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45585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45585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45585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45585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45585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45585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45585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45585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45585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45585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45585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45585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45585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45585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45585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45585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45585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45585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45585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45585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45585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45585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45585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45585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45585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45585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45585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45585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45585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45585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45585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45585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45585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45585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45585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45585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45585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45585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45585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45585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45585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45585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45585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45585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45585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45585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45585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45585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45585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45585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45585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45585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45585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45585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45585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45585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45585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45585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45585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45585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45585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45585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45585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45585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45585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45585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45585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45585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45585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45585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45585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45585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45585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45585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45585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45585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45585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45585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45585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45585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45585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45585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45585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45585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45585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45585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45585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45585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45585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45585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45585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45585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45585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45585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45585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45585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45585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45585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45585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45585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45585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45585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45585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45585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45585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45585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45585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45585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45585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45585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45585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45585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45585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45585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45585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45585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45585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45585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45585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45585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45585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45585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45585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45585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45585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45585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45585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45585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45585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45585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45585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45585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45585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45585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45585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45585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45585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45585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45585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45585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45585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45585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45585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45585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45585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45585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45585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45585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45585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45585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45585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45585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45585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45585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45585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45585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45585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45585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45585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45585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45585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45585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45585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45585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45585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45585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45585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45585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45585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45585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45585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45585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45585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45585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45585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45585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45585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45585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45585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45585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45585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45585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45585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45585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45585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45585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45585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45585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45585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45585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45585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45585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45585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45585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45585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45585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45585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45585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45585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45585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45585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45585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45585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45585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45585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45585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45585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45585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45585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45585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45585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45585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45585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45585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45585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45585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45585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45585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45585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45585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45585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45585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45585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45585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45585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45585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45585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45585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45585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45585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45585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45585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45585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45585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45585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45585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45585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45585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45585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45585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45585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45585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45585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45585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45585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45585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45585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45585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45585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45585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45585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45585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45585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45585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45585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45585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45585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45585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45585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45585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45585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45585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45585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45585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45585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45585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45585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45585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45585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45585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45585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45585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45585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45585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45585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45585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45585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45585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45585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45585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45585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45585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45585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45585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45585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45585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45585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45585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45585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45585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45585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45585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45585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45585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45585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45585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45585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45585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45585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45585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45585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45585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45585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45585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45585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45585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45585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45585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45585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45585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45585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45585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45585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45585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45585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45585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45585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45585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45585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45585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45585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45585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45585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45585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45585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45585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45585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45585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45585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45585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45585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45585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45585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45585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45585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45585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45585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45585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45585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45585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45585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45585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45585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45585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45585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45585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45585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45585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45585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45585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45585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45585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45585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45585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45585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45585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45585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45585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45585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45585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45585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45585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45585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45585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45585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45585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45585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45585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45585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45585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45585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45585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45585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45585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45585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45585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45585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45585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45585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45585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45585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45585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45585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45585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45585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45585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45585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45585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45585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45585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45585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45585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45585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45585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45585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45585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45585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45585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45585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45585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45585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45585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45585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45585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45585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45585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45585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45585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45585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45585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45585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45585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45585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45585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45585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45585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45585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45585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45585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45585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45585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45585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45585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45585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45585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45585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45585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45585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45585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45585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45585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45585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45585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45585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45585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45585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45585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45585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45585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45585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45585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45585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45585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45585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45585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45585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45585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45585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45585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45585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45415-2024</t>
        </is>
      </c>
      <c r="B1644" s="1" t="n">
        <v>45576</v>
      </c>
      <c r="C1644" s="1" t="n">
        <v>45585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45585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45458-2024</t>
        </is>
      </c>
      <c r="B1646" s="1" t="n">
        <v>45576</v>
      </c>
      <c r="C1646" s="1" t="n">
        <v>45585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45585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46697-2024</t>
        </is>
      </c>
      <c r="B1648" s="1" t="n">
        <v>45583</v>
      </c>
      <c r="C1648" s="1" t="n">
        <v>45585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2024-10-20T12:19:53Z</dcterms:created>
  <dcterms:modified xmlns:dcterms="http://purl.org/dc/terms/" xmlns:xsi="http://www.w3.org/2001/XMLSchema-instance" xsi:type="dcterms:W3CDTF">2024-10-20T12:19:54Z</dcterms:modified>
</cp:coreProperties>
</file>