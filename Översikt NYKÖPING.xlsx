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46289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71887-2021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44543</v>
      </c>
      <c r="E6" s="1" t="n">
        <v>46289</v>
      </c>
      <c r="F6" t="inlineStr">
        <is>
          <t>SÖDERMANLANDS LÄN</t>
        </is>
      </c>
      <c r="G6" t="inlineStr">
        <is>
          <t>NYKÖPING</t>
        </is>
      </c>
      <c r="I6" t="n">
        <v>4.2</v>
      </c>
      <c r="J6" t="n">
        <v>2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9</v>
      </c>
      <c r="T6" t="n">
        <v>12</v>
      </c>
      <c r="U6" t="n">
        <v>0</v>
      </c>
      <c r="V6" s="2" t="inlineStr">
        <is>
          <t>Kandelabersvamp
Blomkålssvamp
Granbarkgnagare
Jättesvampmal
Stubbspretmossa
Trådticka
Vågbandad barkbock
Blåsippa
Gullviva</t>
        </is>
      </c>
      <c r="W6">
        <f>HYPERLINK("https://klasma.github.io/Logging_0480/artfynd/A 71887-2021 artfynd.xlsx", "A 71887-2021")</f>
        <v/>
      </c>
      <c r="X6">
        <f>HYPERLINK("https://klasma.github.io/Logging_0480/kartor/A 71887-2021 karta.png", "A 71887-2021")</f>
        <v/>
      </c>
      <c r="Y6">
        <f>HYPERLINK("https://klasma.github.io/Logging_0480/kartor_geotiff/A 71887-2021 georefererad karta.tif", "A 71887-2021")</f>
        <v/>
      </c>
      <c r="AA6">
        <f>HYPERLINK("https://klasma.github.io/Logging_0480/klagomål/A 71887-2021 FSC-klagomål.docx", "A 71887-2021")</f>
        <v/>
      </c>
      <c r="AB6">
        <f>HYPERLINK("https://klasma.github.io/Logging_0480/klagomålsmail/A 71887-2021 FSC-klagomål mail.docx", "A 71887-2021")</f>
        <v/>
      </c>
      <c r="AC6">
        <f>HYPERLINK("https://klasma.github.io/Logging_0480/tillsyn/A 71887-2021 tillsynsbegäran.docx", "A 71887-2021")</f>
        <v/>
      </c>
      <c r="AD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46289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46289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46289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46289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46289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46289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46289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32882-2026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46244</v>
      </c>
      <c r="E14" s="1" t="n">
        <v>46289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7.9</v>
      </c>
      <c r="J14" t="n">
        <v>0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8</v>
      </c>
      <c r="U14" t="n">
        <v>0</v>
      </c>
      <c r="V14" s="2" t="inlineStr">
        <is>
          <t>Brunfläckig pärlemorfjäril
Berggräsfjäril
Dvärgbägarlav
Motaggsvamp
Vedskivlav
Blåmossa</t>
        </is>
      </c>
      <c r="W14">
        <f>HYPERLINK("https://klasma.github.io/Logging_0480/artfynd/A 32882-2026 artfynd.xlsx", "A 32882-2026")</f>
        <v/>
      </c>
      <c r="X14">
        <f>HYPERLINK("https://klasma.github.io/Logging_0480/kartor/A 32882-2026 karta.png", "A 32882-2026")</f>
        <v/>
      </c>
      <c r="Y14">
        <f>HYPERLINK("https://klasma.github.io/Logging_0480/kartor_geotiff/A 32882-2026 georefererad karta.tif", "A 32882-2026")</f>
        <v/>
      </c>
      <c r="AA14">
        <f>HYPERLINK("https://klasma.github.io/Logging_0480/klagomål/A 32882-2026 FSC-klagomål.docx", "A 32882-2026")</f>
        <v/>
      </c>
      <c r="AB14">
        <f>HYPERLINK("https://klasma.github.io/Logging_0480/klagomålsmail/A 32882-2026 FSC-klagomål mail.docx", "A 32882-2026")</f>
        <v/>
      </c>
      <c r="AC14">
        <f>HYPERLINK("https://klasma.github.io/Logging_0480/tillsyn/A 32882-2026 tillsynsbegäran.docx", "A 32882-2026")</f>
        <v/>
      </c>
      <c r="AD14">
        <f>HYPERLINK("https://klasma.github.io/Logging_0480/tillsynsmail/A 32882-2026 tillsynsbegäran mail.docx", "A 32882-2026")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46289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46289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46289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46289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46289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46289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S 3293-2022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44726</v>
      </c>
      <c r="E21" s="1" t="n">
        <v>46289</v>
      </c>
      <c r="F21" t="inlineStr">
        <is>
          <t>SÖDERMANLANDS LÄN</t>
        </is>
      </c>
      <c r="G21" t="inlineStr">
        <is>
          <t>NYKÖPING</t>
        </is>
      </c>
      <c r="I21" t="n">
        <v>2.5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3293-2022 artfynd.xlsx", "S 3293-2022")</f>
        <v/>
      </c>
      <c r="X21">
        <f>HYPERLINK("https://klasma.github.io/Logging_0480/kartor/S 3293-2022 karta.png", "S 3293-2022")</f>
        <v/>
      </c>
      <c r="Y21">
        <f>HYPERLINK("https://klasma.github.io/Logging_0480/kartor_geotiff/S 3293-2022 georefererad karta.tif", "S 3293-2022")</f>
        <v/>
      </c>
      <c r="AA21">
        <f>HYPERLINK("https://klasma.github.io/Logging_0480/klagomål/S 3293-2022 FSC-klagomål.docx", "S 3293-2022")</f>
        <v/>
      </c>
      <c r="AB21">
        <f>HYPERLINK("https://klasma.github.io/Logging_0480/klagomålsmail/S 3293-2022 FSC-klagomål mail.docx", "S 3293-2022")</f>
        <v/>
      </c>
      <c r="AC21">
        <f>HYPERLINK("https://klasma.github.io/Logging_0480/tillsyn/S 3293-2022 tillsynsbegäran.docx", "S 3293-2022")</f>
        <v/>
      </c>
      <c r="AD21">
        <f>HYPERLINK("https://klasma.github.io/Logging_0480/tillsynsmail/S 3293-2022 tillsynsbegäran mail.docx", "S 3293-2022")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46289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A 33265-2024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45518</v>
      </c>
      <c r="E23" s="1" t="n">
        <v>46289</v>
      </c>
      <c r="F23" t="inlineStr">
        <is>
          <t>SÖDERMANLANDS LÄN</t>
        </is>
      </c>
      <c r="G23" t="inlineStr">
        <is>
          <t>NYKÖPING</t>
        </is>
      </c>
      <c r="I23" t="n">
        <v>7.8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7</v>
      </c>
      <c r="U23" t="n">
        <v>7</v>
      </c>
      <c r="V23" s="2" t="inlineStr">
        <is>
          <t>Knärot
Fjällig taggsvamp s.str.
Granbarkgnagare
Blåsippa</t>
        </is>
      </c>
      <c r="W23">
        <f>HYPERLINK("https://klasma.github.io/Logging_0480/artfynd/A 33265-2024 artfynd.xlsx", "A 33265-2024")</f>
        <v/>
      </c>
      <c r="X23">
        <f>HYPERLINK("https://klasma.github.io/Logging_0480/kartor/A 33265-2024 karta.png", "A 33265-2024")</f>
        <v/>
      </c>
      <c r="Y23">
        <f>HYPERLINK("https://klasma.github.io/Logging_0480/kartor_geotiff/A 33265-2024 georefererad karta.tif", "A 33265-2024")</f>
        <v/>
      </c>
      <c r="Z23">
        <f>HYPERLINK("https://klasma.github.io/Logging_0480/knärot/A 33265-2024 karta knärot.png", "A 33265-2024")</f>
        <v/>
      </c>
      <c r="AA23">
        <f>HYPERLINK("https://klasma.github.io/Logging_0480/klagomål/A 33265-2024 FSC-klagomål.docx", "A 33265-2024")</f>
        <v/>
      </c>
      <c r="AB23">
        <f>HYPERLINK("https://klasma.github.io/Logging_0480/klagomålsmail/A 33265-2024 FSC-klagomål mail.docx", "A 33265-2024")</f>
        <v/>
      </c>
      <c r="AC23">
        <f>HYPERLINK("https://klasma.github.io/Logging_0480/tillsyn/A 33265-2024 tillsynsbegäran.docx", "A 33265-2024")</f>
        <v/>
      </c>
      <c r="AD23">
        <f>HYPERLINK("https://klasma.github.io/Logging_0480/tillsynsmail/A 33265-2024 tillsynsbegäran mail.docx", "A 33265-2024")</f>
        <v/>
      </c>
    </row>
    <row r="24" ht="15" customHeight="1">
      <c r="A24" t="inlineStr">
        <is>
          <t>A 5869-2024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45335</v>
      </c>
      <c r="E24" s="1" t="n">
        <v>46289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Gulsparv
Havsörn
Fläcknycklar
Revlummer</t>
        </is>
      </c>
      <c r="W24">
        <f>HYPERLINK("https://klasma.github.io/Logging_0480/artfynd/A 5869-2024 artfynd.xlsx", "A 5869-2024")</f>
        <v/>
      </c>
      <c r="X24">
        <f>HYPERLINK("https://klasma.github.io/Logging_0480/kartor/A 5869-2024 karta.png", "A 5869-2024")</f>
        <v/>
      </c>
      <c r="Y24">
        <f>HYPERLINK("https://klasma.github.io/Logging_0480/kartor_geotiff/A 5869-2024 georefererad karta.tif", "A 5869-2024")</f>
        <v/>
      </c>
      <c r="AA24">
        <f>HYPERLINK("https://klasma.github.io/Logging_0480/klagomål/A 5869-2024 FSC-klagomål.docx", "A 5869-2024")</f>
        <v/>
      </c>
      <c r="AB24">
        <f>HYPERLINK("https://klasma.github.io/Logging_0480/klagomålsmail/A 5869-2024 FSC-klagomål mail.docx", "A 5869-2024")</f>
        <v/>
      </c>
      <c r="AC24">
        <f>HYPERLINK("https://klasma.github.io/Logging_0480/tillsyn/A 5869-2024 tillsynsbegäran.docx", "A 5869-2024")</f>
        <v/>
      </c>
      <c r="AD24">
        <f>HYPERLINK("https://klasma.github.io/Logging_0480/tillsynsmail/A 5869-2024 tillsynsbegäran mail.docx", "A 5869-2024")</f>
        <v/>
      </c>
      <c r="AE24">
        <f>HYPERLINK("https://klasma.github.io/Logging_0480/fåglar/A 5869-2024 prioriterade fågelarter.docx", "A 5869-2024")</f>
        <v/>
      </c>
    </row>
    <row r="25" ht="15" customHeight="1">
      <c r="A25" t="inlineStr">
        <is>
          <t>A 1509-2023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44937</v>
      </c>
      <c r="E25" s="1" t="n">
        <v>46289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6.3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4</v>
      </c>
      <c r="V25" s="2" t="inlineStr">
        <is>
          <t>Skogsklocka
Skorpgelélav
Aspvedgnagare
Stor aspticka</t>
        </is>
      </c>
      <c r="W25">
        <f>HYPERLINK("https://klasma.github.io/Logging_0480/artfynd/A 1509-2023 artfynd.xlsx", "A 1509-2023")</f>
        <v/>
      </c>
      <c r="X25">
        <f>HYPERLINK("https://klasma.github.io/Logging_0480/kartor/A 1509-2023 karta.png", "A 1509-2023")</f>
        <v/>
      </c>
      <c r="Y25">
        <f>HYPERLINK("https://klasma.github.io/Logging_0480/kartor_geotiff/A 1509-2023 georefererad karta.tif", "A 1509-2023")</f>
        <v/>
      </c>
      <c r="AA25">
        <f>HYPERLINK("https://klasma.github.io/Logging_0480/klagomål/A 1509-2023 FSC-klagomål.docx", "A 1509-2023")</f>
        <v/>
      </c>
      <c r="AB25">
        <f>HYPERLINK("https://klasma.github.io/Logging_0480/klagomålsmail/A 1509-2023 FSC-klagomål mail.docx", "A 1509-2023")</f>
        <v/>
      </c>
      <c r="AC25">
        <f>HYPERLINK("https://klasma.github.io/Logging_0480/tillsyn/A 1509-2023 tillsynsbegäran.docx", "A 1509-2023")</f>
        <v/>
      </c>
      <c r="AD25">
        <f>HYPERLINK("https://klasma.github.io/Logging_0480/tillsynsmail/A 1509-2023 tillsynsbegäran mail.docx", "A 1509-2023")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46289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46289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46289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46289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24273-2026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46169</v>
      </c>
      <c r="E30" s="1" t="n">
        <v>46289</v>
      </c>
      <c r="F30" t="inlineStr">
        <is>
          <t>SÖDERMANLANDS LÄN</t>
        </is>
      </c>
      <c r="G30" t="inlineStr">
        <is>
          <t>NYKÖPING</t>
        </is>
      </c>
      <c r="I30" t="n">
        <v>4.5</v>
      </c>
      <c r="J30" t="n">
        <v>3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Grönsångare
Svinrot
Spillkråka
Ärtsångare</t>
        </is>
      </c>
      <c r="W30">
        <f>HYPERLINK("https://klasma.github.io/Logging_0480/artfynd/A 24273-2026 artfynd.xlsx", "A 24273-2026")</f>
        <v/>
      </c>
      <c r="X30">
        <f>HYPERLINK("https://klasma.github.io/Logging_0480/kartor/A 24273-2026 karta.png", "A 24273-2026")</f>
        <v/>
      </c>
      <c r="Y30">
        <f>HYPERLINK("https://klasma.github.io/Logging_0480/kartor_geotiff/A 24273-2026 georefererad karta.tif", "A 24273-2026")</f>
        <v/>
      </c>
      <c r="AA30">
        <f>HYPERLINK("https://klasma.github.io/Logging_0480/klagomål/A 24273-2026 FSC-klagomål.docx", "A 24273-2026")</f>
        <v/>
      </c>
      <c r="AB30">
        <f>HYPERLINK("https://klasma.github.io/Logging_0480/klagomålsmail/A 24273-2026 FSC-klagomål mail.docx", "A 24273-2026")</f>
        <v/>
      </c>
      <c r="AC30">
        <f>HYPERLINK("https://klasma.github.io/Logging_0480/tillsyn/A 24273-2026 tillsynsbegäran.docx", "A 24273-2026")</f>
        <v/>
      </c>
      <c r="AD30">
        <f>HYPERLINK("https://klasma.github.io/Logging_0480/tillsynsmail/A 24273-2026 tillsynsbegäran mail.docx", "A 24273-2026")</f>
        <v/>
      </c>
      <c r="AE30">
        <f>HYPERLINK("https://klasma.github.io/Logging_0480/fåglar/A 24273-2026 prioriterade fågelarter.docx", "A 24273-2026")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46289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46289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38203-2022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46289</v>
      </c>
      <c r="F33" t="inlineStr">
        <is>
          <t>SÖDERMANLANDS LÄN</t>
        </is>
      </c>
      <c r="G33" t="inlineStr">
        <is>
          <t>NYKÖPING</t>
        </is>
      </c>
      <c r="I33" t="n">
        <v>1.9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Gulsparv
Kösa
Linmåra/småsnärjmåra</t>
        </is>
      </c>
      <c r="W33">
        <f>HYPERLINK("https://klasma.github.io/Logging_0480/artfynd/A 38203-2022 artfynd.xlsx", "A 38203-2022")</f>
        <v/>
      </c>
      <c r="X33">
        <f>HYPERLINK("https://klasma.github.io/Logging_0480/kartor/A 38203-2022 karta.png", "A 38203-2022")</f>
        <v/>
      </c>
      <c r="Y33">
        <f>HYPERLINK("https://klasma.github.io/Logging_0480/kartor_geotiff/A 38203-2022 georefererad karta.tif", "A 38203-2022")</f>
        <v/>
      </c>
      <c r="AA33">
        <f>HYPERLINK("https://klasma.github.io/Logging_0480/klagomål/A 38203-2022 FSC-klagomål.docx", "A 38203-2022")</f>
        <v/>
      </c>
      <c r="AB33">
        <f>HYPERLINK("https://klasma.github.io/Logging_0480/klagomålsmail/A 38203-2022 FSC-klagomål mail.docx", "A 38203-2022")</f>
        <v/>
      </c>
      <c r="AC33">
        <f>HYPERLINK("https://klasma.github.io/Logging_0480/tillsyn/A 38203-2022 tillsynsbegäran.docx", "A 38203-2022")</f>
        <v/>
      </c>
      <c r="AD33">
        <f>HYPERLINK("https://klasma.github.io/Logging_0480/tillsynsmail/A 38203-2022 tillsynsbegäran mail.docx", "A 38203-2022")</f>
        <v/>
      </c>
      <c r="AE33">
        <f>HYPERLINK("https://klasma.github.io/Logging_0480/fåglar/A 38203-2022 prioriterade fågelarter.docx", "A 38203-2022")</f>
        <v/>
      </c>
    </row>
    <row r="34" ht="15" customHeight="1">
      <c r="A34" t="inlineStr">
        <is>
          <t>A 53573-2022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44879</v>
      </c>
      <c r="E34" s="1" t="n">
        <v>46289</v>
      </c>
      <c r="F34" t="inlineStr">
        <is>
          <t>SÖDERMANLANDS LÄN</t>
        </is>
      </c>
      <c r="G34" t="inlineStr">
        <is>
          <t>NYKÖPING</t>
        </is>
      </c>
      <c r="H34" t="inlineStr">
        <is>
          <t>Övriga Aktiebolag</t>
        </is>
      </c>
      <c r="I34" t="n">
        <v>9.199999999999999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Dofttaggsvamp
Fjällig taggsvamp s.str.
Sotvaxskivling</t>
        </is>
      </c>
      <c r="W34">
        <f>HYPERLINK("https://klasma.github.io/Logging_0480/artfynd/A 53573-2022 artfynd.xlsx", "A 53573-2022")</f>
        <v/>
      </c>
      <c r="X34">
        <f>HYPERLINK("https://klasma.github.io/Logging_0480/kartor/A 53573-2022 karta.png", "A 53573-2022")</f>
        <v/>
      </c>
      <c r="Y34">
        <f>HYPERLINK("https://klasma.github.io/Logging_0480/kartor_geotiff/A 53573-2022 georefererad karta.tif", "A 53573-2022")</f>
        <v/>
      </c>
      <c r="AA34">
        <f>HYPERLINK("https://klasma.github.io/Logging_0480/klagomål/A 53573-2022 FSC-klagomål.docx", "A 53573-2022")</f>
        <v/>
      </c>
      <c r="AB34">
        <f>HYPERLINK("https://klasma.github.io/Logging_0480/klagomålsmail/A 53573-2022 FSC-klagomål mail.docx", "A 53573-2022")</f>
        <v/>
      </c>
      <c r="AC34">
        <f>HYPERLINK("https://klasma.github.io/Logging_0480/tillsyn/A 53573-2022 tillsynsbegäran.docx", "A 53573-2022")</f>
        <v/>
      </c>
      <c r="AD34">
        <f>HYPERLINK("https://klasma.github.io/Logging_0480/tillsynsmail/A 53573-2022 tillsynsbegäran mail.docx", "A 53573-2022")</f>
        <v/>
      </c>
    </row>
    <row r="35" ht="15" customHeight="1">
      <c r="A35" t="inlineStr">
        <is>
          <t>A 4710-2024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45328</v>
      </c>
      <c r="E35" s="1" t="n">
        <v>46289</v>
      </c>
      <c r="F35" t="inlineStr">
        <is>
          <t>SÖDERMANLANDS LÄN</t>
        </is>
      </c>
      <c r="G35" t="inlineStr">
        <is>
          <t>NYKÖPING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Ask
Blåsippa
Grönvit nattviol</t>
        </is>
      </c>
      <c r="W35">
        <f>HYPERLINK("https://klasma.github.io/Logging_0480/artfynd/A 4710-2024 artfynd.xlsx", "A 4710-2024")</f>
        <v/>
      </c>
      <c r="X35">
        <f>HYPERLINK("https://klasma.github.io/Logging_0480/kartor/A 4710-2024 karta.png", "A 4710-2024")</f>
        <v/>
      </c>
      <c r="Y35">
        <f>HYPERLINK("https://klasma.github.io/Logging_0480/kartor_geotiff/A 4710-2024 georefererad karta.tif", "A 4710-2024")</f>
        <v/>
      </c>
      <c r="AA35">
        <f>HYPERLINK("https://klasma.github.io/Logging_0480/klagomål/A 4710-2024 FSC-klagomål.docx", "A 4710-2024")</f>
        <v/>
      </c>
      <c r="AB35">
        <f>HYPERLINK("https://klasma.github.io/Logging_0480/klagomålsmail/A 4710-2024 FSC-klagomål mail.docx", "A 4710-2024")</f>
        <v/>
      </c>
      <c r="AC35">
        <f>HYPERLINK("https://klasma.github.io/Logging_0480/tillsyn/A 4710-2024 tillsynsbegäran.docx", "A 4710-2024")</f>
        <v/>
      </c>
      <c r="AD35">
        <f>HYPERLINK("https://klasma.github.io/Logging_0480/tillsynsmail/A 4710-2024 tillsynsbegäran mail.docx", "A 4710-2024")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46289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46289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58783-2025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46289</v>
      </c>
      <c r="F38" t="inlineStr">
        <is>
          <t>SÖDERMANLANDS LÄN</t>
        </is>
      </c>
      <c r="G38" t="inlineStr">
        <is>
          <t>NYKÖPING</t>
        </is>
      </c>
      <c r="H38" t="inlineStr">
        <is>
          <t>Sveaskog</t>
        </is>
      </c>
      <c r="I38" t="n">
        <v>1.3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Skogshare
Nattskärra
Revlummer</t>
        </is>
      </c>
      <c r="W38">
        <f>HYPERLINK("https://klasma.github.io/Logging_0480/artfynd/A 58783-2025 artfynd.xlsx", "A 58783-2025")</f>
        <v/>
      </c>
      <c r="X38">
        <f>HYPERLINK("https://klasma.github.io/Logging_0480/kartor/A 58783-2025 karta.png", "A 58783-2025")</f>
        <v/>
      </c>
      <c r="Y38">
        <f>HYPERLINK("https://klasma.github.io/Logging_0480/kartor_geotiff/A 58783-2025 georefererad karta.tif", "A 58783-2025")</f>
        <v/>
      </c>
      <c r="AA38">
        <f>HYPERLINK("https://klasma.github.io/Logging_0480/klagomål/A 58783-2025 FSC-klagomål.docx", "A 58783-2025")</f>
        <v/>
      </c>
      <c r="AB38">
        <f>HYPERLINK("https://klasma.github.io/Logging_0480/klagomålsmail/A 58783-2025 FSC-klagomål mail.docx", "A 58783-2025")</f>
        <v/>
      </c>
      <c r="AC38">
        <f>HYPERLINK("https://klasma.github.io/Logging_0480/tillsyn/A 58783-2025 tillsynsbegäran.docx", "A 58783-2025")</f>
        <v/>
      </c>
      <c r="AD38">
        <f>HYPERLINK("https://klasma.github.io/Logging_0480/tillsynsmail/A 58783-2025 tillsynsbegäran mail.docx", "A 58783-2025")</f>
        <v/>
      </c>
      <c r="AE38">
        <f>HYPERLINK("https://klasma.github.io/Logging_0480/fåglar/A 58783-2025 prioriterade fågelarter.docx", "A 58783-2025")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46289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46289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46289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46289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24092-2026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46166</v>
      </c>
      <c r="E43" s="1" t="n">
        <v>46289</v>
      </c>
      <c r="F43" t="inlineStr">
        <is>
          <t>SÖDERMANLANDS LÄN</t>
        </is>
      </c>
      <c r="G43" t="inlineStr">
        <is>
          <t>NYKÖPING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Vildkaprifol
Ängskovall</t>
        </is>
      </c>
      <c r="W43">
        <f>HYPERLINK("https://klasma.github.io/Logging_0480/artfynd/A 24092-2026 artfynd.xlsx", "A 24092-2026")</f>
        <v/>
      </c>
      <c r="X43">
        <f>HYPERLINK("https://klasma.github.io/Logging_0480/kartor/A 24092-2026 karta.png", "A 24092-2026")</f>
        <v/>
      </c>
      <c r="Y43">
        <f>HYPERLINK("https://klasma.github.io/Logging_0480/kartor_geotiff/A 24092-2026 georefererad karta.tif", "A 24092-2026")</f>
        <v/>
      </c>
      <c r="AA43">
        <f>HYPERLINK("https://klasma.github.io/Logging_0480/klagomål/A 24092-2026 FSC-klagomål.docx", "A 24092-2026")</f>
        <v/>
      </c>
      <c r="AB43">
        <f>HYPERLINK("https://klasma.github.io/Logging_0480/klagomålsmail/A 24092-2026 FSC-klagomål mail.docx", "A 24092-2026")</f>
        <v/>
      </c>
      <c r="AC43">
        <f>HYPERLINK("https://klasma.github.io/Logging_0480/tillsyn/A 24092-2026 tillsynsbegäran.docx", "A 24092-2026")</f>
        <v/>
      </c>
      <c r="AD43">
        <f>HYPERLINK("https://klasma.github.io/Logging_0480/tillsynsmail/A 24092-2026 tillsynsbegäran mail.docx", "A 24092-2026")</f>
        <v/>
      </c>
    </row>
    <row r="44" ht="15" customHeight="1">
      <c r="A44" t="inlineStr">
        <is>
          <t>A 29766-2022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46289</v>
      </c>
      <c r="F44" t="inlineStr">
        <is>
          <t>SÖDERMANLANDS LÄN</t>
        </is>
      </c>
      <c r="G44" t="inlineStr">
        <is>
          <t>NYKÖPING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Broskvaxing
Kungsfågel</t>
        </is>
      </c>
      <c r="W44">
        <f>HYPERLINK("https://klasma.github.io/Logging_0480/artfynd/A 29766-2022 artfynd.xlsx", "A 29766-2022")</f>
        <v/>
      </c>
      <c r="X44">
        <f>HYPERLINK("https://klasma.github.io/Logging_0480/kartor/A 29766-2022 karta.png", "A 29766-2022")</f>
        <v/>
      </c>
      <c r="Y44">
        <f>HYPERLINK("https://klasma.github.io/Logging_0480/kartor_geotiff/A 29766-2022 georefererad karta.tif", "A 29766-2022")</f>
        <v/>
      </c>
      <c r="AA44">
        <f>HYPERLINK("https://klasma.github.io/Logging_0480/klagomål/A 29766-2022 FSC-klagomål.docx", "A 29766-2022")</f>
        <v/>
      </c>
      <c r="AB44">
        <f>HYPERLINK("https://klasma.github.io/Logging_0480/klagomålsmail/A 29766-2022 FSC-klagomål mail.docx", "A 29766-2022")</f>
        <v/>
      </c>
      <c r="AC44">
        <f>HYPERLINK("https://klasma.github.io/Logging_0480/tillsyn/A 29766-2022 tillsynsbegäran.docx", "A 29766-2022")</f>
        <v/>
      </c>
      <c r="AD44">
        <f>HYPERLINK("https://klasma.github.io/Logging_0480/tillsynsmail/A 29766-2022 tillsynsbegäran mail.docx", "A 29766-2022")</f>
        <v/>
      </c>
    </row>
    <row r="45" ht="15" customHeight="1">
      <c r="A45" t="inlineStr">
        <is>
          <t>A 48153-2023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46289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Nötkråka
Havsörn</t>
        </is>
      </c>
      <c r="W45">
        <f>HYPERLINK("https://klasma.github.io/Logging_0480/artfynd/A 48153-2023 artfynd.xlsx", "A 48153-2023")</f>
        <v/>
      </c>
      <c r="X45">
        <f>HYPERLINK("https://klasma.github.io/Logging_0480/kartor/A 48153-2023 karta.png", "A 48153-2023")</f>
        <v/>
      </c>
      <c r="Y45">
        <f>HYPERLINK("https://klasma.github.io/Logging_0480/kartor_geotiff/A 48153-2023 georefererad karta.tif", "A 48153-2023")</f>
        <v/>
      </c>
      <c r="AA45">
        <f>HYPERLINK("https://klasma.github.io/Logging_0480/klagomål/A 48153-2023 FSC-klagomål.docx", "A 48153-2023")</f>
        <v/>
      </c>
      <c r="AB45">
        <f>HYPERLINK("https://klasma.github.io/Logging_0480/klagomålsmail/A 48153-2023 FSC-klagomål mail.docx", "A 48153-2023")</f>
        <v/>
      </c>
      <c r="AC45">
        <f>HYPERLINK("https://klasma.github.io/Logging_0480/tillsyn/A 48153-2023 tillsynsbegäran.docx", "A 48153-2023")</f>
        <v/>
      </c>
      <c r="AD45">
        <f>HYPERLINK("https://klasma.github.io/Logging_0480/tillsynsmail/A 48153-2023 tillsynsbegäran mail.docx", "A 48153-2023")</f>
        <v/>
      </c>
      <c r="AE45">
        <f>HYPERLINK("https://klasma.github.io/Logging_0480/fåglar/A 48153-2023 prioriterade fågelarter.docx", "A 48153-2023")</f>
        <v/>
      </c>
    </row>
    <row r="46" ht="15" customHeight="1">
      <c r="A46" t="inlineStr">
        <is>
          <t>A 5857-2024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46289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Törnskata
Revlummer</t>
        </is>
      </c>
      <c r="W46">
        <f>HYPERLINK("https://klasma.github.io/Logging_0480/artfynd/A 5857-2024 artfynd.xlsx", "A 5857-2024")</f>
        <v/>
      </c>
      <c r="X46">
        <f>HYPERLINK("https://klasma.github.io/Logging_0480/kartor/A 5857-2024 karta.png", "A 5857-2024")</f>
        <v/>
      </c>
      <c r="Y46">
        <f>HYPERLINK("https://klasma.github.io/Logging_0480/kartor_geotiff/A 5857-2024 georefererad karta.tif", "A 5857-2024")</f>
        <v/>
      </c>
      <c r="AA46">
        <f>HYPERLINK("https://klasma.github.io/Logging_0480/klagomål/A 5857-2024 FSC-klagomål.docx", "A 5857-2024")</f>
        <v/>
      </c>
      <c r="AB46">
        <f>HYPERLINK("https://klasma.github.io/Logging_0480/klagomålsmail/A 5857-2024 FSC-klagomål mail.docx", "A 5857-2024")</f>
        <v/>
      </c>
      <c r="AC46">
        <f>HYPERLINK("https://klasma.github.io/Logging_0480/tillsyn/A 5857-2024 tillsynsbegäran.docx", "A 5857-2024")</f>
        <v/>
      </c>
      <c r="AD46">
        <f>HYPERLINK("https://klasma.github.io/Logging_0480/tillsynsmail/A 5857-2024 tillsynsbegäran mail.docx", "A 5857-2024")</f>
        <v/>
      </c>
      <c r="AE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46289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46289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60518-2022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44904</v>
      </c>
      <c r="E49" s="1" t="n">
        <v>46289</v>
      </c>
      <c r="F49" t="inlineStr">
        <is>
          <t>SÖDERMANLANDS LÄN</t>
        </is>
      </c>
      <c r="G49" t="inlineStr">
        <is>
          <t>NYKÖPING</t>
        </is>
      </c>
      <c r="I49" t="n">
        <v>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Gullklöver
Gullviva</t>
        </is>
      </c>
      <c r="W49">
        <f>HYPERLINK("https://klasma.github.io/Logging_0480/artfynd/A 60518-2022 artfynd.xlsx", "A 60518-2022")</f>
        <v/>
      </c>
      <c r="X49">
        <f>HYPERLINK("https://klasma.github.io/Logging_0480/kartor/A 60518-2022 karta.png", "A 60518-2022")</f>
        <v/>
      </c>
      <c r="Y49">
        <f>HYPERLINK("https://klasma.github.io/Logging_0480/kartor_geotiff/A 60518-2022 georefererad karta.tif", "A 60518-2022")</f>
        <v/>
      </c>
      <c r="AA49">
        <f>HYPERLINK("https://klasma.github.io/Logging_0480/klagomål/A 60518-2022 FSC-klagomål.docx", "A 60518-2022")</f>
        <v/>
      </c>
      <c r="AB49">
        <f>HYPERLINK("https://klasma.github.io/Logging_0480/klagomålsmail/A 60518-2022 FSC-klagomål mail.docx", "A 60518-2022")</f>
        <v/>
      </c>
      <c r="AC49">
        <f>HYPERLINK("https://klasma.github.io/Logging_0480/tillsyn/A 60518-2022 tillsynsbegäran.docx", "A 60518-2022")</f>
        <v/>
      </c>
      <c r="AD49">
        <f>HYPERLINK("https://klasma.github.io/Logging_0480/tillsynsmail/A 60518-2022 tillsynsbegäran mail.docx", "A 60518-2022")</f>
        <v/>
      </c>
    </row>
    <row r="50" ht="15" customHeight="1">
      <c r="A50" t="inlineStr">
        <is>
          <t>A 5865-2024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46289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4.9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Entita
Fläcknycklar</t>
        </is>
      </c>
      <c r="W50">
        <f>HYPERLINK("https://klasma.github.io/Logging_0480/artfynd/A 5865-2024 artfynd.xlsx", "A 5865-2024")</f>
        <v/>
      </c>
      <c r="X50">
        <f>HYPERLINK("https://klasma.github.io/Logging_0480/kartor/A 5865-2024 karta.png", "A 5865-2024")</f>
        <v/>
      </c>
      <c r="Y50">
        <f>HYPERLINK("https://klasma.github.io/Logging_0480/kartor_geotiff/A 5865-2024 georefererad karta.tif", "A 5865-2024")</f>
        <v/>
      </c>
      <c r="AA50">
        <f>HYPERLINK("https://klasma.github.io/Logging_0480/klagomål/A 5865-2024 FSC-klagomål.docx", "A 5865-2024")</f>
        <v/>
      </c>
      <c r="AB50">
        <f>HYPERLINK("https://klasma.github.io/Logging_0480/klagomålsmail/A 5865-2024 FSC-klagomål mail.docx", "A 5865-2024")</f>
        <v/>
      </c>
      <c r="AC50">
        <f>HYPERLINK("https://klasma.github.io/Logging_0480/tillsyn/A 5865-2024 tillsynsbegäran.docx", "A 5865-2024")</f>
        <v/>
      </c>
      <c r="AD50">
        <f>HYPERLINK("https://klasma.github.io/Logging_0480/tillsynsmail/A 5865-2024 tillsynsbegäran mail.docx", "A 5865-2024")</f>
        <v/>
      </c>
      <c r="AE50">
        <f>HYPERLINK("https://klasma.github.io/Logging_0480/fåglar/A 5865-2024 prioriterade fågelarter.docx", "A 5865-2024")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46289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58167-2025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46289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Grönpyrola
Mattlummer</t>
        </is>
      </c>
      <c r="W52">
        <f>HYPERLINK("https://klasma.github.io/Logging_0480/artfynd/A 58167-2025 artfynd.xlsx", "A 58167-2025")</f>
        <v/>
      </c>
      <c r="X52">
        <f>HYPERLINK("https://klasma.github.io/Logging_0480/kartor/A 58167-2025 karta.png", "A 58167-2025")</f>
        <v/>
      </c>
      <c r="Y52">
        <f>HYPERLINK("https://klasma.github.io/Logging_0480/kartor_geotiff/A 58167-2025 georefererad karta.tif", "A 58167-2025")</f>
        <v/>
      </c>
      <c r="AA52">
        <f>HYPERLINK("https://klasma.github.io/Logging_0480/klagomål/A 58167-2025 FSC-klagomål.docx", "A 58167-2025")</f>
        <v/>
      </c>
      <c r="AB52">
        <f>HYPERLINK("https://klasma.github.io/Logging_0480/klagomålsmail/A 58167-2025 FSC-klagomål mail.docx", "A 58167-2025")</f>
        <v/>
      </c>
      <c r="AC52">
        <f>HYPERLINK("https://klasma.github.io/Logging_0480/tillsyn/A 58167-2025 tillsynsbegäran.docx", "A 58167-2025")</f>
        <v/>
      </c>
      <c r="AD52">
        <f>HYPERLINK("https://klasma.github.io/Logging_0480/tillsynsmail/A 58167-2025 tillsynsbegäran mail.docx", "A 58167-2025")</f>
        <v/>
      </c>
    </row>
    <row r="53" ht="15" customHeight="1">
      <c r="A53" t="inlineStr">
        <is>
          <t>A 34310-2022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46289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7</v>
      </c>
      <c r="U53" t="n">
        <v>0</v>
      </c>
      <c r="V53" s="2" t="inlineStr">
        <is>
          <t>Bombmurkla
Grönpyrola</t>
        </is>
      </c>
      <c r="W53">
        <f>HYPERLINK("https://klasma.github.io/Logging_0480/artfynd/A 34310-2022 artfynd.xlsx", "A 34310-2022")</f>
        <v/>
      </c>
      <c r="X53">
        <f>HYPERLINK("https://klasma.github.io/Logging_0480/kartor/A 34310-2022 karta.png", "A 34310-2022")</f>
        <v/>
      </c>
      <c r="Y53">
        <f>HYPERLINK("https://klasma.github.io/Logging_0480/kartor_geotiff/A 34310-2022 georefererad karta.tif", "A 34310-2022")</f>
        <v/>
      </c>
      <c r="AA53">
        <f>HYPERLINK("https://klasma.github.io/Logging_0480/klagomål/A 34310-2022 FSC-klagomål.docx", "A 34310-2022")</f>
        <v/>
      </c>
      <c r="AB53">
        <f>HYPERLINK("https://klasma.github.io/Logging_0480/klagomålsmail/A 34310-2022 FSC-klagomål mail.docx", "A 34310-2022")</f>
        <v/>
      </c>
      <c r="AC53">
        <f>HYPERLINK("https://klasma.github.io/Logging_0480/tillsyn/A 34310-2022 tillsynsbegäran.docx", "A 34310-2022")</f>
        <v/>
      </c>
      <c r="AD53">
        <f>HYPERLINK("https://klasma.github.io/Logging_0480/tillsynsmail/A 34310-2022 tillsynsbegäran mail.docx", "A 34310-2022")</f>
        <v/>
      </c>
    </row>
    <row r="54" ht="15" customHeight="1">
      <c r="A54" t="inlineStr">
        <is>
          <t>A 6276-2026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46289</v>
      </c>
      <c r="F54" t="inlineStr">
        <is>
          <t>SÖDERMANLANDS LÄN</t>
        </is>
      </c>
      <c r="G54" t="inlineStr">
        <is>
          <t>NYKÖPING</t>
        </is>
      </c>
      <c r="I54" t="n">
        <v>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Duvhök
Granbarkgnagare</t>
        </is>
      </c>
      <c r="W54">
        <f>HYPERLINK("https://klasma.github.io/Logging_0480/artfynd/A 6276-2026 artfynd.xlsx", "A 6276-2026")</f>
        <v/>
      </c>
      <c r="X54">
        <f>HYPERLINK("https://klasma.github.io/Logging_0480/kartor/A 6276-2026 karta.png", "A 6276-2026")</f>
        <v/>
      </c>
      <c r="Y54">
        <f>HYPERLINK("https://klasma.github.io/Logging_0480/kartor_geotiff/A 6276-2026 georefererad karta.tif", "A 6276-2026")</f>
        <v/>
      </c>
      <c r="AA54">
        <f>HYPERLINK("https://klasma.github.io/Logging_0480/klagomål/A 6276-2026 FSC-klagomål.docx", "A 6276-2026")</f>
        <v/>
      </c>
      <c r="AB54">
        <f>HYPERLINK("https://klasma.github.io/Logging_0480/klagomålsmail/A 6276-2026 FSC-klagomål mail.docx", "A 6276-2026")</f>
        <v/>
      </c>
      <c r="AC54">
        <f>HYPERLINK("https://klasma.github.io/Logging_0480/tillsyn/A 6276-2026 tillsynsbegäran.docx", "A 6276-2026")</f>
        <v/>
      </c>
      <c r="AD54">
        <f>HYPERLINK("https://klasma.github.io/Logging_0480/tillsynsmail/A 6276-2026 tillsynsbegäran mail.docx", "A 6276-2026")</f>
        <v/>
      </c>
      <c r="AE54">
        <f>HYPERLINK("https://klasma.github.io/Logging_0480/fåglar/A 6276-2026 prioriterade fågelarter.docx", "A 6276-2026")</f>
        <v/>
      </c>
    </row>
    <row r="55" ht="15" customHeight="1">
      <c r="A55" t="inlineStr">
        <is>
          <t>A 38757-2026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46289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Motaggsvamp</t>
        </is>
      </c>
      <c r="W55">
        <f>HYPERLINK("https://klasma.github.io/Logging_0480/artfynd/A 38757-2026 artfynd.xlsx", "A 38757-2026")</f>
        <v/>
      </c>
      <c r="X55">
        <f>HYPERLINK("https://klasma.github.io/Logging_0480/kartor/A 38757-2026 karta.png", "A 38757-2026")</f>
        <v/>
      </c>
      <c r="Y55">
        <f>HYPERLINK("https://klasma.github.io/Logging_0480/kartor_geotiff/A 38757-2026 georefererad karta.tif", "A 38757-2026")</f>
        <v/>
      </c>
      <c r="AA55">
        <f>HYPERLINK("https://klasma.github.io/Logging_0480/klagomål/A 38757-2026 FSC-klagomål.docx", "A 38757-2026")</f>
        <v/>
      </c>
      <c r="AB55">
        <f>HYPERLINK("https://klasma.github.io/Logging_0480/klagomålsmail/A 38757-2026 FSC-klagomål mail.docx", "A 38757-2026")</f>
        <v/>
      </c>
      <c r="AC55">
        <f>HYPERLINK("https://klasma.github.io/Logging_0480/tillsyn/A 38757-2026 tillsynsbegäran.docx", "A 38757-2026")</f>
        <v/>
      </c>
      <c r="AD55">
        <f>HYPERLINK("https://klasma.github.io/Logging_0480/tillsynsmail/A 38757-2026 tillsynsbegäran mail.docx", "A 38757-2026")</f>
        <v/>
      </c>
    </row>
    <row r="56" ht="15" customHeight="1">
      <c r="A56" t="inlineStr">
        <is>
          <t>A 16078-2023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45027</v>
      </c>
      <c r="E56" s="1" t="n">
        <v>46289</v>
      </c>
      <c r="F56" t="inlineStr">
        <is>
          <t>SÖDERMANLANDS LÄN</t>
        </is>
      </c>
      <c r="G56" t="inlineStr">
        <is>
          <t>NYKÖPING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Rödlånke
Fläcknycklar</t>
        </is>
      </c>
      <c r="W56">
        <f>HYPERLINK("https://klasma.github.io/Logging_0480/artfynd/A 16078-2023 artfynd.xlsx", "A 16078-2023")</f>
        <v/>
      </c>
      <c r="X56">
        <f>HYPERLINK("https://klasma.github.io/Logging_0480/kartor/A 16078-2023 karta.png", "A 16078-2023")</f>
        <v/>
      </c>
      <c r="Y56">
        <f>HYPERLINK("https://klasma.github.io/Logging_0480/kartor_geotiff/A 16078-2023 georefererad karta.tif", "A 16078-2023")</f>
        <v/>
      </c>
      <c r="AA56">
        <f>HYPERLINK("https://klasma.github.io/Logging_0480/klagomål/A 16078-2023 FSC-klagomål.docx", "A 16078-2023")</f>
        <v/>
      </c>
      <c r="AB56">
        <f>HYPERLINK("https://klasma.github.io/Logging_0480/klagomålsmail/A 16078-2023 FSC-klagomål mail.docx", "A 16078-2023")</f>
        <v/>
      </c>
      <c r="AC56">
        <f>HYPERLINK("https://klasma.github.io/Logging_0480/tillsyn/A 16078-2023 tillsynsbegäran.docx", "A 16078-2023")</f>
        <v/>
      </c>
      <c r="AD56">
        <f>HYPERLINK("https://klasma.github.io/Logging_0480/tillsynsmail/A 16078-2023 tillsynsbegäran mail.docx", "A 16078-2023")</f>
        <v/>
      </c>
    </row>
    <row r="57" ht="15" customHeight="1">
      <c r="A57" t="inlineStr">
        <is>
          <t>A 55497-2021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46289</v>
      </c>
      <c r="F57" t="inlineStr">
        <is>
          <t>SÖDERMANLANDS LÄN</t>
        </is>
      </c>
      <c r="G57" t="inlineStr">
        <is>
          <t>NYKÖPING</t>
        </is>
      </c>
      <c r="I57" t="n">
        <v>7.7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Älg
Nattskärra</t>
        </is>
      </c>
      <c r="W57">
        <f>HYPERLINK("https://klasma.github.io/Logging_0480/artfynd/A 55497-2021 artfynd.xlsx", "A 55497-2021")</f>
        <v/>
      </c>
      <c r="X57">
        <f>HYPERLINK("https://klasma.github.io/Logging_0480/kartor/A 55497-2021 karta.png", "A 55497-2021")</f>
        <v/>
      </c>
      <c r="Y57">
        <f>HYPERLINK("https://klasma.github.io/Logging_0480/kartor_geotiff/A 55497-2021 georefererad karta.tif", "A 55497-2021")</f>
        <v/>
      </c>
      <c r="AA57">
        <f>HYPERLINK("https://klasma.github.io/Logging_0480/klagomål/A 55497-2021 FSC-klagomål.docx", "A 55497-2021")</f>
        <v/>
      </c>
      <c r="AB57">
        <f>HYPERLINK("https://klasma.github.io/Logging_0480/klagomålsmail/A 55497-2021 FSC-klagomål mail.docx", "A 55497-2021")</f>
        <v/>
      </c>
      <c r="AC57">
        <f>HYPERLINK("https://klasma.github.io/Logging_0480/tillsyn/A 55497-2021 tillsynsbegäran.docx", "A 55497-2021")</f>
        <v/>
      </c>
      <c r="AD57">
        <f>HYPERLINK("https://klasma.github.io/Logging_0480/tillsynsmail/A 55497-2021 tillsynsbegäran mail.docx", "A 55497-2021")</f>
        <v/>
      </c>
      <c r="AE57">
        <f>HYPERLINK("https://klasma.github.io/Logging_0480/fåglar/A 55497-2021 prioriterade fågelarter.docx", "A 55497-2021")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46289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46289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56560-2022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46289</v>
      </c>
      <c r="F60" t="inlineStr">
        <is>
          <t>SÖDERMANLANDS LÄN</t>
        </is>
      </c>
      <c r="G60" t="inlineStr">
        <is>
          <t>NYKÖPING</t>
        </is>
      </c>
      <c r="H60" t="inlineStr">
        <is>
          <t>Övriga Aktiebolag</t>
        </is>
      </c>
      <c r="I60" t="n">
        <v>1.1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Fjällvråk
Kråka</t>
        </is>
      </c>
      <c r="W60">
        <f>HYPERLINK("https://klasma.github.io/Logging_0480/artfynd/A 56560-2022 artfynd.xlsx", "A 56560-2022")</f>
        <v/>
      </c>
      <c r="X60">
        <f>HYPERLINK("https://klasma.github.io/Logging_0480/kartor/A 56560-2022 karta.png", "A 56560-2022")</f>
        <v/>
      </c>
      <c r="Y60">
        <f>HYPERLINK("https://klasma.github.io/Logging_0480/kartor_geotiff/A 56560-2022 georefererad karta.tif", "A 56560-2022")</f>
        <v/>
      </c>
      <c r="AA60">
        <f>HYPERLINK("https://klasma.github.io/Logging_0480/klagomål/A 56560-2022 FSC-klagomål.docx", "A 56560-2022")</f>
        <v/>
      </c>
      <c r="AB60">
        <f>HYPERLINK("https://klasma.github.io/Logging_0480/klagomålsmail/A 56560-2022 FSC-klagomål mail.docx", "A 56560-2022")</f>
        <v/>
      </c>
      <c r="AC60">
        <f>HYPERLINK("https://klasma.github.io/Logging_0480/tillsyn/A 56560-2022 tillsynsbegäran.docx", "A 56560-2022")</f>
        <v/>
      </c>
      <c r="AD60">
        <f>HYPERLINK("https://klasma.github.io/Logging_0480/tillsynsmail/A 56560-2022 tillsynsbegäran mail.docx", "A 56560-2022")</f>
        <v/>
      </c>
      <c r="AE60">
        <f>HYPERLINK("https://klasma.github.io/Logging_0480/fåglar/A 56560-2022 prioriterade fågelarter.docx", "A 56560-2022")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46289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A 1037-2026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46289</v>
      </c>
      <c r="F62" t="inlineStr">
        <is>
          <t>SÖDERMANLANDS LÄN</t>
        </is>
      </c>
      <c r="G62" t="inlineStr">
        <is>
          <t>NYKÖPING</t>
        </is>
      </c>
      <c r="I62" t="n">
        <v>11.6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Talltita
Spillkråka</t>
        </is>
      </c>
      <c r="W62">
        <f>HYPERLINK("https://klasma.github.io/Logging_0480/artfynd/A 1037-2026 artfynd.xlsx", "A 1037-2026")</f>
        <v/>
      </c>
      <c r="X62">
        <f>HYPERLINK("https://klasma.github.io/Logging_0480/kartor/A 1037-2026 karta.png", "A 1037-2026")</f>
        <v/>
      </c>
      <c r="Y62">
        <f>HYPERLINK("https://klasma.github.io/Logging_0480/kartor_geotiff/A 1037-2026 georefererad karta.tif", "A 1037-2026")</f>
        <v/>
      </c>
      <c r="AA62">
        <f>HYPERLINK("https://klasma.github.io/Logging_0480/klagomål/A 1037-2026 FSC-klagomål.docx", "A 1037-2026")</f>
        <v/>
      </c>
      <c r="AB62">
        <f>HYPERLINK("https://klasma.github.io/Logging_0480/klagomålsmail/A 1037-2026 FSC-klagomål mail.docx", "A 1037-2026")</f>
        <v/>
      </c>
      <c r="AC62">
        <f>HYPERLINK("https://klasma.github.io/Logging_0480/tillsyn/A 1037-2026 tillsynsbegäran.docx", "A 1037-2026")</f>
        <v/>
      </c>
      <c r="AD62">
        <f>HYPERLINK("https://klasma.github.io/Logging_0480/tillsynsmail/A 1037-2026 tillsynsbegäran mail.docx", "A 1037-2026")</f>
        <v/>
      </c>
      <c r="AE62">
        <f>HYPERLINK("https://klasma.github.io/Logging_0480/fåglar/A 1037-2026 prioriterade fågelarter.docx", "A 1037-2026")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46289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Vanlig snok
Revlummer</t>
        </is>
      </c>
      <c r="W63">
        <f>HYPERLINK("https://klasma.github.io/Logging_0480/artfynd/A 56725-2025 artfynd.xlsx", "A 56725-2025")</f>
        <v/>
      </c>
      <c r="X63">
        <f>HYPERLINK("https://klasma.github.io/Logging_0480/kartor/A 56725-2025 karta.png", "A 56725-2025")</f>
        <v/>
      </c>
      <c r="Y63">
        <f>HYPERLINK("https://klasma.github.io/Logging_0480/kartor_geotiff/A 56725-2025 georefererad karta.tif", "A 56725-2025")</f>
        <v/>
      </c>
      <c r="AA63">
        <f>HYPERLINK("https://klasma.github.io/Logging_0480/klagomål/A 56725-2025 FSC-klagomål.docx", "A 56725-2025")</f>
        <v/>
      </c>
      <c r="AB63">
        <f>HYPERLINK("https://klasma.github.io/Logging_0480/klagomålsmail/A 56725-2025 FSC-klagomål mail.docx", "A 56725-2025")</f>
        <v/>
      </c>
      <c r="AC63">
        <f>HYPERLINK("https://klasma.github.io/Logging_0480/tillsyn/A 56725-2025 tillsynsbegäran.docx", "A 56725-2025")</f>
        <v/>
      </c>
      <c r="AD63">
        <f>HYPERLINK("https://klasma.github.io/Logging_0480/tillsynsmail/A 56725-2025 tillsynsbegäran mail.docx", "A 56725-2025")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46289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55945-2025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46289</v>
      </c>
      <c r="F65" t="inlineStr">
        <is>
          <t>SÖDERMANLANDS LÄN</t>
        </is>
      </c>
      <c r="G65" t="inlineStr">
        <is>
          <t>NYKÖPING</t>
        </is>
      </c>
      <c r="I65" t="n">
        <v>9.1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Blanksvart spiklav
Motaggsvamp</t>
        </is>
      </c>
      <c r="W65">
        <f>HYPERLINK("https://klasma.github.io/Logging_0480/artfynd/A 55945-2025 artfynd.xlsx", "A 55945-2025")</f>
        <v/>
      </c>
      <c r="X65">
        <f>HYPERLINK("https://klasma.github.io/Logging_0480/kartor/A 55945-2025 karta.png", "A 55945-2025")</f>
        <v/>
      </c>
      <c r="Y65">
        <f>HYPERLINK("https://klasma.github.io/Logging_0480/kartor_geotiff/A 55945-2025 georefererad karta.tif", "A 55945-2025")</f>
        <v/>
      </c>
      <c r="AA65">
        <f>HYPERLINK("https://klasma.github.io/Logging_0480/klagomål/A 55945-2025 FSC-klagomål.docx", "A 55945-2025")</f>
        <v/>
      </c>
      <c r="AB65">
        <f>HYPERLINK("https://klasma.github.io/Logging_0480/klagomålsmail/A 55945-2025 FSC-klagomål mail.docx", "A 55945-2025")</f>
        <v/>
      </c>
      <c r="AC65">
        <f>HYPERLINK("https://klasma.github.io/Logging_0480/tillsyn/A 55945-2025 tillsynsbegäran.docx", "A 55945-2025")</f>
        <v/>
      </c>
      <c r="AD65">
        <f>HYPERLINK("https://klasma.github.io/Logging_0480/tillsynsmail/A 55945-2025 tillsynsbegäran mail.docx", "A 55945-2025")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46289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46289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46289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46289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46289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54897-2021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46289</v>
      </c>
      <c r="F71" t="inlineStr">
        <is>
          <t>SÖDERMANLANDS LÄN</t>
        </is>
      </c>
      <c r="G71" t="inlineStr">
        <is>
          <t>NYKÖPING</t>
        </is>
      </c>
      <c r="H71" t="inlineStr">
        <is>
          <t>Holmen skog AB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HYPERLINK("https://klasma.github.io/Logging_0480/artfynd/A 54897-2021 artfynd.xlsx", "A 54897-2021")</f>
        <v/>
      </c>
      <c r="X71">
        <f>HYPERLINK("https://klasma.github.io/Logging_0480/kartor/A 54897-2021 karta.png", "A 54897-2021")</f>
        <v/>
      </c>
      <c r="Y71">
        <f>HYPERLINK("https://klasma.github.io/Logging_0480/kartor_geotiff/A 54897-2021 georefererad karta.tif", "A 54897-2021")</f>
        <v/>
      </c>
      <c r="AA71">
        <f>HYPERLINK("https://klasma.github.io/Logging_0480/klagomål/A 54897-2021 FSC-klagomål.docx", "A 54897-2021")</f>
        <v/>
      </c>
      <c r="AB71">
        <f>HYPERLINK("https://klasma.github.io/Logging_0480/klagomålsmail/A 54897-2021 FSC-klagomål mail.docx", "A 54897-2021")</f>
        <v/>
      </c>
      <c r="AC71">
        <f>HYPERLINK("https://klasma.github.io/Logging_0480/tillsyn/A 54897-2021 tillsynsbegäran.docx", "A 54897-2021")</f>
        <v/>
      </c>
      <c r="AD71">
        <f>HYPERLINK("https://klasma.github.io/Logging_0480/tillsynsmail/A 54897-2021 tillsynsbegäran mail.docx", "A 54897-2021")</f>
        <v/>
      </c>
    </row>
    <row r="72" ht="15" customHeight="1">
      <c r="A72" t="inlineStr">
        <is>
          <t>A 35318-2024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45530</v>
      </c>
      <c r="E72" s="1" t="n">
        <v>46289</v>
      </c>
      <c r="F72" t="inlineStr">
        <is>
          <t>SÖDERMANLANDS LÄN</t>
        </is>
      </c>
      <c r="G72" t="inlineStr">
        <is>
          <t>NYKÖPING</t>
        </is>
      </c>
      <c r="I72" t="n">
        <v>7.6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Gullviva</t>
        </is>
      </c>
      <c r="W72">
        <f>HYPERLINK("https://klasma.github.io/Logging_0480/artfynd/A 35318-2024 artfynd.xlsx", "A 35318-2024")</f>
        <v/>
      </c>
      <c r="X72">
        <f>HYPERLINK("https://klasma.github.io/Logging_0480/kartor/A 35318-2024 karta.png", "A 35318-2024")</f>
        <v/>
      </c>
      <c r="Y72">
        <f>HYPERLINK("https://klasma.github.io/Logging_0480/kartor_geotiff/A 35318-2024 georefererad karta.tif", "A 35318-2024")</f>
        <v/>
      </c>
      <c r="AA72">
        <f>HYPERLINK("https://klasma.github.io/Logging_0480/klagomål/A 35318-2024 FSC-klagomål.docx", "A 35318-2024")</f>
        <v/>
      </c>
      <c r="AB72">
        <f>HYPERLINK("https://klasma.github.io/Logging_0480/klagomålsmail/A 35318-2024 FSC-klagomål mail.docx", "A 35318-2024")</f>
        <v/>
      </c>
      <c r="AC72">
        <f>HYPERLINK("https://klasma.github.io/Logging_0480/tillsyn/A 35318-2024 tillsynsbegäran.docx", "A 35318-2024")</f>
        <v/>
      </c>
      <c r="AD72">
        <f>HYPERLINK("https://klasma.github.io/Logging_0480/tillsynsmail/A 35318-2024 tillsynsbegäran mail.docx", "A 35318-2024")</f>
        <v/>
      </c>
    </row>
    <row r="73" ht="15" customHeight="1">
      <c r="A73" t="inlineStr">
        <is>
          <t>A 56080-2024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46289</v>
      </c>
      <c r="F73" t="inlineStr">
        <is>
          <t>SÖDERMANLANDS LÄN</t>
        </is>
      </c>
      <c r="G73" t="inlineStr">
        <is>
          <t>NYKÖPING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Ärtsångare</t>
        </is>
      </c>
      <c r="W73">
        <f>HYPERLINK("https://klasma.github.io/Logging_0480/artfynd/A 56080-2024 artfynd.xlsx", "A 56080-2024")</f>
        <v/>
      </c>
      <c r="X73">
        <f>HYPERLINK("https://klasma.github.io/Logging_0480/kartor/A 56080-2024 karta.png", "A 56080-2024")</f>
        <v/>
      </c>
      <c r="Y73">
        <f>HYPERLINK("https://klasma.github.io/Logging_0480/kartor_geotiff/A 56080-2024 georefererad karta.tif", "A 56080-2024")</f>
        <v/>
      </c>
      <c r="AA73">
        <f>HYPERLINK("https://klasma.github.io/Logging_0480/klagomål/A 56080-2024 FSC-klagomål.docx", "A 56080-2024")</f>
        <v/>
      </c>
      <c r="AB73">
        <f>HYPERLINK("https://klasma.github.io/Logging_0480/klagomålsmail/A 56080-2024 FSC-klagomål mail.docx", "A 56080-2024")</f>
        <v/>
      </c>
      <c r="AC73">
        <f>HYPERLINK("https://klasma.github.io/Logging_0480/tillsyn/A 56080-2024 tillsynsbegäran.docx", "A 56080-2024")</f>
        <v/>
      </c>
      <c r="AD73">
        <f>HYPERLINK("https://klasma.github.io/Logging_0480/tillsynsmail/A 56080-2024 tillsynsbegäran mail.docx", "A 56080-2024")</f>
        <v/>
      </c>
    </row>
    <row r="74" ht="15" customHeight="1">
      <c r="A74" t="inlineStr">
        <is>
          <t>A 18500-2024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45424</v>
      </c>
      <c r="E74" s="1" t="n">
        <v>46289</v>
      </c>
      <c r="F74" t="inlineStr">
        <is>
          <t>SÖDERMANLANDS LÄN</t>
        </is>
      </c>
      <c r="G74" t="inlineStr">
        <is>
          <t>NYKÖPING</t>
        </is>
      </c>
      <c r="I74" t="n">
        <v>2.4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Tornseglare</t>
        </is>
      </c>
      <c r="W74">
        <f>HYPERLINK("https://klasma.github.io/Logging_0480/artfynd/A 18500-2024 artfynd.xlsx", "A 18500-2024")</f>
        <v/>
      </c>
      <c r="X74">
        <f>HYPERLINK("https://klasma.github.io/Logging_0480/kartor/A 18500-2024 karta.png", "A 18500-2024")</f>
        <v/>
      </c>
      <c r="Y74">
        <f>HYPERLINK("https://klasma.github.io/Logging_0480/kartor_geotiff/A 18500-2024 georefererad karta.tif", "A 18500-2024")</f>
        <v/>
      </c>
      <c r="AA74">
        <f>HYPERLINK("https://klasma.github.io/Logging_0480/klagomål/A 18500-2024 FSC-klagomål.docx", "A 18500-2024")</f>
        <v/>
      </c>
      <c r="AB74">
        <f>HYPERLINK("https://klasma.github.io/Logging_0480/klagomålsmail/A 18500-2024 FSC-klagomål mail.docx", "A 18500-2024")</f>
        <v/>
      </c>
      <c r="AC74">
        <f>HYPERLINK("https://klasma.github.io/Logging_0480/tillsyn/A 18500-2024 tillsynsbegäran.docx", "A 18500-2024")</f>
        <v/>
      </c>
      <c r="AD74">
        <f>HYPERLINK("https://klasma.github.io/Logging_0480/tillsynsmail/A 18500-2024 tillsynsbegäran mail.docx", "A 18500-2024")</f>
        <v/>
      </c>
      <c r="AE74">
        <f>HYPERLINK("https://klasma.github.io/Logging_0480/fåglar/A 18500-2024 prioriterade fågelarter.docx", "A 18500-2024")</f>
        <v/>
      </c>
    </row>
    <row r="75" ht="15" customHeight="1">
      <c r="A75" t="inlineStr">
        <is>
          <t>A 13038-2024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46289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Knärot</t>
        </is>
      </c>
      <c r="W75">
        <f>HYPERLINK("https://klasma.github.io/Logging_0480/artfynd/A 13038-2024 artfynd.xlsx", "A 13038-2024")</f>
        <v/>
      </c>
      <c r="X75">
        <f>HYPERLINK("https://klasma.github.io/Logging_0480/kartor/A 13038-2024 karta.png", "A 13038-2024")</f>
        <v/>
      </c>
      <c r="Y75">
        <f>HYPERLINK("https://klasma.github.io/Logging_0480/kartor_geotiff/A 13038-2024 georefererad karta.tif", "A 13038-2024")</f>
        <v/>
      </c>
      <c r="Z75">
        <f>HYPERLINK("https://klasma.github.io/Logging_0480/knärot/A 13038-2024 karta knärot.png", "A 13038-2024")</f>
        <v/>
      </c>
      <c r="AA75">
        <f>HYPERLINK("https://klasma.github.io/Logging_0480/klagomål/A 13038-2024 FSC-klagomål.docx", "A 13038-2024")</f>
        <v/>
      </c>
      <c r="AB75">
        <f>HYPERLINK("https://klasma.github.io/Logging_0480/klagomålsmail/A 13038-2024 FSC-klagomål mail.docx", "A 13038-2024")</f>
        <v/>
      </c>
      <c r="AC75">
        <f>HYPERLINK("https://klasma.github.io/Logging_0480/tillsyn/A 13038-2024 tillsynsbegäran.docx", "A 13038-2024")</f>
        <v/>
      </c>
      <c r="AD75">
        <f>HYPERLINK("https://klasma.github.io/Logging_0480/tillsynsmail/A 13038-2024 tillsynsbegäran mail.docx", "A 13038-2024")</f>
        <v/>
      </c>
    </row>
    <row r="76" ht="15" customHeight="1">
      <c r="A76" t="inlineStr">
        <is>
          <t>A 5509-2023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44960</v>
      </c>
      <c r="E76" s="1" t="n">
        <v>46289</v>
      </c>
      <c r="F76" t="inlineStr">
        <is>
          <t>SÖDERMANLANDS LÄN</t>
        </is>
      </c>
      <c r="G76" t="inlineStr">
        <is>
          <t>NYKÖPING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Kungsfågel</t>
        </is>
      </c>
      <c r="W76">
        <f>HYPERLINK("https://klasma.github.io/Logging_0480/artfynd/A 5509-2023 artfynd.xlsx", "A 5509-2023")</f>
        <v/>
      </c>
      <c r="X76">
        <f>HYPERLINK("https://klasma.github.io/Logging_0480/kartor/A 5509-2023 karta.png", "A 5509-2023")</f>
        <v/>
      </c>
      <c r="Y76">
        <f>HYPERLINK("https://klasma.github.io/Logging_0480/kartor_geotiff/A 5509-2023 georefererad karta.tif", "A 5509-2023")</f>
        <v/>
      </c>
      <c r="AA76">
        <f>HYPERLINK("https://klasma.github.io/Logging_0480/klagomål/A 5509-2023 FSC-klagomål.docx", "A 5509-2023")</f>
        <v/>
      </c>
      <c r="AB76">
        <f>HYPERLINK("https://klasma.github.io/Logging_0480/klagomålsmail/A 5509-2023 FSC-klagomål mail.docx", "A 5509-2023")</f>
        <v/>
      </c>
      <c r="AC76">
        <f>HYPERLINK("https://klasma.github.io/Logging_0480/tillsyn/A 5509-2023 tillsynsbegäran.docx", "A 5509-2023")</f>
        <v/>
      </c>
      <c r="AD76">
        <f>HYPERLINK("https://klasma.github.io/Logging_0480/tillsynsmail/A 5509-2023 tillsynsbegäran mail.docx", "A 5509-2023")</f>
        <v/>
      </c>
    </row>
    <row r="77" ht="15" customHeight="1">
      <c r="A77" t="inlineStr">
        <is>
          <t>A 28542-2023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46289</v>
      </c>
      <c r="F77" t="inlineStr">
        <is>
          <t>SÖDERMANLANDS LÄN</t>
        </is>
      </c>
      <c r="G77" t="inlineStr">
        <is>
          <t>NYKÖPING</t>
        </is>
      </c>
      <c r="I77" t="n">
        <v>2.8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HYPERLINK("https://klasma.github.io/Logging_0480/artfynd/A 28542-2023 artfynd.xlsx", "A 28542-2023")</f>
        <v/>
      </c>
      <c r="X77">
        <f>HYPERLINK("https://klasma.github.io/Logging_0480/kartor/A 28542-2023 karta.png", "A 28542-2023")</f>
        <v/>
      </c>
      <c r="Y77">
        <f>HYPERLINK("https://klasma.github.io/Logging_0480/kartor_geotiff/A 28542-2023 georefererad karta.tif", "A 28542-2023")</f>
        <v/>
      </c>
      <c r="Z77">
        <f>HYPERLINK("https://klasma.github.io/Logging_0480/knärot/A 28542-2023 karta knärot.png", "A 28542-2023")</f>
        <v/>
      </c>
      <c r="AA77">
        <f>HYPERLINK("https://klasma.github.io/Logging_0480/klagomål/A 28542-2023 FSC-klagomål.docx", "A 28542-2023")</f>
        <v/>
      </c>
      <c r="AB77">
        <f>HYPERLINK("https://klasma.github.io/Logging_0480/klagomålsmail/A 28542-2023 FSC-klagomål mail.docx", "A 28542-2023")</f>
        <v/>
      </c>
      <c r="AC77">
        <f>HYPERLINK("https://klasma.github.io/Logging_0480/tillsyn/A 28542-2023 tillsynsbegäran.docx", "A 28542-2023")</f>
        <v/>
      </c>
      <c r="AD77">
        <f>HYPERLINK("https://klasma.github.io/Logging_0480/tillsynsmail/A 28542-2023 tillsynsbegäran mail.docx", "A 28542-2023")</f>
        <v/>
      </c>
    </row>
    <row r="78" ht="15" customHeight="1">
      <c r="A78" t="inlineStr">
        <is>
          <t>A 8387-2024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46289</v>
      </c>
      <c r="F78" t="inlineStr">
        <is>
          <t>SÖDERMANLANDS LÄN</t>
        </is>
      </c>
      <c r="G78" t="inlineStr">
        <is>
          <t>NYKÖPING</t>
        </is>
      </c>
      <c r="H78" t="inlineStr">
        <is>
          <t>Sveaskog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HYPERLINK("https://klasma.github.io/Logging_0480/artfynd/A 8387-2024 artfynd.xlsx", "A 8387-2024")</f>
        <v/>
      </c>
      <c r="X78">
        <f>HYPERLINK("https://klasma.github.io/Logging_0480/kartor/A 8387-2024 karta.png", "A 8387-2024")</f>
        <v/>
      </c>
      <c r="Y78">
        <f>HYPERLINK("https://klasma.github.io/Logging_0480/kartor_geotiff/A 8387-2024 georefererad karta.tif", "A 8387-2024")</f>
        <v/>
      </c>
      <c r="AA78">
        <f>HYPERLINK("https://klasma.github.io/Logging_0480/klagomål/A 8387-2024 FSC-klagomål.docx", "A 8387-2024")</f>
        <v/>
      </c>
      <c r="AB78">
        <f>HYPERLINK("https://klasma.github.io/Logging_0480/klagomålsmail/A 8387-2024 FSC-klagomål mail.docx", "A 8387-2024")</f>
        <v/>
      </c>
      <c r="AC78">
        <f>HYPERLINK("https://klasma.github.io/Logging_0480/tillsyn/A 8387-2024 tillsynsbegäran.docx", "A 8387-2024")</f>
        <v/>
      </c>
      <c r="AD78">
        <f>HYPERLINK("https://klasma.github.io/Logging_0480/tillsynsmail/A 8387-2024 tillsynsbegäran mail.docx", "A 8387-2024")</f>
        <v/>
      </c>
      <c r="AE78">
        <f>HYPERLINK("https://klasma.github.io/Logging_0480/fåglar/A 8387-2024 prioriterade fågelarter.docx", "A 8387-2024")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46289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20415-2024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46289</v>
      </c>
      <c r="F80" t="inlineStr">
        <is>
          <t>SÖDERMANLANDS LÄN</t>
        </is>
      </c>
      <c r="G80" t="inlineStr">
        <is>
          <t>NYKÖPING</t>
        </is>
      </c>
      <c r="H80" t="inlineStr">
        <is>
          <t>Kommuner</t>
        </is>
      </c>
      <c r="I80" t="n">
        <v>6.4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20415-2024 artfynd.xlsx", "A 20415-2024")</f>
        <v/>
      </c>
      <c r="X80">
        <f>HYPERLINK("https://klasma.github.io/Logging_0480/kartor/A 20415-2024 karta.png", "A 20415-2024")</f>
        <v/>
      </c>
      <c r="Y80">
        <f>HYPERLINK("https://klasma.github.io/Logging_0480/kartor_geotiff/A 20415-2024 georefererad karta.tif", "A 20415-2024")</f>
        <v/>
      </c>
      <c r="AA80">
        <f>HYPERLINK("https://klasma.github.io/Logging_0480/klagomål/A 20415-2024 FSC-klagomål.docx", "A 20415-2024")</f>
        <v/>
      </c>
      <c r="AB80">
        <f>HYPERLINK("https://klasma.github.io/Logging_0480/klagomålsmail/A 20415-2024 FSC-klagomål mail.docx", "A 20415-2024")</f>
        <v/>
      </c>
      <c r="AC80">
        <f>HYPERLINK("https://klasma.github.io/Logging_0480/tillsyn/A 20415-2024 tillsynsbegäran.docx", "A 20415-2024")</f>
        <v/>
      </c>
      <c r="AD80">
        <f>HYPERLINK("https://klasma.github.io/Logging_0480/tillsynsmail/A 20415-2024 tillsynsbegäran mail.docx", "A 20415-2024")</f>
        <v/>
      </c>
      <c r="AE80">
        <f>HYPERLINK("https://klasma.github.io/Logging_0480/fåglar/A 20415-2024 prioriterade fågelarter.docx", "A 20415-2024")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46289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50871-2025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46289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50871-2025 artfynd.xlsx", "A 50871-2025")</f>
        <v/>
      </c>
      <c r="X82">
        <f>HYPERLINK("https://klasma.github.io/Logging_0480/kartor/A 50871-2025 karta.png", "A 50871-2025")</f>
        <v/>
      </c>
      <c r="Y82">
        <f>HYPERLINK("https://klasma.github.io/Logging_0480/kartor_geotiff/A 50871-2025 georefererad karta.tif", "A 50871-2025")</f>
        <v/>
      </c>
      <c r="AA82">
        <f>HYPERLINK("https://klasma.github.io/Logging_0480/klagomål/A 50871-2025 FSC-klagomål.docx", "A 50871-2025")</f>
        <v/>
      </c>
      <c r="AB82">
        <f>HYPERLINK("https://klasma.github.io/Logging_0480/klagomålsmail/A 50871-2025 FSC-klagomål mail.docx", "A 50871-2025")</f>
        <v/>
      </c>
      <c r="AC82">
        <f>HYPERLINK("https://klasma.github.io/Logging_0480/tillsyn/A 50871-2025 tillsynsbegäran.docx", "A 50871-2025")</f>
        <v/>
      </c>
      <c r="AD82">
        <f>HYPERLINK("https://klasma.github.io/Logging_0480/tillsynsmail/A 50871-2025 tillsynsbegäran mail.docx", "A 50871-2025")</f>
        <v/>
      </c>
      <c r="AE82">
        <f>HYPERLINK("https://klasma.github.io/Logging_0480/fåglar/A 50871-2025 prioriterade fågelarter.docx", "A 50871-2025")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46289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46289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28704-2025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46289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Tallticka</t>
        </is>
      </c>
      <c r="W85">
        <f>HYPERLINK("https://klasma.github.io/Logging_0480/artfynd/A 28704-2025 artfynd.xlsx", "A 28704-2025")</f>
        <v/>
      </c>
      <c r="X85">
        <f>HYPERLINK("https://klasma.github.io/Logging_0480/kartor/A 28704-2025 karta.png", "A 28704-2025")</f>
        <v/>
      </c>
      <c r="Y85">
        <f>HYPERLINK("https://klasma.github.io/Logging_0480/kartor_geotiff/A 28704-2025 georefererad karta.tif", "A 28704-2025")</f>
        <v/>
      </c>
      <c r="AA85">
        <f>HYPERLINK("https://klasma.github.io/Logging_0480/klagomål/A 28704-2025 FSC-klagomål.docx", "A 28704-2025")</f>
        <v/>
      </c>
      <c r="AB85">
        <f>HYPERLINK("https://klasma.github.io/Logging_0480/klagomålsmail/A 28704-2025 FSC-klagomål mail.docx", "A 28704-2025")</f>
        <v/>
      </c>
      <c r="AC85">
        <f>HYPERLINK("https://klasma.github.io/Logging_0480/tillsyn/A 28704-2025 tillsynsbegäran.docx", "A 28704-2025")</f>
        <v/>
      </c>
      <c r="AD85">
        <f>HYPERLINK("https://klasma.github.io/Logging_0480/tillsynsmail/A 28704-2025 tillsynsbegäran mail.docx", "A 28704-2025")</f>
        <v/>
      </c>
    </row>
    <row r="86" ht="15" customHeight="1">
      <c r="A86" t="inlineStr">
        <is>
          <t>A 2837-2025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46289</v>
      </c>
      <c r="F86" t="inlineStr">
        <is>
          <t>SÖDERMANLANDS LÄN</t>
        </is>
      </c>
      <c r="G86" t="inlineStr">
        <is>
          <t>NYKÖPING</t>
        </is>
      </c>
      <c r="I86" t="n">
        <v>5.2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0</v>
      </c>
      <c r="V86" s="2" t="inlineStr">
        <is>
          <t>Hasselticka</t>
        </is>
      </c>
      <c r="W86">
        <f>HYPERLINK("https://klasma.github.io/Logging_0480/artfynd/A 2837-2025 artfynd.xlsx", "A 2837-2025")</f>
        <v/>
      </c>
      <c r="X86">
        <f>HYPERLINK("https://klasma.github.io/Logging_0480/kartor/A 2837-2025 karta.png", "A 2837-2025")</f>
        <v/>
      </c>
      <c r="Y86">
        <f>HYPERLINK("https://klasma.github.io/Logging_0480/kartor_geotiff/A 2837-2025 georefererad karta.tif", "A 2837-2025")</f>
        <v/>
      </c>
      <c r="AA86">
        <f>HYPERLINK("https://klasma.github.io/Logging_0480/klagomål/A 2837-2025 FSC-klagomål.docx", "A 2837-2025")</f>
        <v/>
      </c>
      <c r="AB86">
        <f>HYPERLINK("https://klasma.github.io/Logging_0480/klagomålsmail/A 2837-2025 FSC-klagomål mail.docx", "A 2837-2025")</f>
        <v/>
      </c>
      <c r="AC86">
        <f>HYPERLINK("https://klasma.github.io/Logging_0480/tillsyn/A 2837-2025 tillsynsbegäran.docx", "A 2837-2025")</f>
        <v/>
      </c>
      <c r="AD86">
        <f>HYPERLINK("https://klasma.github.io/Logging_0480/tillsynsmail/A 2837-2025 tillsynsbegäran mail.docx", "A 2837-2025")</f>
        <v/>
      </c>
    </row>
    <row r="87" ht="15" customHeight="1">
      <c r="A87" t="inlineStr">
        <is>
          <t>A 9973-2022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46289</v>
      </c>
      <c r="F87" t="inlineStr">
        <is>
          <t>SÖDERMANLANDS LÄN</t>
        </is>
      </c>
      <c r="G87" t="inlineStr">
        <is>
          <t>NYKÖPING</t>
        </is>
      </c>
      <c r="I87" t="n">
        <v>18.3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 sköldmossa</t>
        </is>
      </c>
      <c r="W87">
        <f>HYPERLINK("https://klasma.github.io/Logging_0480/artfynd/A 9973-2022 artfynd.xlsx", "A 9973-2022")</f>
        <v/>
      </c>
      <c r="X87">
        <f>HYPERLINK("https://klasma.github.io/Logging_0480/kartor/A 9973-2022 karta.png", "A 9973-2022")</f>
        <v/>
      </c>
      <c r="Y87">
        <f>HYPERLINK("https://klasma.github.io/Logging_0480/kartor_geotiff/A 9973-2022 georefererad karta.tif", "A 9973-2022")</f>
        <v/>
      </c>
      <c r="AA87">
        <f>HYPERLINK("https://klasma.github.io/Logging_0480/klagomål/A 9973-2022 FSC-klagomål.docx", "A 9973-2022")</f>
        <v/>
      </c>
      <c r="AB87">
        <f>HYPERLINK("https://klasma.github.io/Logging_0480/klagomålsmail/A 9973-2022 FSC-klagomål mail.docx", "A 9973-2022")</f>
        <v/>
      </c>
      <c r="AC87">
        <f>HYPERLINK("https://klasma.github.io/Logging_0480/tillsyn/A 9973-2022 tillsynsbegäran.docx", "A 9973-2022")</f>
        <v/>
      </c>
      <c r="AD87">
        <f>HYPERLINK("https://klasma.github.io/Logging_0480/tillsynsmail/A 9973-2022 tillsynsbegäran mail.docx", "A 9973-2022")</f>
        <v/>
      </c>
    </row>
    <row r="88" ht="15" customHeight="1">
      <c r="A88" t="inlineStr">
        <is>
          <t>A 35122-2023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46289</v>
      </c>
      <c r="F88" t="inlineStr">
        <is>
          <t>SÖDERMANLANDS LÄN</t>
        </is>
      </c>
      <c r="G88" t="inlineStr">
        <is>
          <t>NYKÖPING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35122-2023 artfynd.xlsx", "A 35122-2023")</f>
        <v/>
      </c>
      <c r="X88">
        <f>HYPERLINK("https://klasma.github.io/Logging_0480/kartor/A 35122-2023 karta.png", "A 35122-2023")</f>
        <v/>
      </c>
      <c r="Y88">
        <f>HYPERLINK("https://klasma.github.io/Logging_0480/kartor_geotiff/A 35122-2023 georefererad karta.tif", "A 35122-2023")</f>
        <v/>
      </c>
      <c r="AA88">
        <f>HYPERLINK("https://klasma.github.io/Logging_0480/klagomål/A 35122-2023 FSC-klagomål.docx", "A 35122-2023")</f>
        <v/>
      </c>
      <c r="AB88">
        <f>HYPERLINK("https://klasma.github.io/Logging_0480/klagomålsmail/A 35122-2023 FSC-klagomål mail.docx", "A 35122-2023")</f>
        <v/>
      </c>
      <c r="AC88">
        <f>HYPERLINK("https://klasma.github.io/Logging_0480/tillsyn/A 35122-2023 tillsynsbegäran.docx", "A 35122-2023")</f>
        <v/>
      </c>
      <c r="AD88">
        <f>HYPERLINK("https://klasma.github.io/Logging_0480/tillsynsmail/A 35122-2023 tillsynsbegäran mail.docx", "A 35122-2023")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46289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63423-2025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46289</v>
      </c>
      <c r="F90" t="inlineStr">
        <is>
          <t>SÖDERMANLANDS LÄN</t>
        </is>
      </c>
      <c r="G90" t="inlineStr">
        <is>
          <t>NYKÖPING</t>
        </is>
      </c>
      <c r="I90" t="n">
        <v>7.4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HYPERLINK("https://klasma.github.io/Logging_0480/artfynd/A 63423-2025 artfynd.xlsx", "A 63423-2025")</f>
        <v/>
      </c>
      <c r="X90">
        <f>HYPERLINK("https://klasma.github.io/Logging_0480/kartor/A 63423-2025 karta.png", "A 63423-2025")</f>
        <v/>
      </c>
      <c r="Y90">
        <f>HYPERLINK("https://klasma.github.io/Logging_0480/kartor_geotiff/A 63423-2025 georefererad karta.tif", "A 63423-2025")</f>
        <v/>
      </c>
      <c r="AA90">
        <f>HYPERLINK("https://klasma.github.io/Logging_0480/klagomål/A 63423-2025 FSC-klagomål.docx", "A 63423-2025")</f>
        <v/>
      </c>
      <c r="AB90">
        <f>HYPERLINK("https://klasma.github.io/Logging_0480/klagomålsmail/A 63423-2025 FSC-klagomål mail.docx", "A 63423-2025")</f>
        <v/>
      </c>
      <c r="AC90">
        <f>HYPERLINK("https://klasma.github.io/Logging_0480/tillsyn/A 63423-2025 tillsynsbegäran.docx", "A 63423-2025")</f>
        <v/>
      </c>
      <c r="AD90">
        <f>HYPERLINK("https://klasma.github.io/Logging_0480/tillsynsmail/A 63423-2025 tillsynsbegäran mail.docx", "A 63423-2025")</f>
        <v/>
      </c>
    </row>
    <row r="91" ht="15" customHeight="1">
      <c r="A91" t="inlineStr">
        <is>
          <t>A 4305-2026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46289</v>
      </c>
      <c r="F91" t="inlineStr">
        <is>
          <t>SÖDERMANLANDS LÄN</t>
        </is>
      </c>
      <c r="G91" t="inlineStr">
        <is>
          <t>NYKÖPING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Tallticka</t>
        </is>
      </c>
      <c r="W91">
        <f>HYPERLINK("https://klasma.github.io/Logging_0480/artfynd/A 4305-2026 artfynd.xlsx", "A 4305-2026")</f>
        <v/>
      </c>
      <c r="X91">
        <f>HYPERLINK("https://klasma.github.io/Logging_0480/kartor/A 4305-2026 karta.png", "A 4305-2026")</f>
        <v/>
      </c>
      <c r="Y91">
        <f>HYPERLINK("https://klasma.github.io/Logging_0480/kartor_geotiff/A 4305-2026 georefererad karta.tif", "A 4305-2026")</f>
        <v/>
      </c>
      <c r="AA91">
        <f>HYPERLINK("https://klasma.github.io/Logging_0480/klagomål/A 4305-2026 FSC-klagomål.docx", "A 4305-2026")</f>
        <v/>
      </c>
      <c r="AB91">
        <f>HYPERLINK("https://klasma.github.io/Logging_0480/klagomålsmail/A 4305-2026 FSC-klagomål mail.docx", "A 4305-2026")</f>
        <v/>
      </c>
      <c r="AC91">
        <f>HYPERLINK("https://klasma.github.io/Logging_0480/tillsyn/A 4305-2026 tillsynsbegäran.docx", "A 4305-2026")</f>
        <v/>
      </c>
      <c r="AD91">
        <f>HYPERLINK("https://klasma.github.io/Logging_0480/tillsynsmail/A 4305-2026 tillsynsbegäran mail.docx", "A 4305-2026")</f>
        <v/>
      </c>
    </row>
    <row r="92" ht="15" customHeight="1">
      <c r="A92" t="inlineStr">
        <is>
          <t>A 32627-2026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46240</v>
      </c>
      <c r="E92" s="1" t="n">
        <v>46289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HYPERLINK("https://klasma.github.io/Logging_0480/artfynd/A 32627-2026 artfynd.xlsx", "A 32627-2026")</f>
        <v/>
      </c>
      <c r="X92">
        <f>HYPERLINK("https://klasma.github.io/Logging_0480/kartor/A 32627-2026 karta.png", "A 32627-2026")</f>
        <v/>
      </c>
      <c r="Y92">
        <f>HYPERLINK("https://klasma.github.io/Logging_0480/kartor_geotiff/A 32627-2026 georefererad karta.tif", "A 32627-2026")</f>
        <v/>
      </c>
      <c r="AA92">
        <f>HYPERLINK("https://klasma.github.io/Logging_0480/klagomål/A 32627-2026 FSC-klagomål.docx", "A 32627-2026")</f>
        <v/>
      </c>
      <c r="AB92">
        <f>HYPERLINK("https://klasma.github.io/Logging_0480/klagomålsmail/A 32627-2026 FSC-klagomål mail.docx", "A 32627-2026")</f>
        <v/>
      </c>
      <c r="AC92">
        <f>HYPERLINK("https://klasma.github.io/Logging_0480/tillsyn/A 32627-2026 tillsynsbegäran.docx", "A 32627-2026")</f>
        <v/>
      </c>
      <c r="AD92">
        <f>HYPERLINK("https://klasma.github.io/Logging_0480/tillsynsmail/A 32627-2026 tillsynsbegäran mail.docx", "A 32627-2026")</f>
        <v/>
      </c>
    </row>
    <row r="93" ht="15" customHeight="1">
      <c r="A93" t="inlineStr">
        <is>
          <t>A 10886-2026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46289</v>
      </c>
      <c r="F93" t="inlineStr">
        <is>
          <t>SÖDERMANLANDS LÄN</t>
        </is>
      </c>
      <c r="G93" t="inlineStr">
        <is>
          <t>NYKÖPING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Tibast</t>
        </is>
      </c>
      <c r="W93">
        <f>HYPERLINK("https://klasma.github.io/Logging_0480/artfynd/A 10886-2026 artfynd.xlsx", "A 10886-2026")</f>
        <v/>
      </c>
      <c r="X93">
        <f>HYPERLINK("https://klasma.github.io/Logging_0480/kartor/A 10886-2026 karta.png", "A 10886-2026")</f>
        <v/>
      </c>
      <c r="Y93">
        <f>HYPERLINK("https://klasma.github.io/Logging_0480/kartor_geotiff/A 10886-2026 georefererad karta.tif", "A 10886-2026")</f>
        <v/>
      </c>
      <c r="AA93">
        <f>HYPERLINK("https://klasma.github.io/Logging_0480/klagomål/A 10886-2026 FSC-klagomål.docx", "A 10886-2026")</f>
        <v/>
      </c>
      <c r="AB93">
        <f>HYPERLINK("https://klasma.github.io/Logging_0480/klagomålsmail/A 10886-2026 FSC-klagomål mail.docx", "A 10886-2026")</f>
        <v/>
      </c>
      <c r="AC93">
        <f>HYPERLINK("https://klasma.github.io/Logging_0480/tillsyn/A 10886-2026 tillsynsbegäran.docx", "A 10886-2026")</f>
        <v/>
      </c>
      <c r="AD93">
        <f>HYPERLINK("https://klasma.github.io/Logging_0480/tillsynsmail/A 10886-2026 tillsynsbegäran mail.docx", "A 10886-2026")</f>
        <v/>
      </c>
    </row>
    <row r="94" ht="15" customHeight="1">
      <c r="A94" t="inlineStr">
        <is>
          <t>A 7270-2025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45702</v>
      </c>
      <c r="E94" s="1" t="n">
        <v>46289</v>
      </c>
      <c r="F94" t="inlineStr">
        <is>
          <t>SÖDERMANLANDS LÄN</t>
        </is>
      </c>
      <c r="G94" t="inlineStr">
        <is>
          <t>NYKÖPING</t>
        </is>
      </c>
      <c r="H94" t="inlineStr">
        <is>
          <t>Övriga Aktiebolag</t>
        </is>
      </c>
      <c r="I94" t="n">
        <v>1.2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Järpe</t>
        </is>
      </c>
      <c r="W94">
        <f>HYPERLINK("https://klasma.github.io/Logging_0480/artfynd/A 7270-2025 artfynd.xlsx", "A 7270-2025")</f>
        <v/>
      </c>
      <c r="X94">
        <f>HYPERLINK("https://klasma.github.io/Logging_0480/kartor/A 7270-2025 karta.png", "A 7270-2025")</f>
        <v/>
      </c>
      <c r="Y94">
        <f>HYPERLINK("https://klasma.github.io/Logging_0480/kartor_geotiff/A 7270-2025 georefererad karta.tif", "A 7270-2025")</f>
        <v/>
      </c>
      <c r="AA94">
        <f>HYPERLINK("https://klasma.github.io/Logging_0480/klagomål/A 7270-2025 FSC-klagomål.docx", "A 7270-2025")</f>
        <v/>
      </c>
      <c r="AB94">
        <f>HYPERLINK("https://klasma.github.io/Logging_0480/klagomålsmail/A 7270-2025 FSC-klagomål mail.docx", "A 7270-2025")</f>
        <v/>
      </c>
      <c r="AC94">
        <f>HYPERLINK("https://klasma.github.io/Logging_0480/tillsyn/A 7270-2025 tillsynsbegäran.docx", "A 7270-2025")</f>
        <v/>
      </c>
      <c r="AD94">
        <f>HYPERLINK("https://klasma.github.io/Logging_0480/tillsynsmail/A 7270-2025 tillsynsbegäran mail.docx", "A 7270-2025")</f>
        <v/>
      </c>
      <c r="AE94">
        <f>HYPERLINK("https://klasma.github.io/Logging_0480/fåglar/A 7270-2025 prioriterade fågelarter.docx", "A 7270-2025")</f>
        <v/>
      </c>
    </row>
    <row r="95" ht="15" customHeight="1">
      <c r="A95" t="inlineStr">
        <is>
          <t>A 4903-2022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46289</v>
      </c>
      <c r="F95" t="inlineStr">
        <is>
          <t>SÖDERMANLANDS LÄN</t>
        </is>
      </c>
      <c r="G95" t="inlineStr">
        <is>
          <t>NYKÖPING</t>
        </is>
      </c>
      <c r="I95" t="n">
        <v>2.7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HYPERLINK("https://klasma.github.io/Logging_0480/artfynd/A 4903-2022 artfynd.xlsx", "A 4903-2022")</f>
        <v/>
      </c>
      <c r="X95">
        <f>HYPERLINK("https://klasma.github.io/Logging_0480/kartor/A 4903-2022 karta.png", "A 4903-2022")</f>
        <v/>
      </c>
      <c r="Y95">
        <f>HYPERLINK("https://klasma.github.io/Logging_0480/kartor_geotiff/A 4903-2022 georefererad karta.tif", "A 4903-2022")</f>
        <v/>
      </c>
      <c r="Z95">
        <f>HYPERLINK("https://klasma.github.io/Logging_0480/knärot/A 4903-2022 karta knärot.png", "A 4903-2022")</f>
        <v/>
      </c>
      <c r="AA95">
        <f>HYPERLINK("https://klasma.github.io/Logging_0480/klagomål/A 4903-2022 FSC-klagomål.docx", "A 4903-2022")</f>
        <v/>
      </c>
      <c r="AB95">
        <f>HYPERLINK("https://klasma.github.io/Logging_0480/klagomålsmail/A 4903-2022 FSC-klagomål mail.docx", "A 4903-2022")</f>
        <v/>
      </c>
      <c r="AC95">
        <f>HYPERLINK("https://klasma.github.io/Logging_0480/tillsyn/A 4903-2022 tillsynsbegäran.docx", "A 4903-2022")</f>
        <v/>
      </c>
      <c r="AD95">
        <f>HYPERLINK("https://klasma.github.io/Logging_0480/tillsynsmail/A 4903-2022 tillsynsbegäran mail.docx", "A 4903-2022")</f>
        <v/>
      </c>
    </row>
    <row r="96" ht="15" customHeight="1">
      <c r="A96" t="inlineStr">
        <is>
          <t>A 52684-2021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44466</v>
      </c>
      <c r="E96" s="1" t="n">
        <v>46289</v>
      </c>
      <c r="F96" t="inlineStr">
        <is>
          <t>SÖDERMANLANDS LÄN</t>
        </is>
      </c>
      <c r="G96" t="inlineStr">
        <is>
          <t>NYKÖPING</t>
        </is>
      </c>
      <c r="I96" t="n">
        <v>1.3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Kråka</t>
        </is>
      </c>
      <c r="W96">
        <f>HYPERLINK("https://klasma.github.io/Logging_0480/artfynd/A 52684-2021 artfynd.xlsx", "A 52684-2021")</f>
        <v/>
      </c>
      <c r="X96">
        <f>HYPERLINK("https://klasma.github.io/Logging_0480/kartor/A 52684-2021 karta.png", "A 52684-2021")</f>
        <v/>
      </c>
      <c r="Y96">
        <f>HYPERLINK("https://klasma.github.io/Logging_0480/kartor_geotiff/A 52684-2021 georefererad karta.tif", "A 52684-2021")</f>
        <v/>
      </c>
      <c r="AA96">
        <f>HYPERLINK("https://klasma.github.io/Logging_0480/klagomål/A 52684-2021 FSC-klagomål.docx", "A 52684-2021")</f>
        <v/>
      </c>
      <c r="AB96">
        <f>HYPERLINK("https://klasma.github.io/Logging_0480/klagomålsmail/A 52684-2021 FSC-klagomål mail.docx", "A 52684-2021")</f>
        <v/>
      </c>
      <c r="AC96">
        <f>HYPERLINK("https://klasma.github.io/Logging_0480/tillsyn/A 52684-2021 tillsynsbegäran.docx", "A 52684-2021")</f>
        <v/>
      </c>
      <c r="AD96">
        <f>HYPERLINK("https://klasma.github.io/Logging_0480/tillsynsmail/A 52684-2021 tillsynsbegäran mail.docx", "A 52684-2021")</f>
        <v/>
      </c>
    </row>
    <row r="97" ht="15" customHeight="1">
      <c r="A97" t="inlineStr">
        <is>
          <t>A 65889-2021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46289</v>
      </c>
      <c r="F97" t="inlineStr">
        <is>
          <t>SÖDERMANLANDS LÄN</t>
        </is>
      </c>
      <c r="G97" t="inlineStr">
        <is>
          <t>NYKÖPING</t>
        </is>
      </c>
      <c r="I97" t="n">
        <v>4.8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Backstarr</t>
        </is>
      </c>
      <c r="W97">
        <f>HYPERLINK("https://klasma.github.io/Logging_0480/artfynd/A 65889-2021 artfynd.xlsx", "A 65889-2021")</f>
        <v/>
      </c>
      <c r="X97">
        <f>HYPERLINK("https://klasma.github.io/Logging_0480/kartor/A 65889-2021 karta.png", "A 65889-2021")</f>
        <v/>
      </c>
      <c r="Y97">
        <f>HYPERLINK("https://klasma.github.io/Logging_0480/kartor_geotiff/A 65889-2021 georefererad karta.tif", "A 65889-2021")</f>
        <v/>
      </c>
      <c r="AA97">
        <f>HYPERLINK("https://klasma.github.io/Logging_0480/klagomål/A 65889-2021 FSC-klagomål.docx", "A 65889-2021")</f>
        <v/>
      </c>
      <c r="AB97">
        <f>HYPERLINK("https://klasma.github.io/Logging_0480/klagomålsmail/A 65889-2021 FSC-klagomål mail.docx", "A 65889-2021")</f>
        <v/>
      </c>
      <c r="AC97">
        <f>HYPERLINK("https://klasma.github.io/Logging_0480/tillsyn/A 65889-2021 tillsynsbegäran.docx", "A 65889-2021")</f>
        <v/>
      </c>
      <c r="AD97">
        <f>HYPERLINK("https://klasma.github.io/Logging_0480/tillsynsmail/A 65889-2021 tillsynsbegäran mail.docx", "A 65889-2021")</f>
        <v/>
      </c>
    </row>
    <row r="98" ht="15" customHeight="1">
      <c r="A98" t="inlineStr">
        <is>
          <t>A 13724-2024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46289</v>
      </c>
      <c r="F98" t="inlineStr">
        <is>
          <t>SÖDERMANLANDS LÄN</t>
        </is>
      </c>
      <c r="G98" t="inlineStr">
        <is>
          <t>NYKÖPING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Dropptaggsvamp</t>
        </is>
      </c>
      <c r="W98">
        <f>HYPERLINK("https://klasma.github.io/Logging_0480/artfynd/A 13724-2024 artfynd.xlsx", "A 13724-2024")</f>
        <v/>
      </c>
      <c r="X98">
        <f>HYPERLINK("https://klasma.github.io/Logging_0480/kartor/A 13724-2024 karta.png", "A 13724-2024")</f>
        <v/>
      </c>
      <c r="Y98">
        <f>HYPERLINK("https://klasma.github.io/Logging_0480/kartor_geotiff/A 13724-2024 georefererad karta.tif", "A 13724-2024")</f>
        <v/>
      </c>
      <c r="AA98">
        <f>HYPERLINK("https://klasma.github.io/Logging_0480/klagomål/A 13724-2024 FSC-klagomål.docx", "A 13724-2024")</f>
        <v/>
      </c>
      <c r="AB98">
        <f>HYPERLINK("https://klasma.github.io/Logging_0480/klagomålsmail/A 13724-2024 FSC-klagomål mail.docx", "A 13724-2024")</f>
        <v/>
      </c>
      <c r="AC98">
        <f>HYPERLINK("https://klasma.github.io/Logging_0480/tillsyn/A 13724-2024 tillsynsbegäran.docx", "A 13724-2024")</f>
        <v/>
      </c>
      <c r="AD98">
        <f>HYPERLINK("https://klasma.github.io/Logging_0480/tillsynsmail/A 13724-2024 tillsynsbegäran mail.docx", "A 13724-2024")</f>
        <v/>
      </c>
    </row>
    <row r="99" ht="15" customHeight="1">
      <c r="A99" t="inlineStr">
        <is>
          <t>A 2829-2025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46289</v>
      </c>
      <c r="F99" t="inlineStr">
        <is>
          <t>SÖDERMANLANDS LÄN</t>
        </is>
      </c>
      <c r="G99" t="inlineStr">
        <is>
          <t>NYKÖPING</t>
        </is>
      </c>
      <c r="H99" t="inlineStr">
        <is>
          <t>Allmännings- och besparingsskogar</t>
        </is>
      </c>
      <c r="I99" t="n">
        <v>12.1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Nattskärra</t>
        </is>
      </c>
      <c r="W99">
        <f>HYPERLINK("https://klasma.github.io/Logging_0480/artfynd/A 2829-2025 artfynd.xlsx", "A 2829-2025")</f>
        <v/>
      </c>
      <c r="X99">
        <f>HYPERLINK("https://klasma.github.io/Logging_0480/kartor/A 2829-2025 karta.png", "A 2829-2025")</f>
        <v/>
      </c>
      <c r="Y99">
        <f>HYPERLINK("https://klasma.github.io/Logging_0480/kartor_geotiff/A 2829-2025 georefererad karta.tif", "A 2829-2025")</f>
        <v/>
      </c>
      <c r="AA99">
        <f>HYPERLINK("https://klasma.github.io/Logging_0480/klagomål/A 2829-2025 FSC-klagomål.docx", "A 2829-2025")</f>
        <v/>
      </c>
      <c r="AB99">
        <f>HYPERLINK("https://klasma.github.io/Logging_0480/klagomålsmail/A 2829-2025 FSC-klagomål mail.docx", "A 2829-2025")</f>
        <v/>
      </c>
      <c r="AC99">
        <f>HYPERLINK("https://klasma.github.io/Logging_0480/tillsyn/A 2829-2025 tillsynsbegäran.docx", "A 2829-2025")</f>
        <v/>
      </c>
      <c r="AD99">
        <f>HYPERLINK("https://klasma.github.io/Logging_0480/tillsynsmail/A 2829-2025 tillsynsbegäran mail.docx", "A 2829-2025")</f>
        <v/>
      </c>
      <c r="AE99">
        <f>HYPERLINK("https://klasma.github.io/Logging_0480/fåglar/A 2829-2025 prioriterade fågelarter.docx", "A 2829-2025")</f>
        <v/>
      </c>
    </row>
    <row r="100" ht="15" customHeight="1">
      <c r="A100" t="inlineStr">
        <is>
          <t>A 20425-2024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46289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Skogsalm</t>
        </is>
      </c>
      <c r="W100">
        <f>HYPERLINK("https://klasma.github.io/Logging_0480/artfynd/A 20425-2024 artfynd.xlsx", "A 20425-2024")</f>
        <v/>
      </c>
      <c r="X100">
        <f>HYPERLINK("https://klasma.github.io/Logging_0480/kartor/A 20425-2024 karta.png", "A 20425-2024")</f>
        <v/>
      </c>
      <c r="Y100">
        <f>HYPERLINK("https://klasma.github.io/Logging_0480/kartor_geotiff/A 20425-2024 georefererad karta.tif", "A 20425-2024")</f>
        <v/>
      </c>
      <c r="AA100">
        <f>HYPERLINK("https://klasma.github.io/Logging_0480/klagomål/A 20425-2024 FSC-klagomål.docx", "A 20425-2024")</f>
        <v/>
      </c>
      <c r="AB100">
        <f>HYPERLINK("https://klasma.github.io/Logging_0480/klagomålsmail/A 20425-2024 FSC-klagomål mail.docx", "A 20425-2024")</f>
        <v/>
      </c>
      <c r="AC100">
        <f>HYPERLINK("https://klasma.github.io/Logging_0480/tillsyn/A 20425-2024 tillsynsbegäran.docx", "A 20425-2024")</f>
        <v/>
      </c>
      <c r="AD100">
        <f>HYPERLINK("https://klasma.github.io/Logging_0480/tillsynsmail/A 20425-2024 tillsynsbegäran mail.docx", "A 20425-2024")</f>
        <v/>
      </c>
    </row>
    <row r="101" ht="15" customHeight="1">
      <c r="A101" t="inlineStr">
        <is>
          <t>A 20325-2023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46289</v>
      </c>
      <c r="F101" t="inlineStr">
        <is>
          <t>SÖDERMANLANDS LÄN</t>
        </is>
      </c>
      <c r="G101" t="inlineStr">
        <is>
          <t>NYKÖPING</t>
        </is>
      </c>
      <c r="I101" t="n">
        <v>0.2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Kamjordstjärna</t>
        </is>
      </c>
      <c r="W101">
        <f>HYPERLINK("https://klasma.github.io/Logging_0480/artfynd/A 20325-2023 artfynd.xlsx", "A 20325-2023")</f>
        <v/>
      </c>
      <c r="X101">
        <f>HYPERLINK("https://klasma.github.io/Logging_0480/kartor/A 20325-2023 karta.png", "A 20325-2023")</f>
        <v/>
      </c>
      <c r="Y101">
        <f>HYPERLINK("https://klasma.github.io/Logging_0480/kartor_geotiff/A 20325-2023 georefererad karta.tif", "A 20325-2023")</f>
        <v/>
      </c>
      <c r="AA101">
        <f>HYPERLINK("https://klasma.github.io/Logging_0480/klagomål/A 20325-2023 FSC-klagomål.docx", "A 20325-2023")</f>
        <v/>
      </c>
      <c r="AB101">
        <f>HYPERLINK("https://klasma.github.io/Logging_0480/klagomålsmail/A 20325-2023 FSC-klagomål mail.docx", "A 20325-2023")</f>
        <v/>
      </c>
      <c r="AC101">
        <f>HYPERLINK("https://klasma.github.io/Logging_0480/tillsyn/A 20325-2023 tillsynsbegäran.docx", "A 20325-2023")</f>
        <v/>
      </c>
      <c r="AD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59329-2023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45252</v>
      </c>
      <c r="E102" s="1" t="n">
        <v>46289</v>
      </c>
      <c r="F102" t="inlineStr">
        <is>
          <t>SÖDERMANLANDS LÄN</t>
        </is>
      </c>
      <c r="G102" t="inlineStr">
        <is>
          <t>NYKÖPING</t>
        </is>
      </c>
      <c r="I102" t="n">
        <v>22.1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59329-2023 artfynd.xlsx", "A 59329-2023")</f>
        <v/>
      </c>
      <c r="X102">
        <f>HYPERLINK("https://klasma.github.io/Logging_0480/kartor/A 59329-2023 karta.png", "A 59329-2023")</f>
        <v/>
      </c>
      <c r="Y102">
        <f>HYPERLINK("https://klasma.github.io/Logging_0480/kartor_geotiff/A 59329-2023 georefererad karta.tif", "A 59329-2023")</f>
        <v/>
      </c>
      <c r="AA102">
        <f>HYPERLINK("https://klasma.github.io/Logging_0480/klagomål/A 59329-2023 FSC-klagomål.docx", "A 59329-2023")</f>
        <v/>
      </c>
      <c r="AB102">
        <f>HYPERLINK("https://klasma.github.io/Logging_0480/klagomålsmail/A 59329-2023 FSC-klagomål mail.docx", "A 59329-2023")</f>
        <v/>
      </c>
      <c r="AC102">
        <f>HYPERLINK("https://klasma.github.io/Logging_0480/tillsyn/A 59329-2023 tillsynsbegäran.docx", "A 59329-2023")</f>
        <v/>
      </c>
      <c r="AD102">
        <f>HYPERLINK("https://klasma.github.io/Logging_0480/tillsynsmail/A 59329-2023 tillsynsbegäran mail.docx", "A 59329-2023")</f>
        <v/>
      </c>
    </row>
    <row r="103" ht="15" customHeight="1">
      <c r="A103" t="inlineStr">
        <is>
          <t>A 1105-2023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46289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Skuggblåslav</t>
        </is>
      </c>
      <c r="W103">
        <f>HYPERLINK("https://klasma.github.io/Logging_0480/artfynd/A 1105-2023 artfynd.xlsx", "A 1105-2023")</f>
        <v/>
      </c>
      <c r="X103">
        <f>HYPERLINK("https://klasma.github.io/Logging_0480/kartor/A 1105-2023 karta.png", "A 1105-2023")</f>
        <v/>
      </c>
      <c r="Y103">
        <f>HYPERLINK("https://klasma.github.io/Logging_0480/kartor_geotiff/A 1105-2023 georefererad karta.tif", "A 1105-2023")</f>
        <v/>
      </c>
      <c r="AA103">
        <f>HYPERLINK("https://klasma.github.io/Logging_0480/klagomål/A 1105-2023 FSC-klagomål.docx", "A 1105-2023")</f>
        <v/>
      </c>
      <c r="AB103">
        <f>HYPERLINK("https://klasma.github.io/Logging_0480/klagomålsmail/A 1105-2023 FSC-klagomål mail.docx", "A 1105-2023")</f>
        <v/>
      </c>
      <c r="AC103">
        <f>HYPERLINK("https://klasma.github.io/Logging_0480/tillsyn/A 1105-2023 tillsynsbegäran.docx", "A 1105-2023")</f>
        <v/>
      </c>
      <c r="AD103">
        <f>HYPERLINK("https://klasma.github.io/Logging_0480/tillsynsmail/A 1105-2023 tillsynsbegäran mail.docx", "A 1105-2023")</f>
        <v/>
      </c>
    </row>
    <row r="104" ht="15" customHeight="1">
      <c r="A104" t="inlineStr">
        <is>
          <t>A 51258-2024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45603</v>
      </c>
      <c r="E104" s="1" t="n">
        <v>46289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2.6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51258-2024 artfynd.xlsx", "A 51258-2024")</f>
        <v/>
      </c>
      <c r="X104">
        <f>HYPERLINK("https://klasma.github.io/Logging_0480/kartor/A 51258-2024 karta.png", "A 51258-2024")</f>
        <v/>
      </c>
      <c r="Y104">
        <f>HYPERLINK("https://klasma.github.io/Logging_0480/kartor_geotiff/A 51258-2024 georefererad karta.tif", "A 51258-2024")</f>
        <v/>
      </c>
      <c r="AA104">
        <f>HYPERLINK("https://klasma.github.io/Logging_0480/klagomål/A 51258-2024 FSC-klagomål.docx", "A 51258-2024")</f>
        <v/>
      </c>
      <c r="AB104">
        <f>HYPERLINK("https://klasma.github.io/Logging_0480/klagomålsmail/A 51258-2024 FSC-klagomål mail.docx", "A 51258-2024")</f>
        <v/>
      </c>
      <c r="AC104">
        <f>HYPERLINK("https://klasma.github.io/Logging_0480/tillsyn/A 51258-2024 tillsynsbegäran.docx", "A 51258-2024")</f>
        <v/>
      </c>
      <c r="AD104">
        <f>HYPERLINK("https://klasma.github.io/Logging_0480/tillsynsmail/A 51258-2024 tillsynsbegäran mail.docx", "A 51258-2024")</f>
        <v/>
      </c>
    </row>
    <row r="105" ht="15" customHeight="1">
      <c r="A105" t="inlineStr">
        <is>
          <t>A 21129-2024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45440</v>
      </c>
      <c r="E105" s="1" t="n">
        <v>46289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Kommuner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Liljekonvalj</t>
        </is>
      </c>
      <c r="W105">
        <f>HYPERLINK("https://klasma.github.io/Logging_0480/artfynd/A 21129-2024 artfynd.xlsx", "A 21129-2024")</f>
        <v/>
      </c>
      <c r="X105">
        <f>HYPERLINK("https://klasma.github.io/Logging_0480/kartor/A 21129-2024 karta.png", "A 21129-2024")</f>
        <v/>
      </c>
      <c r="Y105">
        <f>HYPERLINK("https://klasma.github.io/Logging_0480/kartor_geotiff/A 21129-2024 georefererad karta.tif", "A 21129-2024")</f>
        <v/>
      </c>
      <c r="AA105">
        <f>HYPERLINK("https://klasma.github.io/Logging_0480/klagomål/A 21129-2024 FSC-klagomål.docx", "A 21129-2024")</f>
        <v/>
      </c>
      <c r="AB105">
        <f>HYPERLINK("https://klasma.github.io/Logging_0480/klagomålsmail/A 21129-2024 FSC-klagomål mail.docx", "A 21129-2024")</f>
        <v/>
      </c>
      <c r="AC105">
        <f>HYPERLINK("https://klasma.github.io/Logging_0480/tillsyn/A 21129-2024 tillsynsbegäran.docx", "A 21129-2024")</f>
        <v/>
      </c>
      <c r="AD105">
        <f>HYPERLINK("https://klasma.github.io/Logging_0480/tillsynsmail/A 21129-2024 tillsynsbegäran mail.docx", "A 21129-2024")</f>
        <v/>
      </c>
    </row>
    <row r="106" ht="15" customHeight="1">
      <c r="A106" t="inlineStr">
        <is>
          <t>A 21021-2026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46145</v>
      </c>
      <c r="E106" s="1" t="n">
        <v>46289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HYPERLINK("https://klasma.github.io/Logging_0480/artfynd/A 21021-2026 artfynd.xlsx", "A 21021-2026")</f>
        <v/>
      </c>
      <c r="X106">
        <f>HYPERLINK("https://klasma.github.io/Logging_0480/kartor/A 21021-2026 karta.png", "A 21021-2026")</f>
        <v/>
      </c>
      <c r="Y106">
        <f>HYPERLINK("https://klasma.github.io/Logging_0480/kartor_geotiff/A 21021-2026 georefererad karta.tif", "A 21021-2026")</f>
        <v/>
      </c>
      <c r="AA106">
        <f>HYPERLINK("https://klasma.github.io/Logging_0480/klagomål/A 21021-2026 FSC-klagomål.docx", "A 21021-2026")</f>
        <v/>
      </c>
      <c r="AB106">
        <f>HYPERLINK("https://klasma.github.io/Logging_0480/klagomålsmail/A 21021-2026 FSC-klagomål mail.docx", "A 21021-2026")</f>
        <v/>
      </c>
      <c r="AC106">
        <f>HYPERLINK("https://klasma.github.io/Logging_0480/tillsyn/A 21021-2026 tillsynsbegäran.docx", "A 21021-2026")</f>
        <v/>
      </c>
      <c r="AD106">
        <f>HYPERLINK("https://klasma.github.io/Logging_0480/tillsynsmail/A 21021-2026 tillsynsbegäran mail.docx", "A 21021-2026")</f>
        <v/>
      </c>
    </row>
    <row r="107" ht="15" customHeight="1">
      <c r="A107" t="inlineStr">
        <is>
          <t>A 22495-2026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46155</v>
      </c>
      <c r="E107" s="1" t="n">
        <v>46289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Vedticka</t>
        </is>
      </c>
      <c r="W107">
        <f>HYPERLINK("https://klasma.github.io/Logging_0480/artfynd/A 22495-2026 artfynd.xlsx", "A 22495-2026")</f>
        <v/>
      </c>
      <c r="X107">
        <f>HYPERLINK("https://klasma.github.io/Logging_0480/kartor/A 22495-2026 karta.png", "A 22495-2026")</f>
        <v/>
      </c>
      <c r="Y107">
        <f>HYPERLINK("https://klasma.github.io/Logging_0480/kartor_geotiff/A 22495-2026 georefererad karta.tif", "A 22495-2026")</f>
        <v/>
      </c>
      <c r="AA107">
        <f>HYPERLINK("https://klasma.github.io/Logging_0480/klagomål/A 22495-2026 FSC-klagomål.docx", "A 22495-2026")</f>
        <v/>
      </c>
      <c r="AB107">
        <f>HYPERLINK("https://klasma.github.io/Logging_0480/klagomålsmail/A 22495-2026 FSC-klagomål mail.docx", "A 22495-2026")</f>
        <v/>
      </c>
      <c r="AC107">
        <f>HYPERLINK("https://klasma.github.io/Logging_0480/tillsyn/A 22495-2026 tillsynsbegäran.docx", "A 22495-2026")</f>
        <v/>
      </c>
      <c r="AD107">
        <f>HYPERLINK("https://klasma.github.io/Logging_0480/tillsynsmail/A 22495-2026 tillsynsbegäran mail.docx", "A 22495-2026")</f>
        <v/>
      </c>
    </row>
    <row r="108" ht="15" customHeight="1">
      <c r="A108" t="inlineStr">
        <is>
          <t>A 5385-2026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46289</v>
      </c>
      <c r="F108" t="inlineStr">
        <is>
          <t>SÖDERMANLANDS LÄN</t>
        </is>
      </c>
      <c r="G108" t="inlineStr">
        <is>
          <t>NYKÖPING</t>
        </is>
      </c>
      <c r="I108" t="n">
        <v>3.5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HYPERLINK("https://klasma.github.io/Logging_0480/artfynd/A 5385-2026 artfynd.xlsx", "A 5385-2026")</f>
        <v/>
      </c>
      <c r="X108">
        <f>HYPERLINK("https://klasma.github.io/Logging_0480/kartor/A 5385-2026 karta.png", "A 5385-2026")</f>
        <v/>
      </c>
      <c r="Y108">
        <f>HYPERLINK("https://klasma.github.io/Logging_0480/kartor_geotiff/A 5385-2026 georefererad karta.tif", "A 5385-2026")</f>
        <v/>
      </c>
      <c r="AA108">
        <f>HYPERLINK("https://klasma.github.io/Logging_0480/klagomål/A 5385-2026 FSC-klagomål.docx", "A 5385-2026")</f>
        <v/>
      </c>
      <c r="AB108">
        <f>HYPERLINK("https://klasma.github.io/Logging_0480/klagomålsmail/A 5385-2026 FSC-klagomål mail.docx", "A 5385-2026")</f>
        <v/>
      </c>
      <c r="AC108">
        <f>HYPERLINK("https://klasma.github.io/Logging_0480/tillsyn/A 5385-2026 tillsynsbegäran.docx", "A 5385-2026")</f>
        <v/>
      </c>
      <c r="AD108">
        <f>HYPERLINK("https://klasma.github.io/Logging_0480/tillsynsmail/A 5385-2026 tillsynsbegäran mail.docx", "A 5385-2026")</f>
        <v/>
      </c>
      <c r="AE108">
        <f>HYPERLINK("https://klasma.github.io/Logging_0480/fåglar/A 5385-2026 prioriterade fågelarter.docx", "A 5385-2026")</f>
        <v/>
      </c>
    </row>
    <row r="109" ht="15" customHeight="1">
      <c r="A109" t="inlineStr">
        <is>
          <t>A 31182-2026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46289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31182-2026 artfynd.xlsx", "A 31182-2026")</f>
        <v/>
      </c>
      <c r="X109">
        <f>HYPERLINK("https://klasma.github.io/Logging_0480/kartor/A 31182-2026 karta.png", "A 31182-2026")</f>
        <v/>
      </c>
      <c r="Y109">
        <f>HYPERLINK("https://klasma.github.io/Logging_0480/kartor_geotiff/A 31182-2026 georefererad karta.tif", "A 31182-2026")</f>
        <v/>
      </c>
      <c r="AA109">
        <f>HYPERLINK("https://klasma.github.io/Logging_0480/klagomål/A 31182-2026 FSC-klagomål.docx", "A 31182-2026")</f>
        <v/>
      </c>
      <c r="AB109">
        <f>HYPERLINK("https://klasma.github.io/Logging_0480/klagomålsmail/A 31182-2026 FSC-klagomål mail.docx", "A 31182-2026")</f>
        <v/>
      </c>
      <c r="AC109">
        <f>HYPERLINK("https://klasma.github.io/Logging_0480/tillsyn/A 31182-2026 tillsynsbegäran.docx", "A 31182-2026")</f>
        <v/>
      </c>
      <c r="AD109">
        <f>HYPERLINK("https://klasma.github.io/Logging_0480/tillsynsmail/A 31182-2026 tillsynsbegäran mail.docx", "A 31182-2026")</f>
        <v/>
      </c>
    </row>
    <row r="110" ht="15" customHeight="1">
      <c r="A110" t="inlineStr">
        <is>
          <t>A 31998-2026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46232</v>
      </c>
      <c r="E110" s="1" t="n">
        <v>46289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12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HYPERLINK("https://klasma.github.io/Logging_0480/artfynd/A 31998-2026 artfynd.xlsx", "A 31998-2026")</f>
        <v/>
      </c>
      <c r="X110">
        <f>HYPERLINK("https://klasma.github.io/Logging_0480/kartor/A 31998-2026 karta.png", "A 31998-2026")</f>
        <v/>
      </c>
      <c r="Y110">
        <f>HYPERLINK("https://klasma.github.io/Logging_0480/kartor_geotiff/A 31998-2026 georefererad karta.tif", "A 31998-2026")</f>
        <v/>
      </c>
      <c r="AA110">
        <f>HYPERLINK("https://klasma.github.io/Logging_0480/klagomål/A 31998-2026 FSC-klagomål.docx", "A 31998-2026")</f>
        <v/>
      </c>
      <c r="AB110">
        <f>HYPERLINK("https://klasma.github.io/Logging_0480/klagomålsmail/A 31998-2026 FSC-klagomål mail.docx", "A 31998-2026")</f>
        <v/>
      </c>
      <c r="AC110">
        <f>HYPERLINK("https://klasma.github.io/Logging_0480/tillsyn/A 31998-2026 tillsynsbegäran.docx", "A 31998-2026")</f>
        <v/>
      </c>
      <c r="AD110">
        <f>HYPERLINK("https://klasma.github.io/Logging_0480/tillsynsmail/A 31998-2026 tillsynsbegäran mail.docx", "A 31998-2026")</f>
        <v/>
      </c>
    </row>
    <row r="111" ht="15" customHeight="1">
      <c r="A111" t="inlineStr">
        <is>
          <t>S 447-2021</t>
        </is>
      </c>
      <c r="B111" t="inlineStr">
        <is>
          <t>samrådsanmälan</t>
        </is>
      </c>
      <c r="C111" t="inlineStr">
        <is>
          <t>Åtgärd i nyckelbiotop</t>
        </is>
      </c>
      <c r="D111" s="1" t="n">
        <v>44260</v>
      </c>
      <c r="E111" s="1" t="n">
        <v>46289</v>
      </c>
      <c r="F111" t="inlineStr">
        <is>
          <t>SÖDERMANLANDS LÄN</t>
        </is>
      </c>
      <c r="G111" t="inlineStr">
        <is>
          <t>NYKÖPING</t>
        </is>
      </c>
      <c r="I111" t="n">
        <v>3.4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HYPERLINK("https://klasma.github.io/Logging_0480/artfynd/S 447-2021 artfynd.xlsx", "S 447-2021")</f>
        <v/>
      </c>
      <c r="X111">
        <f>HYPERLINK("https://klasma.github.io/Logging_0480/kartor/S 447-2021 karta.png", "S 447-2021")</f>
        <v/>
      </c>
      <c r="Y111">
        <f>HYPERLINK("https://klasma.github.io/Logging_0480/kartor_geotiff/S 447-2021 georefererad karta.tif", "S 447-2021")</f>
        <v/>
      </c>
      <c r="AA111">
        <f>HYPERLINK("https://klasma.github.io/Logging_0480/klagomål/S 447-2021 FSC-klagomål.docx", "S 447-2021")</f>
        <v/>
      </c>
      <c r="AB111">
        <f>HYPERLINK("https://klasma.github.io/Logging_0480/klagomålsmail/S 447-2021 FSC-klagomål mail.docx", "S 447-2021")</f>
        <v/>
      </c>
      <c r="AC111">
        <f>HYPERLINK("https://klasma.github.io/Logging_0480/tillsyn/S 447-2021 tillsynsbegäran.docx", "S 447-2021")</f>
        <v/>
      </c>
      <c r="AD111">
        <f>HYPERLINK("https://klasma.github.io/Logging_0480/tillsynsmail/S 447-2021 tillsynsbegäran mail.docx", "S 447-2021")</f>
        <v/>
      </c>
    </row>
    <row r="112" ht="15" customHeight="1">
      <c r="A112" t="inlineStr">
        <is>
          <t>S 2305-2026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46268</v>
      </c>
      <c r="E112" s="1" t="n">
        <v>46289</v>
      </c>
      <c r="F112" t="inlineStr">
        <is>
          <t>SÖDERMANLANDS LÄN</t>
        </is>
      </c>
      <c r="G112" t="inlineStr">
        <is>
          <t>NYKÖPING</t>
        </is>
      </c>
      <c r="I112" t="n">
        <v>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Vanlig padda</t>
        </is>
      </c>
      <c r="W112">
        <f>HYPERLINK("https://klasma.github.io/Logging_0480/artfynd/S 2305-2026 artfynd.xlsx", "S 2305-2026")</f>
        <v/>
      </c>
      <c r="X112">
        <f>HYPERLINK("https://klasma.github.io/Logging_0480/kartor/S 2305-2026 karta.png", "S 2305-2026")</f>
        <v/>
      </c>
      <c r="Y112">
        <f>HYPERLINK("https://klasma.github.io/Logging_0480/kartor_geotiff/S 2305-2026 georefererad karta.tif", "S 2305-2026")</f>
        <v/>
      </c>
      <c r="AA112">
        <f>HYPERLINK("https://klasma.github.io/Logging_0480/klagomål/S 2305-2026 FSC-klagomål.docx", "S 2305-2026")</f>
        <v/>
      </c>
      <c r="AB112">
        <f>HYPERLINK("https://klasma.github.io/Logging_0480/klagomålsmail/S 2305-2026 FSC-klagomål mail.docx", "S 2305-2026")</f>
        <v/>
      </c>
      <c r="AC112">
        <f>HYPERLINK("https://klasma.github.io/Logging_0480/tillsyn/S 2305-2026 tillsynsbegäran.docx", "S 2305-2026")</f>
        <v/>
      </c>
      <c r="AD112">
        <f>HYPERLINK("https://klasma.github.io/Logging_0480/tillsynsmail/S 2305-2026 tillsynsbegäran mail.docx", "S 2305-2026")</f>
        <v/>
      </c>
    </row>
    <row r="113" ht="15" customHeight="1">
      <c r="A113" t="inlineStr">
        <is>
          <t>A 74404-2021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44560</v>
      </c>
      <c r="E113" s="1" t="n">
        <v>46289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Kyrkan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44870</v>
      </c>
      <c r="E114" s="1" t="n">
        <v>46289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44811</v>
      </c>
      <c r="E115" s="1" t="n">
        <v>46289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44505</v>
      </c>
      <c r="E116" s="1" t="n">
        <v>46289</v>
      </c>
      <c r="F116" t="inlineStr">
        <is>
          <t>SÖDERMANLANDS LÄN</t>
        </is>
      </c>
      <c r="G116" t="inlineStr">
        <is>
          <t>NYKÖPING</t>
        </is>
      </c>
      <c r="I116" t="n">
        <v>21.9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44656</v>
      </c>
      <c r="E117" s="1" t="n">
        <v>46289</v>
      </c>
      <c r="F117" t="inlineStr">
        <is>
          <t>SÖDERMANLANDS LÄN</t>
        </is>
      </c>
      <c r="G117" t="inlineStr">
        <is>
          <t>NYKÖPING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66852-2021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44522</v>
      </c>
      <c r="E118" s="1" t="n">
        <v>46289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46289</v>
      </c>
      <c r="F119" t="inlineStr">
        <is>
          <t>SÖDERMANLANDS LÄN</t>
        </is>
      </c>
      <c r="G119" t="inlineStr">
        <is>
          <t>NYKÖPING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46289</v>
      </c>
      <c r="F120" t="inlineStr">
        <is>
          <t>SÖDERMANLANDS LÄN</t>
        </is>
      </c>
      <c r="G120" t="inlineStr">
        <is>
          <t>NYKÖPING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44466</v>
      </c>
      <c r="E121" s="1" t="n">
        <v>46289</v>
      </c>
      <c r="F121" t="inlineStr">
        <is>
          <t>SÖDERMANLANDS LÄN</t>
        </is>
      </c>
      <c r="G121" t="inlineStr">
        <is>
          <t>NYKÖPING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46289</v>
      </c>
      <c r="F122" t="inlineStr">
        <is>
          <t>SÖDERMANLANDS LÄN</t>
        </is>
      </c>
      <c r="G122" t="inlineStr">
        <is>
          <t>NYKÖPING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46289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46289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Holmen skog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46289</v>
      </c>
      <c r="F125" t="inlineStr">
        <is>
          <t>SÖDERMANLANDS LÄN</t>
        </is>
      </c>
      <c r="G125" t="inlineStr">
        <is>
          <t>NYKÖPING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44733</v>
      </c>
      <c r="E126" s="1" t="n">
        <v>46289</v>
      </c>
      <c r="F126" t="inlineStr">
        <is>
          <t>SÖDERMANLANDS LÄN</t>
        </is>
      </c>
      <c r="G126" t="inlineStr">
        <is>
          <t>NYKÖPING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46289</v>
      </c>
      <c r="F127" t="inlineStr">
        <is>
          <t>SÖDERMANLANDS LÄN</t>
        </is>
      </c>
      <c r="G127" t="inlineStr">
        <is>
          <t>NYKÖPING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14350-2022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46289</v>
      </c>
      <c r="F128" t="inlineStr">
        <is>
          <t>SÖDERMANLANDS LÄN</t>
        </is>
      </c>
      <c r="G128" t="inlineStr">
        <is>
          <t>NYKÖPING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46289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46289</v>
      </c>
      <c r="F130" t="inlineStr">
        <is>
          <t>SÖDERMANLANDS LÄN</t>
        </is>
      </c>
      <c r="G130" t="inlineStr">
        <is>
          <t>NYKÖPING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46289</v>
      </c>
      <c r="F131" t="inlineStr">
        <is>
          <t>SÖDERMANLANDS LÄN</t>
        </is>
      </c>
      <c r="G131" t="inlineStr">
        <is>
          <t>NYKÖPING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46289</v>
      </c>
      <c r="F132" t="inlineStr">
        <is>
          <t>SÖDERMANLANDS LÄN</t>
        </is>
      </c>
      <c r="G132" t="inlineStr">
        <is>
          <t>NYKÖPING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46289</v>
      </c>
      <c r="F133" t="inlineStr">
        <is>
          <t>SÖDERMANLANDS LÄN</t>
        </is>
      </c>
      <c r="G133" t="inlineStr">
        <is>
          <t>NYKÖPING</t>
        </is>
      </c>
      <c r="H133" t="inlineStr">
        <is>
          <t>Övriga Aktiebolag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46289</v>
      </c>
      <c r="F134" t="inlineStr">
        <is>
          <t>SÖDERMANLANDS LÄN</t>
        </is>
      </c>
      <c r="G134" t="inlineStr">
        <is>
          <t>NYKÖPING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46289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46289</v>
      </c>
      <c r="F136" t="inlineStr">
        <is>
          <t>SÖDERMANLANDS LÄN</t>
        </is>
      </c>
      <c r="G136" t="inlineStr">
        <is>
          <t>NYKÖPING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46289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44705</v>
      </c>
      <c r="E138" s="1" t="n">
        <v>46289</v>
      </c>
      <c r="F138" t="inlineStr">
        <is>
          <t>SÖDERMANLANDS LÄN</t>
        </is>
      </c>
      <c r="G138" t="inlineStr">
        <is>
          <t>NYKÖPING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44690</v>
      </c>
      <c r="E139" s="1" t="n">
        <v>46289</v>
      </c>
      <c r="F139" t="inlineStr">
        <is>
          <t>SÖDERMANLANDS LÄN</t>
        </is>
      </c>
      <c r="G139" t="inlineStr">
        <is>
          <t>NYKÖPING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64157-2021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46289</v>
      </c>
      <c r="F140" t="inlineStr">
        <is>
          <t>SÖDERMANLANDS LÄN</t>
        </is>
      </c>
      <c r="G140" t="inlineStr">
        <is>
          <t>NYKÖPING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46289</v>
      </c>
      <c r="F141" t="inlineStr">
        <is>
          <t>SÖDERMANLANDS LÄN</t>
        </is>
      </c>
      <c r="G141" t="inlineStr">
        <is>
          <t>NYKÖPING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44659</v>
      </c>
      <c r="E142" s="1" t="n">
        <v>46289</v>
      </c>
      <c r="F142" t="inlineStr">
        <is>
          <t>SÖDERMANLANDS LÄN</t>
        </is>
      </c>
      <c r="G142" t="inlineStr">
        <is>
          <t>NYKÖPING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46289</v>
      </c>
      <c r="F143" t="inlineStr">
        <is>
          <t>SÖDERMANLANDS LÄN</t>
        </is>
      </c>
      <c r="G143" t="inlineStr">
        <is>
          <t>NYKÖPING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46289</v>
      </c>
      <c r="F144" t="inlineStr">
        <is>
          <t>SÖDERMANLANDS LÄN</t>
        </is>
      </c>
      <c r="G144" t="inlineStr">
        <is>
          <t>NYKÖPING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59592-2021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46289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44676</v>
      </c>
      <c r="E146" s="1" t="n">
        <v>46289</v>
      </c>
      <c r="F146" t="inlineStr">
        <is>
          <t>SÖDERMANLANDS LÄN</t>
        </is>
      </c>
      <c r="G146" t="inlineStr">
        <is>
          <t>NYKÖPING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46289</v>
      </c>
      <c r="F147" t="inlineStr">
        <is>
          <t>SÖDERMANLANDS LÄN</t>
        </is>
      </c>
      <c r="G147" t="inlineStr">
        <is>
          <t>NYKÖPING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46289</v>
      </c>
      <c r="F148" t="inlineStr">
        <is>
          <t>SÖDERMANLANDS LÄN</t>
        </is>
      </c>
      <c r="G148" t="inlineStr">
        <is>
          <t>NYKÖPING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46289</v>
      </c>
      <c r="F149" t="inlineStr">
        <is>
          <t>SÖDERMANLANDS LÄN</t>
        </is>
      </c>
      <c r="G149" t="inlineStr">
        <is>
          <t>NYKÖPING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46289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46289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63055-2021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44505</v>
      </c>
      <c r="E152" s="1" t="n">
        <v>46289</v>
      </c>
      <c r="F152" t="inlineStr">
        <is>
          <t>SÖDERMANLANDS LÄN</t>
        </is>
      </c>
      <c r="G152" t="inlineStr">
        <is>
          <t>NYKÖPING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46289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46289</v>
      </c>
      <c r="F154" t="inlineStr">
        <is>
          <t>SÖDERMANLANDS LÄN</t>
        </is>
      </c>
      <c r="G154" t="inlineStr">
        <is>
          <t>NYKÖPING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44767</v>
      </c>
      <c r="E155" s="1" t="n">
        <v>46289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15466-2022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44662</v>
      </c>
      <c r="E156" s="1" t="n">
        <v>46289</v>
      </c>
      <c r="F156" t="inlineStr">
        <is>
          <t>SÖDERMANLANDS LÄN</t>
        </is>
      </c>
      <c r="G156" t="inlineStr">
        <is>
          <t>NYKÖPING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54234-2021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46289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46289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44887</v>
      </c>
      <c r="E159" s="1" t="n">
        <v>46289</v>
      </c>
      <c r="F159" t="inlineStr">
        <is>
          <t>SÖDERMANLANDS LÄN</t>
        </is>
      </c>
      <c r="G159" t="inlineStr">
        <is>
          <t>NYKÖPING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44747</v>
      </c>
      <c r="E160" s="1" t="n">
        <v>46289</v>
      </c>
      <c r="F160" t="inlineStr">
        <is>
          <t>SÖDERMANLANDS LÄN</t>
        </is>
      </c>
      <c r="G160" t="inlineStr">
        <is>
          <t>NYKÖPING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44784</v>
      </c>
      <c r="E161" s="1" t="n">
        <v>46289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44783</v>
      </c>
      <c r="E162" s="1" t="n">
        <v>46289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46289</v>
      </c>
      <c r="F163" t="inlineStr">
        <is>
          <t>SÖDERMANLANDS LÄN</t>
        </is>
      </c>
      <c r="G163" t="inlineStr">
        <is>
          <t>NYKÖPING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46289</v>
      </c>
      <c r="F164" t="inlineStr">
        <is>
          <t>SÖDERMANLANDS LÄN</t>
        </is>
      </c>
      <c r="G164" t="inlineStr">
        <is>
          <t>NYKÖPING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46289</v>
      </c>
      <c r="F165" t="inlineStr">
        <is>
          <t>SÖDERMANLANDS LÄN</t>
        </is>
      </c>
      <c r="G165" t="inlineStr">
        <is>
          <t>NYKÖPING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46289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44613</v>
      </c>
      <c r="E167" s="1" t="n">
        <v>46289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44614</v>
      </c>
      <c r="E168" s="1" t="n">
        <v>46289</v>
      </c>
      <c r="F168" t="inlineStr">
        <is>
          <t>SÖDERMANLANDS LÄN</t>
        </is>
      </c>
      <c r="G168" t="inlineStr">
        <is>
          <t>NYKÖPING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44881</v>
      </c>
      <c r="E169" s="1" t="n">
        <v>46289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46289</v>
      </c>
      <c r="F170" t="inlineStr">
        <is>
          <t>SÖDERMANLANDS LÄN</t>
        </is>
      </c>
      <c r="G170" t="inlineStr">
        <is>
          <t>NYKÖPING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46289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70791-2021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46289</v>
      </c>
      <c r="F172" t="inlineStr">
        <is>
          <t>SÖDERMANLANDS LÄN</t>
        </is>
      </c>
      <c r="G172" t="inlineStr">
        <is>
          <t>NYKÖPING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44813</v>
      </c>
      <c r="E173" s="1" t="n">
        <v>46289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44679</v>
      </c>
      <c r="E174" s="1" t="n">
        <v>46289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46289</v>
      </c>
      <c r="F175" t="inlineStr">
        <is>
          <t>SÖDERMANLANDS LÄN</t>
        </is>
      </c>
      <c r="G175" t="inlineStr">
        <is>
          <t>NYKÖPING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44701</v>
      </c>
      <c r="E176" s="1" t="n">
        <v>46289</v>
      </c>
      <c r="F176" t="inlineStr">
        <is>
          <t>SÖDERMANLANDS LÄN</t>
        </is>
      </c>
      <c r="G176" t="inlineStr">
        <is>
          <t>NYKÖPING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46289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44578</v>
      </c>
      <c r="E178" s="1" t="n">
        <v>46289</v>
      </c>
      <c r="F178" t="inlineStr">
        <is>
          <t>SÖDERMANLANDS LÄN</t>
        </is>
      </c>
      <c r="G178" t="inlineStr">
        <is>
          <t>NYKÖPING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46289</v>
      </c>
      <c r="F179" t="inlineStr">
        <is>
          <t>SÖDERMANLANDS LÄN</t>
        </is>
      </c>
      <c r="G179" t="inlineStr">
        <is>
          <t>NYKÖPING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44652</v>
      </c>
      <c r="E180" s="1" t="n">
        <v>46289</v>
      </c>
      <c r="F180" t="inlineStr">
        <is>
          <t>SÖDERMANLANDS LÄN</t>
        </is>
      </c>
      <c r="G180" t="inlineStr">
        <is>
          <t>NYKÖPING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44658</v>
      </c>
      <c r="E181" s="1" t="n">
        <v>46289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Allmännings- och besparingsskogar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66860-2021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46289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66939-2021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46289</v>
      </c>
      <c r="F183" t="inlineStr">
        <is>
          <t>SÖDERMANLANDS LÄN</t>
        </is>
      </c>
      <c r="G183" t="inlineStr">
        <is>
          <t>NYKÖPING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44882</v>
      </c>
      <c r="E184" s="1" t="n">
        <v>46289</v>
      </c>
      <c r="F184" t="inlineStr">
        <is>
          <t>SÖDERMANLANDS LÄN</t>
        </is>
      </c>
      <c r="G184" t="inlineStr">
        <is>
          <t>NYKÖPING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46289</v>
      </c>
      <c r="F185" t="inlineStr">
        <is>
          <t>SÖDERMANLANDS LÄN</t>
        </is>
      </c>
      <c r="G185" t="inlineStr">
        <is>
          <t>NYKÖPING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46289</v>
      </c>
      <c r="F186" t="inlineStr">
        <is>
          <t>SÖDERMANLANDS LÄN</t>
        </is>
      </c>
      <c r="G186" t="inlineStr">
        <is>
          <t>NYKÖPING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69598-2021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44531</v>
      </c>
      <c r="E187" s="1" t="n">
        <v>46289</v>
      </c>
      <c r="F187" t="inlineStr">
        <is>
          <t>SÖDERMANLANDS LÄN</t>
        </is>
      </c>
      <c r="G187" t="inlineStr">
        <is>
          <t>NYKÖPING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71107-2021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46289</v>
      </c>
      <c r="F188" t="inlineStr">
        <is>
          <t>SÖDERMANLANDS LÄN</t>
        </is>
      </c>
      <c r="G188" t="inlineStr">
        <is>
          <t>NYKÖPING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44727</v>
      </c>
      <c r="E189" s="1" t="n">
        <v>46289</v>
      </c>
      <c r="F189" t="inlineStr">
        <is>
          <t>SÖDERMANLANDS LÄN</t>
        </is>
      </c>
      <c r="G189" t="inlineStr">
        <is>
          <t>NYKÖPING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46289</v>
      </c>
      <c r="F190" t="inlineStr">
        <is>
          <t>SÖDERMANLANDS LÄN</t>
        </is>
      </c>
      <c r="G190" t="inlineStr">
        <is>
          <t>NYKÖPING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45727</v>
      </c>
      <c r="E191" s="1" t="n">
        <v>46289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69252-2021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46289</v>
      </c>
      <c r="F192" t="inlineStr">
        <is>
          <t>SÖDERMANLANDS LÄN</t>
        </is>
      </c>
      <c r="G192" t="inlineStr">
        <is>
          <t>NYKÖPING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44740</v>
      </c>
      <c r="E193" s="1" t="n">
        <v>46289</v>
      </c>
      <c r="F193" t="inlineStr">
        <is>
          <t>SÖDERMANLANDS LÄN</t>
        </is>
      </c>
      <c r="G193" t="inlineStr">
        <is>
          <t>NYKÖPING</t>
        </is>
      </c>
      <c r="I193" t="n">
        <v>13.1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46289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46289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46289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46289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16906-2022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44676</v>
      </c>
      <c r="E198" s="1" t="n">
        <v>46289</v>
      </c>
      <c r="F198" t="inlineStr">
        <is>
          <t>SÖDERMANLANDS LÄN</t>
        </is>
      </c>
      <c r="G198" t="inlineStr">
        <is>
          <t>NYKÖPING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10873-2022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44627</v>
      </c>
      <c r="E199" s="1" t="n">
        <v>46289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Övriga Aktiebolag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46289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63006-2021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44505</v>
      </c>
      <c r="E201" s="1" t="n">
        <v>46289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71103-2021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46289</v>
      </c>
      <c r="F202" t="inlineStr">
        <is>
          <t>SÖDERMANLANDS LÄN</t>
        </is>
      </c>
      <c r="G202" t="inlineStr">
        <is>
          <t>NYKÖPING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34203-2024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45524</v>
      </c>
      <c r="E203" s="1" t="n">
        <v>46289</v>
      </c>
      <c r="F203" t="inlineStr">
        <is>
          <t>SÖDERMANLANDS LÄN</t>
        </is>
      </c>
      <c r="G203" t="inlineStr">
        <is>
          <t>NYKÖPING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44719</v>
      </c>
      <c r="E204" s="1" t="n">
        <v>46289</v>
      </c>
      <c r="F204" t="inlineStr">
        <is>
          <t>SÖDERMANLANDS LÄN</t>
        </is>
      </c>
      <c r="G204" t="inlineStr">
        <is>
          <t>NYKÖPING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44582</v>
      </c>
      <c r="E205" s="1" t="n">
        <v>46289</v>
      </c>
      <c r="F205" t="inlineStr">
        <is>
          <t>SÖDERMANLANDS LÄN</t>
        </is>
      </c>
      <c r="G205" t="inlineStr">
        <is>
          <t>NYKÖPING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44748</v>
      </c>
      <c r="E206" s="1" t="n">
        <v>46289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44813</v>
      </c>
      <c r="E207" s="1" t="n">
        <v>46289</v>
      </c>
      <c r="F207" t="inlineStr">
        <is>
          <t>SÖDERMANLANDS LÄN</t>
        </is>
      </c>
      <c r="G207" t="inlineStr">
        <is>
          <t>NYKÖPING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46289</v>
      </c>
      <c r="F208" t="inlineStr">
        <is>
          <t>SÖDERMANLANDS LÄN</t>
        </is>
      </c>
      <c r="G208" t="inlineStr">
        <is>
          <t>NYKÖPING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46289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67825-2021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46289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46289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38149-2024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45545</v>
      </c>
      <c r="E212" s="1" t="n">
        <v>46289</v>
      </c>
      <c r="F212" t="inlineStr">
        <is>
          <t>SÖDERMANLANDS LÄN</t>
        </is>
      </c>
      <c r="G212" t="inlineStr">
        <is>
          <t>NYKÖPING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46289</v>
      </c>
      <c r="F213" t="inlineStr">
        <is>
          <t>SÖDERMANLANDS LÄN</t>
        </is>
      </c>
      <c r="G213" t="inlineStr">
        <is>
          <t>NYKÖPING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46289</v>
      </c>
      <c r="F214" t="inlineStr">
        <is>
          <t>SÖDERMANLANDS LÄN</t>
        </is>
      </c>
      <c r="G214" t="inlineStr">
        <is>
          <t>NYKÖPING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46289</v>
      </c>
      <c r="F215" t="inlineStr">
        <is>
          <t>SÖDERMANLANDS LÄN</t>
        </is>
      </c>
      <c r="G215" t="inlineStr">
        <is>
          <t>NYKÖPING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44466</v>
      </c>
      <c r="E216" s="1" t="n">
        <v>46289</v>
      </c>
      <c r="F216" t="inlineStr">
        <is>
          <t>SÖDERMANLANDS LÄN</t>
        </is>
      </c>
      <c r="G216" t="inlineStr">
        <is>
          <t>NYKÖPING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44757</v>
      </c>
      <c r="E217" s="1" t="n">
        <v>46289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44709</v>
      </c>
      <c r="E218" s="1" t="n">
        <v>46289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21818-2022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44709</v>
      </c>
      <c r="E219" s="1" t="n">
        <v>46289</v>
      </c>
      <c r="F219" t="inlineStr">
        <is>
          <t>SÖDERMANLANDS LÄN</t>
        </is>
      </c>
      <c r="G219" t="inlineStr">
        <is>
          <t>NYKÖPING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46289</v>
      </c>
      <c r="F220" t="inlineStr">
        <is>
          <t>SÖDERMANLANDS LÄN</t>
        </is>
      </c>
      <c r="G220" t="inlineStr">
        <is>
          <t>NYKÖPING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46289</v>
      </c>
      <c r="F221" t="inlineStr">
        <is>
          <t>SÖDERMANLANDS LÄN</t>
        </is>
      </c>
      <c r="G221" t="inlineStr">
        <is>
          <t>NYKÖPING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46289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46289</v>
      </c>
      <c r="F223" t="inlineStr">
        <is>
          <t>SÖDERMANLANDS LÄN</t>
        </is>
      </c>
      <c r="G223" t="inlineStr">
        <is>
          <t>NYKÖPING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46289</v>
      </c>
      <c r="F224" t="inlineStr">
        <is>
          <t>SÖDERMANLANDS LÄN</t>
        </is>
      </c>
      <c r="G224" t="inlineStr">
        <is>
          <t>NYKÖPING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46289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18827-2022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44690</v>
      </c>
      <c r="E226" s="1" t="n">
        <v>46289</v>
      </c>
      <c r="F226" t="inlineStr">
        <is>
          <t>SÖDERMANLANDS LÄN</t>
        </is>
      </c>
      <c r="G226" t="inlineStr">
        <is>
          <t>NYKÖPING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44575</v>
      </c>
      <c r="E227" s="1" t="n">
        <v>46289</v>
      </c>
      <c r="F227" t="inlineStr">
        <is>
          <t>SÖDERMANLANDS LÄN</t>
        </is>
      </c>
      <c r="G227" t="inlineStr">
        <is>
          <t>NYKÖPING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45729</v>
      </c>
      <c r="E228" s="1" t="n">
        <v>46289</v>
      </c>
      <c r="F228" t="inlineStr">
        <is>
          <t>SÖDERMANLANDS LÄN</t>
        </is>
      </c>
      <c r="G228" t="inlineStr">
        <is>
          <t>NYKÖPING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46289</v>
      </c>
      <c r="F229" t="inlineStr">
        <is>
          <t>SÖDERMANLANDS LÄN</t>
        </is>
      </c>
      <c r="G229" t="inlineStr">
        <is>
          <t>NYKÖPING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46289</v>
      </c>
      <c r="F230" t="inlineStr">
        <is>
          <t>SÖDERMANLANDS LÄN</t>
        </is>
      </c>
      <c r="G230" t="inlineStr">
        <is>
          <t>NYKÖPING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46289</v>
      </c>
      <c r="F231" t="inlineStr">
        <is>
          <t>SÖDERMANLANDS LÄN</t>
        </is>
      </c>
      <c r="G231" t="inlineStr">
        <is>
          <t>NYKÖPING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46289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45672</v>
      </c>
      <c r="E233" s="1" t="n">
        <v>46289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46289</v>
      </c>
      <c r="F234" t="inlineStr">
        <is>
          <t>SÖDERMANLANDS LÄN</t>
        </is>
      </c>
      <c r="G234" t="inlineStr">
        <is>
          <t>NYKÖPING</t>
        </is>
      </c>
      <c r="I234" t="n">
        <v>16.2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45378</v>
      </c>
      <c r="E235" s="1" t="n">
        <v>46289</v>
      </c>
      <c r="F235" t="inlineStr">
        <is>
          <t>SÖDERMANLANDS LÄN</t>
        </is>
      </c>
      <c r="G235" t="inlineStr">
        <is>
          <t>NYKÖPING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49223-2022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44858</v>
      </c>
      <c r="E236" s="1" t="n">
        <v>46289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statliga verk och myndigheter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46289</v>
      </c>
      <c r="F237" t="inlineStr">
        <is>
          <t>SÖDERMANLANDS LÄN</t>
        </is>
      </c>
      <c r="G237" t="inlineStr">
        <is>
          <t>NYKÖPING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46289</v>
      </c>
      <c r="F238" t="inlineStr">
        <is>
          <t>SÖDERMANLANDS LÄN</t>
        </is>
      </c>
      <c r="G238" t="inlineStr">
        <is>
          <t>NYKÖPING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46289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46289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46289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44910</v>
      </c>
      <c r="E242" s="1" t="n">
        <v>46289</v>
      </c>
      <c r="F242" t="inlineStr">
        <is>
          <t>SÖDERMANLANDS LÄN</t>
        </is>
      </c>
      <c r="G242" t="inlineStr">
        <is>
          <t>NYKÖPING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46289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46289</v>
      </c>
      <c r="F244" t="inlineStr">
        <is>
          <t>SÖDERMANLANDS LÄN</t>
        </is>
      </c>
      <c r="G244" t="inlineStr">
        <is>
          <t>NYKÖPING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45611</v>
      </c>
      <c r="E245" s="1" t="n">
        <v>46289</v>
      </c>
      <c r="F245" t="inlineStr">
        <is>
          <t>SÖDERMANLANDS LÄN</t>
        </is>
      </c>
      <c r="G245" t="inlineStr">
        <is>
          <t>NYKÖPING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46289</v>
      </c>
      <c r="F246" t="inlineStr">
        <is>
          <t>SÖDERMANLANDS LÄN</t>
        </is>
      </c>
      <c r="G246" t="inlineStr">
        <is>
          <t>NYKÖPING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14930-2024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45398</v>
      </c>
      <c r="E247" s="1" t="n">
        <v>46289</v>
      </c>
      <c r="F247" t="inlineStr">
        <is>
          <t>SÖDERMANLANDS LÄN</t>
        </is>
      </c>
      <c r="G247" t="inlineStr">
        <is>
          <t>NYKÖPING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46289</v>
      </c>
      <c r="F248" t="inlineStr">
        <is>
          <t>SÖDERMANLANDS LÄN</t>
        </is>
      </c>
      <c r="G248" t="inlineStr">
        <is>
          <t>NYKÖPING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46289</v>
      </c>
      <c r="F249" t="inlineStr">
        <is>
          <t>SÖDERMANLANDS LÄN</t>
        </is>
      </c>
      <c r="G249" t="inlineStr">
        <is>
          <t>NYKÖPING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45076</v>
      </c>
      <c r="E250" s="1" t="n">
        <v>46289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53335-2023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45229</v>
      </c>
      <c r="E251" s="1" t="n">
        <v>46289</v>
      </c>
      <c r="F251" t="inlineStr">
        <is>
          <t>SÖDERMANLANDS LÄN</t>
        </is>
      </c>
      <c r="G251" t="inlineStr">
        <is>
          <t>NYKÖPING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52045-2021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44463</v>
      </c>
      <c r="E252" s="1" t="n">
        <v>46289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45930-2022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44846</v>
      </c>
      <c r="E253" s="1" t="n">
        <v>46289</v>
      </c>
      <c r="F253" t="inlineStr">
        <is>
          <t>SÖDERMANLANDS LÄN</t>
        </is>
      </c>
      <c r="G253" t="inlineStr">
        <is>
          <t>NYKÖPING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46289</v>
      </c>
      <c r="F254" t="inlineStr">
        <is>
          <t>SÖDERMANLANDS LÄN</t>
        </is>
      </c>
      <c r="G254" t="inlineStr">
        <is>
          <t>NYKÖPING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52373-2023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45224</v>
      </c>
      <c r="E255" s="1" t="n">
        <v>46289</v>
      </c>
      <c r="F255" t="inlineStr">
        <is>
          <t>SÖDERMANLANDS LÄN</t>
        </is>
      </c>
      <c r="G255" t="inlineStr">
        <is>
          <t>NYKÖPING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52374-2023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45224</v>
      </c>
      <c r="E256" s="1" t="n">
        <v>46289</v>
      </c>
      <c r="F256" t="inlineStr">
        <is>
          <t>SÖDERMANLANDS LÄN</t>
        </is>
      </c>
      <c r="G256" t="inlineStr">
        <is>
          <t>NYKÖPING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45145</v>
      </c>
      <c r="E257" s="1" t="n">
        <v>46289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46289</v>
      </c>
      <c r="F258" t="inlineStr">
        <is>
          <t>SÖDERMANLANDS LÄN</t>
        </is>
      </c>
      <c r="G258" t="inlineStr">
        <is>
          <t>NYKÖPING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46289</v>
      </c>
      <c r="F259" t="inlineStr">
        <is>
          <t>SÖDERMANLANDS LÄN</t>
        </is>
      </c>
      <c r="G259" t="inlineStr">
        <is>
          <t>NYKÖPING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65923-2021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44517</v>
      </c>
      <c r="E260" s="1" t="n">
        <v>46289</v>
      </c>
      <c r="F260" t="inlineStr">
        <is>
          <t>SÖDERMANLANDS LÄN</t>
        </is>
      </c>
      <c r="G260" t="inlineStr">
        <is>
          <t>NYKÖPING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46289</v>
      </c>
      <c r="F261" t="inlineStr">
        <is>
          <t>SÖDERMANLANDS LÄN</t>
        </is>
      </c>
      <c r="G261" t="inlineStr">
        <is>
          <t>NYKÖPING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44837</v>
      </c>
      <c r="E262" s="1" t="n">
        <v>46289</v>
      </c>
      <c r="F262" t="inlineStr">
        <is>
          <t>SÖDERMANLANDS LÄN</t>
        </is>
      </c>
      <c r="G262" t="inlineStr">
        <is>
          <t>NYKÖPING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44859</v>
      </c>
      <c r="E263" s="1" t="n">
        <v>46289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45258</v>
      </c>
      <c r="E264" s="1" t="n">
        <v>46289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Övriga Aktiebolag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46289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45686</v>
      </c>
      <c r="E266" s="1" t="n">
        <v>46289</v>
      </c>
      <c r="F266" t="inlineStr">
        <is>
          <t>SÖDERMANLANDS LÄN</t>
        </is>
      </c>
      <c r="G266" t="inlineStr">
        <is>
          <t>NYKÖPING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44812</v>
      </c>
      <c r="E267" s="1" t="n">
        <v>46289</v>
      </c>
      <c r="F267" t="inlineStr">
        <is>
          <t>SÖDERMANLANDS LÄN</t>
        </is>
      </c>
      <c r="G267" t="inlineStr">
        <is>
          <t>NYKÖPING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45058</v>
      </c>
      <c r="E268" s="1" t="n">
        <v>46289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46289</v>
      </c>
      <c r="F269" t="inlineStr">
        <is>
          <t>SÖDERMANLANDS LÄN</t>
        </is>
      </c>
      <c r="G269" t="inlineStr">
        <is>
          <t>NYKÖPING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45854</v>
      </c>
      <c r="E270" s="1" t="n">
        <v>46289</v>
      </c>
      <c r="F270" t="inlineStr">
        <is>
          <t>SÖDERMANLANDS LÄN</t>
        </is>
      </c>
      <c r="G270" t="inlineStr">
        <is>
          <t>NYKÖPING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46289</v>
      </c>
      <c r="F271" t="inlineStr">
        <is>
          <t>SÖDERMANLANDS LÄN</t>
        </is>
      </c>
      <c r="G271" t="inlineStr">
        <is>
          <t>NYKÖPING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46289</v>
      </c>
      <c r="F272" t="inlineStr">
        <is>
          <t>SÖDERMANLANDS LÄN</t>
        </is>
      </c>
      <c r="G272" t="inlineStr">
        <is>
          <t>NYKÖPING</t>
        </is>
      </c>
      <c r="I272" t="n">
        <v>15.2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46289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Kommuner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46289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46289</v>
      </c>
      <c r="F275" t="inlineStr">
        <is>
          <t>SÖDERMANLANDS LÄN</t>
        </is>
      </c>
      <c r="G275" t="inlineStr">
        <is>
          <t>NYKÖPING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45307</v>
      </c>
      <c r="E276" s="1" t="n">
        <v>46289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Kommuner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46289</v>
      </c>
      <c r="F277" t="inlineStr">
        <is>
          <t>SÖDERMANLANDS LÄN</t>
        </is>
      </c>
      <c r="G277" t="inlineStr">
        <is>
          <t>NYKÖPING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46289</v>
      </c>
      <c r="F278" t="inlineStr">
        <is>
          <t>SÖDERMANLANDS LÄN</t>
        </is>
      </c>
      <c r="G278" t="inlineStr">
        <is>
          <t>NYKÖPING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46289</v>
      </c>
      <c r="F279" t="inlineStr">
        <is>
          <t>SÖDERMANLANDS LÄN</t>
        </is>
      </c>
      <c r="G279" t="inlineStr">
        <is>
          <t>NYKÖPING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44837</v>
      </c>
      <c r="E280" s="1" t="n">
        <v>46289</v>
      </c>
      <c r="F280" t="inlineStr">
        <is>
          <t>SÖDERMANLANDS LÄN</t>
        </is>
      </c>
      <c r="G280" t="inlineStr">
        <is>
          <t>NYKÖPING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45756</v>
      </c>
      <c r="E281" s="1" t="n">
        <v>46289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46289</v>
      </c>
      <c r="F282" t="inlineStr">
        <is>
          <t>SÖDERMANLANDS LÄN</t>
        </is>
      </c>
      <c r="G282" t="inlineStr">
        <is>
          <t>NYKÖPING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46289</v>
      </c>
      <c r="F283" t="inlineStr">
        <is>
          <t>SÖDERMANLANDS LÄN</t>
        </is>
      </c>
      <c r="G283" t="inlineStr">
        <is>
          <t>NYKÖPING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46289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45040</v>
      </c>
      <c r="E285" s="1" t="n">
        <v>46289</v>
      </c>
      <c r="F285" t="inlineStr">
        <is>
          <t>SÖDERMANLANDS LÄN</t>
        </is>
      </c>
      <c r="G285" t="inlineStr">
        <is>
          <t>NYKÖPING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45518</v>
      </c>
      <c r="E286" s="1" t="n">
        <v>46289</v>
      </c>
      <c r="F286" t="inlineStr">
        <is>
          <t>SÖDERMANLANDS LÄN</t>
        </is>
      </c>
      <c r="G286" t="inlineStr">
        <is>
          <t>NYKÖPING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46289</v>
      </c>
      <c r="F287" t="inlineStr">
        <is>
          <t>SÖDERMANLANDS LÄN</t>
        </is>
      </c>
      <c r="G287" t="inlineStr">
        <is>
          <t>NYKÖPING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55983-2021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44477</v>
      </c>
      <c r="E288" s="1" t="n">
        <v>46289</v>
      </c>
      <c r="F288" t="inlineStr">
        <is>
          <t>SÖDERMANLANDS LÄN</t>
        </is>
      </c>
      <c r="G288" t="inlineStr">
        <is>
          <t>NYKÖPING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46289</v>
      </c>
      <c r="F289" t="inlineStr">
        <is>
          <t>SÖDERMANLANDS LÄN</t>
        </is>
      </c>
      <c r="G289" t="inlineStr">
        <is>
          <t>NYKÖPING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69244-2021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44530</v>
      </c>
      <c r="E290" s="1" t="n">
        <v>46289</v>
      </c>
      <c r="F290" t="inlineStr">
        <is>
          <t>SÖDERMANLANDS LÄN</t>
        </is>
      </c>
      <c r="G290" t="inlineStr">
        <is>
          <t>NYKÖPING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46289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46289</v>
      </c>
      <c r="F292" t="inlineStr">
        <is>
          <t>SÖDERMANLANDS LÄN</t>
        </is>
      </c>
      <c r="G292" t="inlineStr">
        <is>
          <t>NYKÖPING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46289</v>
      </c>
      <c r="F293" t="inlineStr">
        <is>
          <t>SÖDERMANLANDS LÄN</t>
        </is>
      </c>
      <c r="G293" t="inlineStr">
        <is>
          <t>NYKÖPING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10435-2022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44623</v>
      </c>
      <c r="E294" s="1" t="n">
        <v>46289</v>
      </c>
      <c r="F294" t="inlineStr">
        <is>
          <t>SÖDERMANLANDS LÄN</t>
        </is>
      </c>
      <c r="G294" t="inlineStr">
        <is>
          <t>NYKÖPING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46289</v>
      </c>
      <c r="F295" t="inlineStr">
        <is>
          <t>SÖDERMANLANDS LÄN</t>
        </is>
      </c>
      <c r="G295" t="inlineStr">
        <is>
          <t>NYKÖPING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46289</v>
      </c>
      <c r="F296" t="inlineStr">
        <is>
          <t>SÖDERMANLANDS LÄN</t>
        </is>
      </c>
      <c r="G296" t="inlineStr">
        <is>
          <t>NYKÖPING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46289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44579</v>
      </c>
      <c r="E298" s="1" t="n">
        <v>46289</v>
      </c>
      <c r="F298" t="inlineStr">
        <is>
          <t>SÖDERMANLANDS LÄN</t>
        </is>
      </c>
      <c r="G298" t="inlineStr">
        <is>
          <t>NYKÖPING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46289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Sveaskog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46289</v>
      </c>
      <c r="F300" t="inlineStr">
        <is>
          <t>SÖDERMANLANDS LÄN</t>
        </is>
      </c>
      <c r="G300" t="inlineStr">
        <is>
          <t>NYKÖPING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46289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46289</v>
      </c>
      <c r="F302" t="inlineStr">
        <is>
          <t>SÖDERMANLANDS LÄN</t>
        </is>
      </c>
      <c r="G302" t="inlineStr">
        <is>
          <t>NYKÖPING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59733-2021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44494</v>
      </c>
      <c r="E303" s="1" t="n">
        <v>46289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17897-2024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46289</v>
      </c>
      <c r="F304" t="inlineStr">
        <is>
          <t>SÖDERMANLANDS LÄN</t>
        </is>
      </c>
      <c r="G304" t="inlineStr">
        <is>
          <t>NYKÖPING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45419</v>
      </c>
      <c r="E305" s="1" t="n">
        <v>46289</v>
      </c>
      <c r="F305" t="inlineStr">
        <is>
          <t>SÖDERMANLANDS LÄN</t>
        </is>
      </c>
      <c r="G305" t="inlineStr">
        <is>
          <t>NYKÖPING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46289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44936</v>
      </c>
      <c r="E307" s="1" t="n">
        <v>46289</v>
      </c>
      <c r="F307" t="inlineStr">
        <is>
          <t>SÖDERMANLANDS LÄN</t>
        </is>
      </c>
      <c r="G307" t="inlineStr">
        <is>
          <t>NYKÖPING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68401-2021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44529</v>
      </c>
      <c r="E308" s="1" t="n">
        <v>46289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Övriga Aktiebolag</t>
        </is>
      </c>
      <c r="I308" t="n">
        <v>16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70749-2021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44536</v>
      </c>
      <c r="E309" s="1" t="n">
        <v>46289</v>
      </c>
      <c r="F309" t="inlineStr">
        <is>
          <t>SÖDERMANLANDS LÄN</t>
        </is>
      </c>
      <c r="G309" t="inlineStr">
        <is>
          <t>NYKÖPING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73877-2021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44553</v>
      </c>
      <c r="E310" s="1" t="n">
        <v>46289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46289</v>
      </c>
      <c r="F311" t="inlineStr">
        <is>
          <t>SÖDERMANLANDS LÄN</t>
        </is>
      </c>
      <c r="G311" t="inlineStr">
        <is>
          <t>NYKÖPING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46289</v>
      </c>
      <c r="F312" t="inlineStr">
        <is>
          <t>SÖDERMANLANDS LÄN</t>
        </is>
      </c>
      <c r="G312" t="inlineStr">
        <is>
          <t>NYKÖPING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44236-2025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46289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9200-2023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44976</v>
      </c>
      <c r="E314" s="1" t="n">
        <v>46289</v>
      </c>
      <c r="F314" t="inlineStr">
        <is>
          <t>SÖDERMANLANDS LÄN</t>
        </is>
      </c>
      <c r="G314" t="inlineStr">
        <is>
          <t>NYKÖPING</t>
        </is>
      </c>
      <c r="I314" t="n">
        <v>11.1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46289</v>
      </c>
      <c r="F315" t="inlineStr">
        <is>
          <t>SÖDERMANLANDS LÄN</t>
        </is>
      </c>
      <c r="G315" t="inlineStr">
        <is>
          <t>NYKÖPING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45373</v>
      </c>
      <c r="E316" s="1" t="n">
        <v>46289</v>
      </c>
      <c r="F316" t="inlineStr">
        <is>
          <t>SÖDERMANLANDS LÄN</t>
        </is>
      </c>
      <c r="G316" t="inlineStr">
        <is>
          <t>NYKÖPING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46289</v>
      </c>
      <c r="F317" t="inlineStr">
        <is>
          <t>SÖDERMANLANDS LÄN</t>
        </is>
      </c>
      <c r="G317" t="inlineStr">
        <is>
          <t>NYKÖPING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44579</v>
      </c>
      <c r="E318" s="1" t="n">
        <v>46289</v>
      </c>
      <c r="F318" t="inlineStr">
        <is>
          <t>SÖDERMANLANDS LÄN</t>
        </is>
      </c>
      <c r="G318" t="inlineStr">
        <is>
          <t>NYKÖPING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67857-2021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44525</v>
      </c>
      <c r="E319" s="1" t="n">
        <v>46289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17832-2024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45418</v>
      </c>
      <c r="E320" s="1" t="n">
        <v>46289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Kommuner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44992</v>
      </c>
      <c r="E321" s="1" t="n">
        <v>46289</v>
      </c>
      <c r="F321" t="inlineStr">
        <is>
          <t>SÖDERMANLANDS LÄN</t>
        </is>
      </c>
      <c r="G321" t="inlineStr">
        <is>
          <t>NYKÖPING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44938</v>
      </c>
      <c r="E322" s="1" t="n">
        <v>46289</v>
      </c>
      <c r="F322" t="inlineStr">
        <is>
          <t>SÖDERMANLANDS LÄN</t>
        </is>
      </c>
      <c r="G322" t="inlineStr">
        <is>
          <t>NYKÖPING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44575</v>
      </c>
      <c r="E323" s="1" t="n">
        <v>46289</v>
      </c>
      <c r="F323" t="inlineStr">
        <is>
          <t>SÖDERMANLANDS LÄN</t>
        </is>
      </c>
      <c r="G323" t="inlineStr">
        <is>
          <t>NYKÖPING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46289</v>
      </c>
      <c r="F324" t="inlineStr">
        <is>
          <t>SÖDERMANLANDS LÄN</t>
        </is>
      </c>
      <c r="G324" t="inlineStr">
        <is>
          <t>NYKÖPING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8751-2023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46289</v>
      </c>
      <c r="F325" t="inlineStr">
        <is>
          <t>SÖDERMANLANDS LÄN</t>
        </is>
      </c>
      <c r="G325" t="inlineStr">
        <is>
          <t>NYKÖPING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61007-2021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44497</v>
      </c>
      <c r="E326" s="1" t="n">
        <v>46289</v>
      </c>
      <c r="F326" t="inlineStr">
        <is>
          <t>SÖDERMANLANDS LÄN</t>
        </is>
      </c>
      <c r="G326" t="inlineStr">
        <is>
          <t>NYKÖPING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45329</v>
      </c>
      <c r="E327" s="1" t="n">
        <v>46289</v>
      </c>
      <c r="F327" t="inlineStr">
        <is>
          <t>SÖDERMANLANDS LÄN</t>
        </is>
      </c>
      <c r="G327" t="inlineStr">
        <is>
          <t>NYKÖPING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68041-2021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44525</v>
      </c>
      <c r="E328" s="1" t="n">
        <v>46289</v>
      </c>
      <c r="F328" t="inlineStr">
        <is>
          <t>SÖDERMANLANDS LÄN</t>
        </is>
      </c>
      <c r="G328" t="inlineStr">
        <is>
          <t>NYKÖPING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45919</v>
      </c>
      <c r="E329" s="1" t="n">
        <v>46289</v>
      </c>
      <c r="F329" t="inlineStr">
        <is>
          <t>SÖDERMANLANDS LÄN</t>
        </is>
      </c>
      <c r="G329" t="inlineStr">
        <is>
          <t>NYKÖPING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46289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Kommuner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72679-2021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44546</v>
      </c>
      <c r="E331" s="1" t="n">
        <v>46289</v>
      </c>
      <c r="F331" t="inlineStr">
        <is>
          <t>SÖDERMANLANDS LÄN</t>
        </is>
      </c>
      <c r="G331" t="inlineStr">
        <is>
          <t>NYKÖPING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45352</v>
      </c>
      <c r="E332" s="1" t="n">
        <v>46289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45352</v>
      </c>
      <c r="E333" s="1" t="n">
        <v>46289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Kommuner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56268-2022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44890</v>
      </c>
      <c r="E334" s="1" t="n">
        <v>46289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Övriga Aktiebolag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46289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Övriga Aktiebolag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45630</v>
      </c>
      <c r="E336" s="1" t="n">
        <v>46289</v>
      </c>
      <c r="F336" t="inlineStr">
        <is>
          <t>SÖDERMANLANDS LÄN</t>
        </is>
      </c>
      <c r="G336" t="inlineStr">
        <is>
          <t>NYKÖPING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45306</v>
      </c>
      <c r="E337" s="1" t="n">
        <v>46289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Kommuner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23207-2024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45452</v>
      </c>
      <c r="E338" s="1" t="n">
        <v>46289</v>
      </c>
      <c r="F338" t="inlineStr">
        <is>
          <t>SÖDERMANLANDS LÄN</t>
        </is>
      </c>
      <c r="G338" t="inlineStr">
        <is>
          <t>NYKÖPING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45393</v>
      </c>
      <c r="E339" s="1" t="n">
        <v>46289</v>
      </c>
      <c r="F339" t="inlineStr">
        <is>
          <t>SÖDERMANLANDS LÄN</t>
        </is>
      </c>
      <c r="G339" t="inlineStr">
        <is>
          <t>NYKÖPING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45149</v>
      </c>
      <c r="E340" s="1" t="n">
        <v>46289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Kommuner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46289</v>
      </c>
      <c r="F341" t="inlineStr">
        <is>
          <t>SÖDERMANLANDS LÄN</t>
        </is>
      </c>
      <c r="G341" t="inlineStr">
        <is>
          <t>NYKÖPING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70092-2021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46289</v>
      </c>
      <c r="F342" t="inlineStr">
        <is>
          <t>SÖDERMANLANDS LÄN</t>
        </is>
      </c>
      <c r="G342" t="inlineStr">
        <is>
          <t>NYKÖPING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45044</v>
      </c>
      <c r="E343" s="1" t="n">
        <v>46289</v>
      </c>
      <c r="F343" t="inlineStr">
        <is>
          <t>SÖDERMANLANDS LÄN</t>
        </is>
      </c>
      <c r="G343" t="inlineStr">
        <is>
          <t>NYKÖPING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46289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45132</v>
      </c>
      <c r="E345" s="1" t="n">
        <v>46289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68024-2021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44525</v>
      </c>
      <c r="E346" s="1" t="n">
        <v>46289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68030-2021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44525</v>
      </c>
      <c r="E347" s="1" t="n">
        <v>46289</v>
      </c>
      <c r="F347" t="inlineStr">
        <is>
          <t>SÖDERMANLANDS LÄN</t>
        </is>
      </c>
      <c r="G347" t="inlineStr">
        <is>
          <t>NYKÖPING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45056</v>
      </c>
      <c r="E348" s="1" t="n">
        <v>46289</v>
      </c>
      <c r="F348" t="inlineStr">
        <is>
          <t>SÖDERMANLANDS LÄN</t>
        </is>
      </c>
      <c r="G348" t="inlineStr">
        <is>
          <t>NYKÖPING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46289</v>
      </c>
      <c r="F349" t="inlineStr">
        <is>
          <t>SÖDERMANLANDS LÄN</t>
        </is>
      </c>
      <c r="G349" t="inlineStr">
        <is>
          <t>NYKÖPING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45148</v>
      </c>
      <c r="E350" s="1" t="n">
        <v>46289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38472-2023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46289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Kommuner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46289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46289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Kommuner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46289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56322-2023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45243</v>
      </c>
      <c r="E355" s="1" t="n">
        <v>46289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Kommuner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44575</v>
      </c>
      <c r="E356" s="1" t="n">
        <v>46289</v>
      </c>
      <c r="F356" t="inlineStr">
        <is>
          <t>SÖDERMANLANDS LÄN</t>
        </is>
      </c>
      <c r="G356" t="inlineStr">
        <is>
          <t>NYKÖPING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12844-2025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45733</v>
      </c>
      <c r="E357" s="1" t="n">
        <v>46289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46289</v>
      </c>
      <c r="F358" t="inlineStr">
        <is>
          <t>SÖDERMANLANDS LÄN</t>
        </is>
      </c>
      <c r="G358" t="inlineStr">
        <is>
          <t>NYKÖPING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45181</v>
      </c>
      <c r="E359" s="1" t="n">
        <v>46289</v>
      </c>
      <c r="F359" t="inlineStr">
        <is>
          <t>SÖDERMANLANDS LÄN</t>
        </is>
      </c>
      <c r="G359" t="inlineStr">
        <is>
          <t>NYKÖPING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46289</v>
      </c>
      <c r="F360" t="inlineStr">
        <is>
          <t>SÖDERMANLANDS LÄN</t>
        </is>
      </c>
      <c r="G360" t="inlineStr">
        <is>
          <t>NYKÖPING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45146</v>
      </c>
      <c r="E361" s="1" t="n">
        <v>46289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45005</v>
      </c>
      <c r="E362" s="1" t="n">
        <v>46289</v>
      </c>
      <c r="F362" t="inlineStr">
        <is>
          <t>SÖDERMANLANDS LÄN</t>
        </is>
      </c>
      <c r="G362" t="inlineStr">
        <is>
          <t>NYKÖPING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45160</v>
      </c>
      <c r="E363" s="1" t="n">
        <v>46289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Kommuner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46289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11908-2023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46289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46289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65109-2021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44515</v>
      </c>
      <c r="E367" s="1" t="n">
        <v>46289</v>
      </c>
      <c r="F367" t="inlineStr">
        <is>
          <t>SÖDERMANLANDS LÄN</t>
        </is>
      </c>
      <c r="G367" t="inlineStr">
        <is>
          <t>NYKÖPING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45721</v>
      </c>
      <c r="E368" s="1" t="n">
        <v>46289</v>
      </c>
      <c r="F368" t="inlineStr">
        <is>
          <t>SÖDERMANLANDS LÄN</t>
        </is>
      </c>
      <c r="G368" t="inlineStr">
        <is>
          <t>NYKÖPING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44938</v>
      </c>
      <c r="E369" s="1" t="n">
        <v>46289</v>
      </c>
      <c r="F369" t="inlineStr">
        <is>
          <t>SÖDERMANLANDS LÄN</t>
        </is>
      </c>
      <c r="G369" t="inlineStr">
        <is>
          <t>NYKÖPING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45110</v>
      </c>
      <c r="E370" s="1" t="n">
        <v>46289</v>
      </c>
      <c r="F370" t="inlineStr">
        <is>
          <t>SÖDERMANLANDS LÄN</t>
        </is>
      </c>
      <c r="G370" t="inlineStr">
        <is>
          <t>NYKÖPING</t>
        </is>
      </c>
      <c r="I370" t="n">
        <v>11.5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45329</v>
      </c>
      <c r="E371" s="1" t="n">
        <v>46289</v>
      </c>
      <c r="F371" t="inlineStr">
        <is>
          <t>SÖDERMANLANDS LÄN</t>
        </is>
      </c>
      <c r="G371" t="inlineStr">
        <is>
          <t>NYKÖPING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46289</v>
      </c>
      <c r="F372" t="inlineStr">
        <is>
          <t>SÖDERMANLANDS LÄN</t>
        </is>
      </c>
      <c r="G372" t="inlineStr">
        <is>
          <t>NYKÖPING</t>
        </is>
      </c>
      <c r="I372" t="n">
        <v>17.8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44620</v>
      </c>
      <c r="E373" s="1" t="n">
        <v>46289</v>
      </c>
      <c r="F373" t="inlineStr">
        <is>
          <t>SÖDERMANLANDS LÄN</t>
        </is>
      </c>
      <c r="G373" t="inlineStr">
        <is>
          <t>NYKÖPING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45370</v>
      </c>
      <c r="E374" s="1" t="n">
        <v>46289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Kommuner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46289</v>
      </c>
      <c r="F375" t="inlineStr">
        <is>
          <t>SÖDERMANLANDS LÄN</t>
        </is>
      </c>
      <c r="G375" t="inlineStr">
        <is>
          <t>NYKÖPING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27947-2025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45817</v>
      </c>
      <c r="E376" s="1" t="n">
        <v>46289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45546</v>
      </c>
      <c r="E377" s="1" t="n">
        <v>46289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44896</v>
      </c>
      <c r="E378" s="1" t="n">
        <v>46289</v>
      </c>
      <c r="F378" t="inlineStr">
        <is>
          <t>SÖDERMANLANDS LÄN</t>
        </is>
      </c>
      <c r="G378" t="inlineStr">
        <is>
          <t>NYKÖPING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44585</v>
      </c>
      <c r="E379" s="1" t="n">
        <v>46289</v>
      </c>
      <c r="F379" t="inlineStr">
        <is>
          <t>SÖDERMANLANDS LÄN</t>
        </is>
      </c>
      <c r="G379" t="inlineStr">
        <is>
          <t>NYKÖPING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61008-2023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45261</v>
      </c>
      <c r="E380" s="1" t="n">
        <v>46289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46289</v>
      </c>
      <c r="F381" t="inlineStr">
        <is>
          <t>SÖDERMANLANDS LÄN</t>
        </is>
      </c>
      <c r="G381" t="inlineStr">
        <is>
          <t>NYKÖPING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46289</v>
      </c>
      <c r="F382" t="inlineStr">
        <is>
          <t>SÖDERMANLANDS LÄN</t>
        </is>
      </c>
      <c r="G382" t="inlineStr">
        <is>
          <t>NYKÖPING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46289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Kyrkan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46289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Kyrkan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13863-2022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44649</v>
      </c>
      <c r="E385" s="1" t="n">
        <v>46289</v>
      </c>
      <c r="F385" t="inlineStr">
        <is>
          <t>SÖDERMANLANDS LÄN</t>
        </is>
      </c>
      <c r="G385" t="inlineStr">
        <is>
          <t>NYKÖPING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46289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71115-2021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46289</v>
      </c>
      <c r="F387" t="inlineStr">
        <is>
          <t>SÖDERMANLANDS LÄN</t>
        </is>
      </c>
      <c r="G387" t="inlineStr">
        <is>
          <t>NYKÖPING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44957</v>
      </c>
      <c r="E388" s="1" t="n">
        <v>46289</v>
      </c>
      <c r="F388" t="inlineStr">
        <is>
          <t>SÖDERMANLANDS LÄN</t>
        </is>
      </c>
      <c r="G388" t="inlineStr">
        <is>
          <t>NYKÖPING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44911</v>
      </c>
      <c r="E389" s="1" t="n">
        <v>46289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46289</v>
      </c>
      <c r="F390" t="inlineStr">
        <is>
          <t>SÖDERMANLANDS LÄN</t>
        </is>
      </c>
      <c r="G390" t="inlineStr">
        <is>
          <t>NYKÖPING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19763-2023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45051</v>
      </c>
      <c r="E391" s="1" t="n">
        <v>46289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2668-2023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44944</v>
      </c>
      <c r="E392" s="1" t="n">
        <v>46289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55312-2021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44475</v>
      </c>
      <c r="E393" s="1" t="n">
        <v>46289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44936</v>
      </c>
      <c r="E394" s="1" t="n">
        <v>46289</v>
      </c>
      <c r="F394" t="inlineStr">
        <is>
          <t>SÖDERMANLANDS LÄN</t>
        </is>
      </c>
      <c r="G394" t="inlineStr">
        <is>
          <t>NYKÖPING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27874-2025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45817</v>
      </c>
      <c r="E395" s="1" t="n">
        <v>46289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46289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45900</v>
      </c>
      <c r="E397" s="1" t="n">
        <v>46289</v>
      </c>
      <c r="F397" t="inlineStr">
        <is>
          <t>SÖDERMANLANDS LÄN</t>
        </is>
      </c>
      <c r="G397" t="inlineStr">
        <is>
          <t>NYKÖPING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44606</v>
      </c>
      <c r="E398" s="1" t="n">
        <v>46289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Allmännings- och besparingsskogar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52572-2025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46289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44988</v>
      </c>
      <c r="E400" s="1" t="n">
        <v>46289</v>
      </c>
      <c r="F400" t="inlineStr">
        <is>
          <t>SÖDERMANLANDS LÄN</t>
        </is>
      </c>
      <c r="G400" t="inlineStr">
        <is>
          <t>NYKÖPING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52551-2023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46289</v>
      </c>
      <c r="F401" t="inlineStr">
        <is>
          <t>SÖDERMANLANDS LÄN</t>
        </is>
      </c>
      <c r="G401" t="inlineStr">
        <is>
          <t>NYKÖPING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52585-2025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46289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46289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44820-2022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44839</v>
      </c>
      <c r="E404" s="1" t="n">
        <v>46289</v>
      </c>
      <c r="F404" t="inlineStr">
        <is>
          <t>SÖDERMANLANDS LÄN</t>
        </is>
      </c>
      <c r="G404" t="inlineStr">
        <is>
          <t>NYKÖPING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44908-2022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44840</v>
      </c>
      <c r="E405" s="1" t="n">
        <v>46289</v>
      </c>
      <c r="F405" t="inlineStr">
        <is>
          <t>SÖDERMANLANDS LÄN</t>
        </is>
      </c>
      <c r="G405" t="inlineStr">
        <is>
          <t>NYKÖPING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46289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46289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45798</v>
      </c>
      <c r="E408" s="1" t="n">
        <v>46289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32837-2022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44784</v>
      </c>
      <c r="E409" s="1" t="n">
        <v>46289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Kommuner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52546-2023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46289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46289</v>
      </c>
      <c r="F411" t="inlineStr">
        <is>
          <t>SÖDERMANLANDS LÄN</t>
        </is>
      </c>
      <c r="G411" t="inlineStr">
        <is>
          <t>NYKÖPING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45350</v>
      </c>
      <c r="E412" s="1" t="n">
        <v>46289</v>
      </c>
      <c r="F412" t="inlineStr">
        <is>
          <t>SÖDERMANLANDS LÄN</t>
        </is>
      </c>
      <c r="G412" t="inlineStr">
        <is>
          <t>NYKÖPING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45819</v>
      </c>
      <c r="E413" s="1" t="n">
        <v>46289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46289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Kommuner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44652</v>
      </c>
      <c r="E415" s="1" t="n">
        <v>46289</v>
      </c>
      <c r="F415" t="inlineStr">
        <is>
          <t>SÖDERMANLANDS LÄN</t>
        </is>
      </c>
      <c r="G415" t="inlineStr">
        <is>
          <t>NYKÖPING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46289</v>
      </c>
      <c r="F416" t="inlineStr">
        <is>
          <t>SÖDERMANLANDS LÄN</t>
        </is>
      </c>
      <c r="G416" t="inlineStr">
        <is>
          <t>NYKÖPING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45044</v>
      </c>
      <c r="E417" s="1" t="n">
        <v>46289</v>
      </c>
      <c r="F417" t="inlineStr">
        <is>
          <t>SÖDERMANLANDS LÄN</t>
        </is>
      </c>
      <c r="G417" t="inlineStr">
        <is>
          <t>NYKÖPING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46289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45730</v>
      </c>
      <c r="E419" s="1" t="n">
        <v>46289</v>
      </c>
      <c r="F419" t="inlineStr">
        <is>
          <t>SÖDERMANLANDS LÄN</t>
        </is>
      </c>
      <c r="G419" t="inlineStr">
        <is>
          <t>NYKÖPING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11728-2022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44634</v>
      </c>
      <c r="E420" s="1" t="n">
        <v>46289</v>
      </c>
      <c r="F420" t="inlineStr">
        <is>
          <t>SÖDERMANLANDS LÄN</t>
        </is>
      </c>
      <c r="G420" t="inlineStr">
        <is>
          <t>NYKÖPING</t>
        </is>
      </c>
      <c r="I420" t="n">
        <v>11.4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45061</v>
      </c>
      <c r="E421" s="1" t="n">
        <v>46289</v>
      </c>
      <c r="F421" t="inlineStr">
        <is>
          <t>SÖDERMANLANDS LÄN</t>
        </is>
      </c>
      <c r="G421" t="inlineStr">
        <is>
          <t>NYKÖPING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46289</v>
      </c>
      <c r="F422" t="inlineStr">
        <is>
          <t>SÖDERMANLANDS LÄN</t>
        </is>
      </c>
      <c r="G422" t="inlineStr">
        <is>
          <t>NYKÖPING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43880-2023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45187</v>
      </c>
      <c r="E423" s="1" t="n">
        <v>46289</v>
      </c>
      <c r="F423" t="inlineStr">
        <is>
          <t>SÖDERMANLANDS LÄN</t>
        </is>
      </c>
      <c r="G423" t="inlineStr">
        <is>
          <t>NYKÖPING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58857-2021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44489</v>
      </c>
      <c r="E424" s="1" t="n">
        <v>46289</v>
      </c>
      <c r="F424" t="inlineStr">
        <is>
          <t>SÖDERMANLANDS LÄN</t>
        </is>
      </c>
      <c r="G424" t="inlineStr">
        <is>
          <t>NYKÖPING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45547</v>
      </c>
      <c r="E425" s="1" t="n">
        <v>46289</v>
      </c>
      <c r="F425" t="inlineStr">
        <is>
          <t>SÖDERMANLANDS LÄN</t>
        </is>
      </c>
      <c r="G425" t="inlineStr">
        <is>
          <t>NYKÖPING</t>
        </is>
      </c>
      <c r="I425" t="n">
        <v>10.3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44990</v>
      </c>
      <c r="E426" s="1" t="n">
        <v>46289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Allmännings- och besparingsskogar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8688-2025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45712</v>
      </c>
      <c r="E427" s="1" t="n">
        <v>46289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32928-2022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44784</v>
      </c>
      <c r="E428" s="1" t="n">
        <v>46289</v>
      </c>
      <c r="F428" t="inlineStr">
        <is>
          <t>SÖDERMANLANDS LÄN</t>
        </is>
      </c>
      <c r="G428" t="inlineStr">
        <is>
          <t>NYKÖPING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45674</v>
      </c>
      <c r="E429" s="1" t="n">
        <v>46289</v>
      </c>
      <c r="F429" t="inlineStr">
        <is>
          <t>SÖDERMANLANDS LÄN</t>
        </is>
      </c>
      <c r="G429" t="inlineStr">
        <is>
          <t>NYKÖPING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7074-2024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45343</v>
      </c>
      <c r="E430" s="1" t="n">
        <v>46289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Kommuner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16072-2023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45027</v>
      </c>
      <c r="E431" s="1" t="n">
        <v>46289</v>
      </c>
      <c r="F431" t="inlineStr">
        <is>
          <t>SÖDERMANLANDS LÄN</t>
        </is>
      </c>
      <c r="G431" t="inlineStr">
        <is>
          <t>NYKÖPING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55311-2025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45970</v>
      </c>
      <c r="E432" s="1" t="n">
        <v>46289</v>
      </c>
      <c r="F432" t="inlineStr">
        <is>
          <t>SÖDERMANLANDS LÄN</t>
        </is>
      </c>
      <c r="G432" t="inlineStr">
        <is>
          <t>NYKÖPING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46289</v>
      </c>
      <c r="F433" t="inlineStr">
        <is>
          <t>SÖDERMANLANDS LÄN</t>
        </is>
      </c>
      <c r="G433" t="inlineStr">
        <is>
          <t>NYKÖPING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46289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46289</v>
      </c>
      <c r="F435" t="inlineStr">
        <is>
          <t>SÖDERMANLANDS LÄN</t>
        </is>
      </c>
      <c r="G435" t="inlineStr">
        <is>
          <t>NYKÖPING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45146</v>
      </c>
      <c r="E436" s="1" t="n">
        <v>46289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27975-2022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44744</v>
      </c>
      <c r="E437" s="1" t="n">
        <v>46289</v>
      </c>
      <c r="F437" t="inlineStr">
        <is>
          <t>SÖDERMANLANDS LÄN</t>
        </is>
      </c>
      <c r="G437" t="inlineStr">
        <is>
          <t>NYKÖPING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44966</v>
      </c>
      <c r="E438" s="1" t="n">
        <v>46289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Övriga Aktiebolag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44893</v>
      </c>
      <c r="E439" s="1" t="n">
        <v>46289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Övriga Aktiebolag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45110</v>
      </c>
      <c r="E440" s="1" t="n">
        <v>46289</v>
      </c>
      <c r="F440" t="inlineStr">
        <is>
          <t>SÖDERMANLANDS LÄN</t>
        </is>
      </c>
      <c r="G440" t="inlineStr">
        <is>
          <t>NYKÖPING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45365</v>
      </c>
      <c r="E441" s="1" t="n">
        <v>46289</v>
      </c>
      <c r="F441" t="inlineStr">
        <is>
          <t>SÖDERMANLANDS LÄN</t>
        </is>
      </c>
      <c r="G441" t="inlineStr">
        <is>
          <t>NYKÖPING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38317-2022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44812</v>
      </c>
      <c r="E442" s="1" t="n">
        <v>46289</v>
      </c>
      <c r="F442" t="inlineStr">
        <is>
          <t>SÖDERMANLANDS LÄN</t>
        </is>
      </c>
      <c r="G442" t="inlineStr">
        <is>
          <t>NYKÖPING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60104-2023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45258</v>
      </c>
      <c r="E443" s="1" t="n">
        <v>46289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Övriga Aktiebolag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39356-2023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46289</v>
      </c>
      <c r="F444" t="inlineStr">
        <is>
          <t>SÖDERMANLANDS LÄN</t>
        </is>
      </c>
      <c r="G444" t="inlineStr">
        <is>
          <t>NYKÖPING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21925-2022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44711</v>
      </c>
      <c r="E445" s="1" t="n">
        <v>46289</v>
      </c>
      <c r="F445" t="inlineStr">
        <is>
          <t>SÖDERMANLANDS LÄN</t>
        </is>
      </c>
      <c r="G445" t="inlineStr">
        <is>
          <t>NYKÖPING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56228-2024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45624</v>
      </c>
      <c r="E446" s="1" t="n">
        <v>46289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13858-2022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44649</v>
      </c>
      <c r="E447" s="1" t="n">
        <v>46289</v>
      </c>
      <c r="F447" t="inlineStr">
        <is>
          <t>SÖDERMANLANDS LÄN</t>
        </is>
      </c>
      <c r="G447" t="inlineStr">
        <is>
          <t>NYKÖPING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37907-2022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44811</v>
      </c>
      <c r="E448" s="1" t="n">
        <v>46289</v>
      </c>
      <c r="F448" t="inlineStr">
        <is>
          <t>SÖDERMANLANDS LÄN</t>
        </is>
      </c>
      <c r="G448" t="inlineStr">
        <is>
          <t>NYKÖPING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37911-2022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44810</v>
      </c>
      <c r="E449" s="1" t="n">
        <v>46289</v>
      </c>
      <c r="F449" t="inlineStr">
        <is>
          <t>SÖDERMANLANDS LÄN</t>
        </is>
      </c>
      <c r="G449" t="inlineStr">
        <is>
          <t>NYKÖPING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44958</v>
      </c>
      <c r="E450" s="1" t="n">
        <v>46289</v>
      </c>
      <c r="F450" t="inlineStr">
        <is>
          <t>SÖDERMANLANDS LÄN</t>
        </is>
      </c>
      <c r="G450" t="inlineStr">
        <is>
          <t>NYKÖPING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43952-2022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44838</v>
      </c>
      <c r="E451" s="1" t="n">
        <v>46289</v>
      </c>
      <c r="F451" t="inlineStr">
        <is>
          <t>SÖDERMANLANDS LÄN</t>
        </is>
      </c>
      <c r="G451" t="inlineStr">
        <is>
          <t>NYKÖPING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44960</v>
      </c>
      <c r="E452" s="1" t="n">
        <v>46289</v>
      </c>
      <c r="F452" t="inlineStr">
        <is>
          <t>SÖDERMANLANDS LÄN</t>
        </is>
      </c>
      <c r="G452" t="inlineStr">
        <is>
          <t>NYKÖPING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44191-2022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44839</v>
      </c>
      <c r="E453" s="1" t="n">
        <v>46289</v>
      </c>
      <c r="F453" t="inlineStr">
        <is>
          <t>SÖDERMANLANDS LÄN</t>
        </is>
      </c>
      <c r="G453" t="inlineStr">
        <is>
          <t>NYKÖPING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46289</v>
      </c>
      <c r="F454" t="inlineStr">
        <is>
          <t>SÖDERMANLANDS LÄN</t>
        </is>
      </c>
      <c r="G454" t="inlineStr">
        <is>
          <t>NYKÖPING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6392-2023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44965</v>
      </c>
      <c r="E455" s="1" t="n">
        <v>46289</v>
      </c>
      <c r="F455" t="inlineStr">
        <is>
          <t>SÖDERMANLANDS LÄN</t>
        </is>
      </c>
      <c r="G455" t="inlineStr">
        <is>
          <t>NYKÖPING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45980</v>
      </c>
      <c r="E456" s="1" t="n">
        <v>46289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Holmen skog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45979</v>
      </c>
      <c r="E457" s="1" t="n">
        <v>46289</v>
      </c>
      <c r="F457" t="inlineStr">
        <is>
          <t>SÖDERMANLANDS LÄN</t>
        </is>
      </c>
      <c r="G457" t="inlineStr">
        <is>
          <t>NYKÖPING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45037</v>
      </c>
      <c r="E458" s="1" t="n">
        <v>46289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6519-2023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44965</v>
      </c>
      <c r="E459" s="1" t="n">
        <v>46289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Kyrkan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44988</v>
      </c>
      <c r="E460" s="1" t="n">
        <v>46289</v>
      </c>
      <c r="F460" t="inlineStr">
        <is>
          <t>SÖDERMANLANDS LÄN</t>
        </is>
      </c>
      <c r="G460" t="inlineStr">
        <is>
          <t>NYKÖPING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45982</v>
      </c>
      <c r="E461" s="1" t="n">
        <v>46289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24798-2022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44728</v>
      </c>
      <c r="E462" s="1" t="n">
        <v>46289</v>
      </c>
      <c r="F462" t="inlineStr">
        <is>
          <t>SÖDERMANLANDS LÄN</t>
        </is>
      </c>
      <c r="G462" t="inlineStr">
        <is>
          <t>NYKÖPING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17315-2024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45414</v>
      </c>
      <c r="E463" s="1" t="n">
        <v>46289</v>
      </c>
      <c r="F463" t="inlineStr">
        <is>
          <t>SÖDERMANLANDS LÄN</t>
        </is>
      </c>
      <c r="G463" t="inlineStr">
        <is>
          <t>NYKÖPING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45166</v>
      </c>
      <c r="E464" s="1" t="n">
        <v>46289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35019-2023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45143</v>
      </c>
      <c r="E465" s="1" t="n">
        <v>46289</v>
      </c>
      <c r="F465" t="inlineStr">
        <is>
          <t>SÖDERMANLANDS LÄN</t>
        </is>
      </c>
      <c r="G465" t="inlineStr">
        <is>
          <t>NYKÖPING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46289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45685</v>
      </c>
      <c r="E467" s="1" t="n">
        <v>46289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46289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24280-2022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44725</v>
      </c>
      <c r="E469" s="1" t="n">
        <v>46289</v>
      </c>
      <c r="F469" t="inlineStr">
        <is>
          <t>SÖDERMANLANDS LÄN</t>
        </is>
      </c>
      <c r="G469" t="inlineStr">
        <is>
          <t>NYKÖPING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31424-2022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44774</v>
      </c>
      <c r="E470" s="1" t="n">
        <v>46289</v>
      </c>
      <c r="F470" t="inlineStr">
        <is>
          <t>SÖDERMANLANDS LÄN</t>
        </is>
      </c>
      <c r="G470" t="inlineStr">
        <is>
          <t>NYKÖPING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47370-2022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44853</v>
      </c>
      <c r="E471" s="1" t="n">
        <v>46289</v>
      </c>
      <c r="F471" t="inlineStr">
        <is>
          <t>SÖDERMANLANDS LÄN</t>
        </is>
      </c>
      <c r="G471" t="inlineStr">
        <is>
          <t>NYKÖPING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30639-2023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45112</v>
      </c>
      <c r="E472" s="1" t="n">
        <v>46289</v>
      </c>
      <c r="F472" t="inlineStr">
        <is>
          <t>SÖDERMANLANDS LÄN</t>
        </is>
      </c>
      <c r="G472" t="inlineStr">
        <is>
          <t>NYKÖPING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44998</v>
      </c>
      <c r="E473" s="1" t="n">
        <v>46289</v>
      </c>
      <c r="F473" t="inlineStr">
        <is>
          <t>SÖDERMANLANDS LÄN</t>
        </is>
      </c>
      <c r="G473" t="inlineStr">
        <is>
          <t>NYKÖPING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17234-2022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44678</v>
      </c>
      <c r="E474" s="1" t="n">
        <v>46289</v>
      </c>
      <c r="F474" t="inlineStr">
        <is>
          <t>SÖDERMANLANDS LÄN</t>
        </is>
      </c>
      <c r="G474" t="inlineStr">
        <is>
          <t>NYKÖPING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16981-2023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45033</v>
      </c>
      <c r="E475" s="1" t="n">
        <v>46289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16.5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46289</v>
      </c>
      <c r="F476" t="inlineStr">
        <is>
          <t>SÖDERMANLANDS LÄN</t>
        </is>
      </c>
      <c r="G476" t="inlineStr">
        <is>
          <t>NYKÖPING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45385</v>
      </c>
      <c r="E477" s="1" t="n">
        <v>46289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59613-2021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44491</v>
      </c>
      <c r="E478" s="1" t="n">
        <v>46289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Övriga Aktiebolag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45602</v>
      </c>
      <c r="E479" s="1" t="n">
        <v>46289</v>
      </c>
      <c r="F479" t="inlineStr">
        <is>
          <t>SÖDERMANLANDS LÄN</t>
        </is>
      </c>
      <c r="G479" t="inlineStr">
        <is>
          <t>NYKÖPING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21142-2023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46289</v>
      </c>
      <c r="F480" t="inlineStr">
        <is>
          <t>SÖDERMANLANDS LÄN</t>
        </is>
      </c>
      <c r="G480" t="inlineStr">
        <is>
          <t>NYKÖPING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13455-2022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44645</v>
      </c>
      <c r="E481" s="1" t="n">
        <v>46289</v>
      </c>
      <c r="F481" t="inlineStr">
        <is>
          <t>SÖDERMANLANDS LÄN</t>
        </is>
      </c>
      <c r="G481" t="inlineStr">
        <is>
          <t>NYKÖPING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49223-2022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44858</v>
      </c>
      <c r="E482" s="1" t="n">
        <v>46289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Övriga statliga verk och myndigheter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45443</v>
      </c>
      <c r="E483" s="1" t="n">
        <v>46289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25796-2022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44733</v>
      </c>
      <c r="E484" s="1" t="n">
        <v>46289</v>
      </c>
      <c r="F484" t="inlineStr">
        <is>
          <t>SÖDERMANLANDS LÄN</t>
        </is>
      </c>
      <c r="G484" t="inlineStr">
        <is>
          <t>NYKÖPING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45210</v>
      </c>
      <c r="E485" s="1" t="n">
        <v>46289</v>
      </c>
      <c r="F485" t="inlineStr">
        <is>
          <t>SÖDERMANLANDS LÄN</t>
        </is>
      </c>
      <c r="G485" t="inlineStr">
        <is>
          <t>NYKÖPING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46289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59995-2025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46289</v>
      </c>
      <c r="F487" t="inlineStr">
        <is>
          <t>SÖDERMANLANDS LÄN</t>
        </is>
      </c>
      <c r="G487" t="inlineStr">
        <is>
          <t>NYKÖPING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59991-2025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46289</v>
      </c>
      <c r="F488" t="inlineStr">
        <is>
          <t>SÖDERMANLANDS LÄN</t>
        </is>
      </c>
      <c r="G488" t="inlineStr">
        <is>
          <t>NYKÖPING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59992-2025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46289</v>
      </c>
      <c r="F489" t="inlineStr">
        <is>
          <t>SÖDERMANLANDS LÄN</t>
        </is>
      </c>
      <c r="G489" t="inlineStr">
        <is>
          <t>NYKÖPING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46289</v>
      </c>
      <c r="F490" t="inlineStr">
        <is>
          <t>SÖDERMANLANDS LÄN</t>
        </is>
      </c>
      <c r="G490" t="inlineStr">
        <is>
          <t>NYKÖPING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51699-2023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45222</v>
      </c>
      <c r="E491" s="1" t="n">
        <v>46289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59917-2025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46289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45461</v>
      </c>
      <c r="E493" s="1" t="n">
        <v>46289</v>
      </c>
      <c r="F493" t="inlineStr">
        <is>
          <t>SÖDERMANLANDS LÄN</t>
        </is>
      </c>
      <c r="G493" t="inlineStr">
        <is>
          <t>NYKÖPING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35532-2022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44799</v>
      </c>
      <c r="E494" s="1" t="n">
        <v>46289</v>
      </c>
      <c r="F494" t="inlineStr">
        <is>
          <t>SÖDERMANLANDS LÄN</t>
        </is>
      </c>
      <c r="G494" t="inlineStr">
        <is>
          <t>NYKÖPING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31034-2025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45831</v>
      </c>
      <c r="E495" s="1" t="n">
        <v>46289</v>
      </c>
      <c r="F495" t="inlineStr">
        <is>
          <t>SÖDERMANLANDS LÄN</t>
        </is>
      </c>
      <c r="G495" t="inlineStr">
        <is>
          <t>NYKÖPING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46289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Sveaskog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45705</v>
      </c>
      <c r="E497" s="1" t="n">
        <v>46289</v>
      </c>
      <c r="F497" t="inlineStr">
        <is>
          <t>SÖDERMANLANDS LÄN</t>
        </is>
      </c>
      <c r="G497" t="inlineStr">
        <is>
          <t>NYKÖPING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8787-2025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45712</v>
      </c>
      <c r="E498" s="1" t="n">
        <v>46289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46289</v>
      </c>
      <c r="F499" t="inlineStr">
        <is>
          <t>SÖDERMANLANDS LÄN</t>
        </is>
      </c>
      <c r="G499" t="inlineStr">
        <is>
          <t>NYKÖPING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24197-2022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44725</v>
      </c>
      <c r="E500" s="1" t="n">
        <v>46289</v>
      </c>
      <c r="F500" t="inlineStr">
        <is>
          <t>SÖDERMANLANDS LÄN</t>
        </is>
      </c>
      <c r="G500" t="inlineStr">
        <is>
          <t>NYKÖPING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46289</v>
      </c>
      <c r="F501" t="inlineStr">
        <is>
          <t>SÖDERMANLANDS LÄN</t>
        </is>
      </c>
      <c r="G501" t="inlineStr">
        <is>
          <t>NYKÖPING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46289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61253-2025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46289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Allmännings- och besparingsskogar</t>
        </is>
      </c>
      <c r="I503" t="n">
        <v>13.5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46289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Allmännings- och besparingsskogar</t>
        </is>
      </c>
      <c r="I504" t="n">
        <v>10.6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65231-2023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45289</v>
      </c>
      <c r="E505" s="1" t="n">
        <v>46289</v>
      </c>
      <c r="F505" t="inlineStr">
        <is>
          <t>SÖDERMANLANDS LÄN</t>
        </is>
      </c>
      <c r="G505" t="inlineStr">
        <is>
          <t>NYKÖPING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61357-2025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46289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35252-2022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44798</v>
      </c>
      <c r="E507" s="1" t="n">
        <v>46289</v>
      </c>
      <c r="F507" t="inlineStr">
        <is>
          <t>SÖDERMANLANDS LÄN</t>
        </is>
      </c>
      <c r="G507" t="inlineStr">
        <is>
          <t>NYKÖPING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46034</v>
      </c>
      <c r="E508" s="1" t="n">
        <v>46289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46289</v>
      </c>
      <c r="F509" t="inlineStr">
        <is>
          <t>SÖDERMANLANDS LÄN</t>
        </is>
      </c>
      <c r="G509" t="inlineStr">
        <is>
          <t>NYKÖPING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46036</v>
      </c>
      <c r="E510" s="1" t="n">
        <v>46289</v>
      </c>
      <c r="F510" t="inlineStr">
        <is>
          <t>SÖDERMANLANDS LÄN</t>
        </is>
      </c>
      <c r="G510" t="inlineStr">
        <is>
          <t>NYKÖPING</t>
        </is>
      </c>
      <c r="I510" t="n">
        <v>10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31923-2025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45834</v>
      </c>
      <c r="E511" s="1" t="n">
        <v>46289</v>
      </c>
      <c r="F511" t="inlineStr">
        <is>
          <t>SÖDERMANLANDS LÄN</t>
        </is>
      </c>
      <c r="G511" t="inlineStr">
        <is>
          <t>NYKÖPING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46289</v>
      </c>
      <c r="F512" t="inlineStr">
        <is>
          <t>SÖDERMANLANDS LÄN</t>
        </is>
      </c>
      <c r="G512" t="inlineStr">
        <is>
          <t>NYKÖPING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46289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46289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Holmen skog AB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46289</v>
      </c>
      <c r="F515" t="inlineStr">
        <is>
          <t>SÖDERMANLANDS LÄN</t>
        </is>
      </c>
      <c r="G515" t="inlineStr">
        <is>
          <t>NYKÖPING</t>
        </is>
      </c>
      <c r="I515" t="n">
        <v>11.7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30907-2022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44767</v>
      </c>
      <c r="E516" s="1" t="n">
        <v>46289</v>
      </c>
      <c r="F516" t="inlineStr">
        <is>
          <t>SÖDERMANLANDS LÄN</t>
        </is>
      </c>
      <c r="G516" t="inlineStr">
        <is>
          <t>NYKÖPING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45926-2022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44846</v>
      </c>
      <c r="E517" s="1" t="n">
        <v>46289</v>
      </c>
      <c r="F517" t="inlineStr">
        <is>
          <t>SÖDERMANLANDS LÄN</t>
        </is>
      </c>
      <c r="G517" t="inlineStr">
        <is>
          <t>NYKÖPING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46289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62517-2025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46007</v>
      </c>
      <c r="E519" s="1" t="n">
        <v>46289</v>
      </c>
      <c r="F519" t="inlineStr">
        <is>
          <t>SÖDERMANLANDS LÄN</t>
        </is>
      </c>
      <c r="G519" t="inlineStr">
        <is>
          <t>NYKÖPING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45348</v>
      </c>
      <c r="E520" s="1" t="n">
        <v>46289</v>
      </c>
      <c r="F520" t="inlineStr">
        <is>
          <t>SÖDERMANLANDS LÄN</t>
        </is>
      </c>
      <c r="G520" t="inlineStr">
        <is>
          <t>NYKÖPING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45349</v>
      </c>
      <c r="E521" s="1" t="n">
        <v>46289</v>
      </c>
      <c r="F521" t="inlineStr">
        <is>
          <t>SÖDERMANLANDS LÄN</t>
        </is>
      </c>
      <c r="G521" t="inlineStr">
        <is>
          <t>NYKÖPING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46289</v>
      </c>
      <c r="F522" t="inlineStr">
        <is>
          <t>SÖDERMANLANDS LÄN</t>
        </is>
      </c>
      <c r="G522" t="inlineStr">
        <is>
          <t>NYKÖPING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44607</v>
      </c>
      <c r="E523" s="1" t="n">
        <v>46289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46289</v>
      </c>
      <c r="F524" t="inlineStr">
        <is>
          <t>SÖDERMANLANDS LÄN</t>
        </is>
      </c>
      <c r="G524" t="inlineStr">
        <is>
          <t>NYKÖPING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31922-2025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45834</v>
      </c>
      <c r="E525" s="1" t="n">
        <v>46289</v>
      </c>
      <c r="F525" t="inlineStr">
        <is>
          <t>SÖDERMANLANDS LÄN</t>
        </is>
      </c>
      <c r="G525" t="inlineStr">
        <is>
          <t>NYKÖPING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46289</v>
      </c>
      <c r="F526" t="inlineStr">
        <is>
          <t>SÖDERMANLANDS LÄN</t>
        </is>
      </c>
      <c r="G526" t="inlineStr">
        <is>
          <t>NYKÖPING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37941-2022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44810</v>
      </c>
      <c r="E527" s="1" t="n">
        <v>46289</v>
      </c>
      <c r="F527" t="inlineStr">
        <is>
          <t>SÖDERMANLANDS LÄN</t>
        </is>
      </c>
      <c r="G527" t="inlineStr">
        <is>
          <t>NYKÖPING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46042</v>
      </c>
      <c r="E528" s="1" t="n">
        <v>46289</v>
      </c>
      <c r="F528" t="inlineStr">
        <is>
          <t>SÖDERMANLANDS LÄN</t>
        </is>
      </c>
      <c r="G528" t="inlineStr">
        <is>
          <t>NYKÖPING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46041</v>
      </c>
      <c r="E529" s="1" t="n">
        <v>46289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46289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63293-2025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46289</v>
      </c>
      <c r="F531" t="inlineStr">
        <is>
          <t>SÖDERMANLANDS LÄN</t>
        </is>
      </c>
      <c r="G531" t="inlineStr">
        <is>
          <t>NYKÖPING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46289</v>
      </c>
      <c r="F532" t="inlineStr">
        <is>
          <t>SÖDERMANLANDS LÄN</t>
        </is>
      </c>
      <c r="G532" t="inlineStr">
        <is>
          <t>NYKÖPING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62917-2025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46289</v>
      </c>
      <c r="F533" t="inlineStr">
        <is>
          <t>SÖDERMANLANDS LÄN</t>
        </is>
      </c>
      <c r="G533" t="inlineStr">
        <is>
          <t>NYKÖPING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46289</v>
      </c>
      <c r="F534" t="inlineStr">
        <is>
          <t>SÖDERMANLANDS LÄN</t>
        </is>
      </c>
      <c r="G534" t="inlineStr">
        <is>
          <t>NYKÖPING</t>
        </is>
      </c>
      <c r="I534" t="n">
        <v>21.2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8140-2023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44974</v>
      </c>
      <c r="E535" s="1" t="n">
        <v>46289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26561-2023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46289</v>
      </c>
      <c r="F536" t="inlineStr">
        <is>
          <t>SÖDERMANLANDS LÄN</t>
        </is>
      </c>
      <c r="G536" t="inlineStr">
        <is>
          <t>NYKÖPING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44575</v>
      </c>
      <c r="E537" s="1" t="n">
        <v>46289</v>
      </c>
      <c r="F537" t="inlineStr">
        <is>
          <t>SÖDERMANLANDS LÄN</t>
        </is>
      </c>
      <c r="G537" t="inlineStr">
        <is>
          <t>NYKÖPING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46289</v>
      </c>
      <c r="F538" t="inlineStr">
        <is>
          <t>SÖDERMANLANDS LÄN</t>
        </is>
      </c>
      <c r="G538" t="inlineStr">
        <is>
          <t>NYKÖPING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46049</v>
      </c>
      <c r="E539" s="1" t="n">
        <v>46289</v>
      </c>
      <c r="F539" t="inlineStr">
        <is>
          <t>SÖDERMANLANDS LÄN</t>
        </is>
      </c>
      <c r="G539" t="inlineStr">
        <is>
          <t>NYKÖPING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46049</v>
      </c>
      <c r="E540" s="1" t="n">
        <v>46289</v>
      </c>
      <c r="F540" t="inlineStr">
        <is>
          <t>SÖDERMANLANDS LÄN</t>
        </is>
      </c>
      <c r="G540" t="inlineStr">
        <is>
          <t>NYKÖPING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46049</v>
      </c>
      <c r="E541" s="1" t="n">
        <v>46289</v>
      </c>
      <c r="F541" t="inlineStr">
        <is>
          <t>SÖDERMANLANDS LÄN</t>
        </is>
      </c>
      <c r="G541" t="inlineStr">
        <is>
          <t>NYKÖPING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46289</v>
      </c>
      <c r="F542" t="inlineStr">
        <is>
          <t>SÖDERMANLANDS LÄN</t>
        </is>
      </c>
      <c r="G542" t="inlineStr">
        <is>
          <t>NYKÖPING</t>
        </is>
      </c>
      <c r="I542" t="n">
        <v>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46289</v>
      </c>
      <c r="F543" t="inlineStr">
        <is>
          <t>SÖDERMANLANDS LÄN</t>
        </is>
      </c>
      <c r="G543" t="inlineStr">
        <is>
          <t>NYKÖPING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62948-2023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45271</v>
      </c>
      <c r="E544" s="1" t="n">
        <v>46289</v>
      </c>
      <c r="F544" t="inlineStr">
        <is>
          <t>SÖDERMANLANDS LÄN</t>
        </is>
      </c>
      <c r="G544" t="inlineStr">
        <is>
          <t>NYKÖPING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15047-2025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45743</v>
      </c>
      <c r="E545" s="1" t="n">
        <v>46289</v>
      </c>
      <c r="F545" t="inlineStr">
        <is>
          <t>SÖDERMANLANDS LÄN</t>
        </is>
      </c>
      <c r="G545" t="inlineStr">
        <is>
          <t>NYKÖPING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33767-2025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45842</v>
      </c>
      <c r="E546" s="1" t="n">
        <v>46289</v>
      </c>
      <c r="F546" t="inlineStr">
        <is>
          <t>SÖDERMANLANDS LÄN</t>
        </is>
      </c>
      <c r="G546" t="inlineStr">
        <is>
          <t>NYKÖPING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32594-2022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44783</v>
      </c>
      <c r="E547" s="1" t="n">
        <v>46289</v>
      </c>
      <c r="F547" t="inlineStr">
        <is>
          <t>SÖDERMANLANDS LÄN</t>
        </is>
      </c>
      <c r="G547" t="inlineStr">
        <is>
          <t>NYKÖPING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63882-2023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45278</v>
      </c>
      <c r="E548" s="1" t="n">
        <v>46289</v>
      </c>
      <c r="F548" t="inlineStr">
        <is>
          <t>SÖDERMANLANDS LÄN</t>
        </is>
      </c>
      <c r="G548" t="inlineStr">
        <is>
          <t>NYKÖPING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46289</v>
      </c>
      <c r="F549" t="inlineStr">
        <is>
          <t>SÖDERMANLANDS LÄN</t>
        </is>
      </c>
      <c r="G549" t="inlineStr">
        <is>
          <t>NYKÖPING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44620</v>
      </c>
      <c r="E550" s="1" t="n">
        <v>46289</v>
      </c>
      <c r="F550" t="inlineStr">
        <is>
          <t>SÖDERMANLANDS LÄN</t>
        </is>
      </c>
      <c r="G550" t="inlineStr">
        <is>
          <t>NYKÖPING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45301</v>
      </c>
      <c r="E551" s="1" t="n">
        <v>46289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Övriga Aktiebolag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57028-2024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45628</v>
      </c>
      <c r="E552" s="1" t="n">
        <v>46289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20131-2022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44698</v>
      </c>
      <c r="E553" s="1" t="n">
        <v>46289</v>
      </c>
      <c r="F553" t="inlineStr">
        <is>
          <t>SÖDERMANLANDS LÄN</t>
        </is>
      </c>
      <c r="G553" t="inlineStr">
        <is>
          <t>NYKÖPING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71555-2021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44540</v>
      </c>
      <c r="E554" s="1" t="n">
        <v>46289</v>
      </c>
      <c r="F554" t="inlineStr">
        <is>
          <t>SÖDERMANLANDS LÄN</t>
        </is>
      </c>
      <c r="G554" t="inlineStr">
        <is>
          <t>NYKÖPING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6976-2023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44967</v>
      </c>
      <c r="E555" s="1" t="n">
        <v>46289</v>
      </c>
      <c r="F555" t="inlineStr">
        <is>
          <t>SÖDERMANLANDS LÄN</t>
        </is>
      </c>
      <c r="G555" t="inlineStr">
        <is>
          <t>NYKÖPING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38589-2026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46289</v>
      </c>
      <c r="F556" t="inlineStr">
        <is>
          <t>SÖDERMANLANDS LÄN</t>
        </is>
      </c>
      <c r="G556" t="inlineStr">
        <is>
          <t>NYKÖPING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46289</v>
      </c>
      <c r="F557" t="inlineStr">
        <is>
          <t>SÖDERMANLANDS LÄN</t>
        </is>
      </c>
      <c r="G557" t="inlineStr">
        <is>
          <t>NYKÖPING</t>
        </is>
      </c>
      <c r="I557" t="n">
        <v>13.9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42246-2022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44830</v>
      </c>
      <c r="E558" s="1" t="n">
        <v>46289</v>
      </c>
      <c r="F558" t="inlineStr">
        <is>
          <t>SÖDERMANLANDS LÄN</t>
        </is>
      </c>
      <c r="G558" t="inlineStr">
        <is>
          <t>NYKÖPING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58653-2025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45986</v>
      </c>
      <c r="E559" s="1" t="n">
        <v>46289</v>
      </c>
      <c r="F559" t="inlineStr">
        <is>
          <t>SÖDERMANLANDS LÄN</t>
        </is>
      </c>
      <c r="G559" t="inlineStr">
        <is>
          <t>NYKÖPING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34218-2024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45524</v>
      </c>
      <c r="E560" s="1" t="n">
        <v>46289</v>
      </c>
      <c r="F560" t="inlineStr">
        <is>
          <t>SÖDERMANLANDS LÄN</t>
        </is>
      </c>
      <c r="G560" t="inlineStr">
        <is>
          <t>NYKÖPING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58650-2025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46289</v>
      </c>
      <c r="F561" t="inlineStr">
        <is>
          <t>SÖDERMANLANDS LÄN</t>
        </is>
      </c>
      <c r="G561" t="inlineStr">
        <is>
          <t>NYKÖPING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33773-2025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45842</v>
      </c>
      <c r="E562" s="1" t="n">
        <v>46289</v>
      </c>
      <c r="F562" t="inlineStr">
        <is>
          <t>SÖDERMANLANDS LÄN</t>
        </is>
      </c>
      <c r="G562" t="inlineStr">
        <is>
          <t>NYKÖPING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55506-2021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44475</v>
      </c>
      <c r="E563" s="1" t="n">
        <v>46289</v>
      </c>
      <c r="F563" t="inlineStr">
        <is>
          <t>SÖDERMANLANDS LÄN</t>
        </is>
      </c>
      <c r="G563" t="inlineStr">
        <is>
          <t>NYKÖPING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33382-2025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46289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58676-2025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45986</v>
      </c>
      <c r="E565" s="1" t="n">
        <v>46289</v>
      </c>
      <c r="F565" t="inlineStr">
        <is>
          <t>SÖDERMANLANDS LÄN</t>
        </is>
      </c>
      <c r="G565" t="inlineStr">
        <is>
          <t>NYKÖPING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46287</v>
      </c>
      <c r="E566" s="1" t="n">
        <v>46289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33762-2025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45842</v>
      </c>
      <c r="E567" s="1" t="n">
        <v>46289</v>
      </c>
      <c r="F567" t="inlineStr">
        <is>
          <t>SÖDERMANLANDS LÄN</t>
        </is>
      </c>
      <c r="G567" t="inlineStr">
        <is>
          <t>NYKÖPING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4406-2024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45327</v>
      </c>
      <c r="E568" s="1" t="n">
        <v>46289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46289</v>
      </c>
      <c r="F569" t="inlineStr">
        <is>
          <t>SÖDERMANLANDS LÄN</t>
        </is>
      </c>
      <c r="G569" t="inlineStr">
        <is>
          <t>NYKÖPING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46289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9453-2026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46071</v>
      </c>
      <c r="E571" s="1" t="n">
        <v>46289</v>
      </c>
      <c r="F571" t="inlineStr">
        <is>
          <t>SÖDERMANLANDS LÄN</t>
        </is>
      </c>
      <c r="G571" t="inlineStr">
        <is>
          <t>NYKÖPING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46289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33020-2026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46289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Sveaskog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46071</v>
      </c>
      <c r="E574" s="1" t="n">
        <v>46289</v>
      </c>
      <c r="F574" t="inlineStr">
        <is>
          <t>SÖDERMANLANDS LÄN</t>
        </is>
      </c>
      <c r="G574" t="inlineStr">
        <is>
          <t>NYKÖPING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9468-2026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46289</v>
      </c>
      <c r="F575" t="inlineStr">
        <is>
          <t>SÖDERMANLANDS LÄN</t>
        </is>
      </c>
      <c r="G575" t="inlineStr">
        <is>
          <t>NYKÖPING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33863-2022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44790</v>
      </c>
      <c r="E576" s="1" t="n">
        <v>46289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53738-2022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44880</v>
      </c>
      <c r="E577" s="1" t="n">
        <v>46289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Övriga Aktiebolag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13963-2022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44650</v>
      </c>
      <c r="E578" s="1" t="n">
        <v>46289</v>
      </c>
      <c r="F578" t="inlineStr">
        <is>
          <t>SÖDERMANLANDS LÄN</t>
        </is>
      </c>
      <c r="G578" t="inlineStr">
        <is>
          <t>NYKÖPING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43581-2022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44837</v>
      </c>
      <c r="E579" s="1" t="n">
        <v>46289</v>
      </c>
      <c r="F579" t="inlineStr">
        <is>
          <t>SÖDERMANLANDS LÄN</t>
        </is>
      </c>
      <c r="G579" t="inlineStr">
        <is>
          <t>NYKÖPING</t>
        </is>
      </c>
      <c r="I579" t="n">
        <v>7.8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53569-2022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44879</v>
      </c>
      <c r="E580" s="1" t="n">
        <v>46289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Övriga Aktiebolag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53413-2022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44879</v>
      </c>
      <c r="E581" s="1" t="n">
        <v>46289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Övriga Aktiebolag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33764-2025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46289</v>
      </c>
      <c r="F582" t="inlineStr">
        <is>
          <t>SÖDERMANLANDS LÄN</t>
        </is>
      </c>
      <c r="G582" t="inlineStr">
        <is>
          <t>NYKÖPING</t>
        </is>
      </c>
      <c r="I582" t="n">
        <v>6.2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12800-2023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45001</v>
      </c>
      <c r="E583" s="1" t="n">
        <v>46289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46289</v>
      </c>
      <c r="F584" t="inlineStr">
        <is>
          <t>SÖDERMANLANDS LÄN</t>
        </is>
      </c>
      <c r="G584" t="inlineStr">
        <is>
          <t>NYKÖPING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44916</v>
      </c>
      <c r="E585" s="1" t="n">
        <v>46289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33095-2026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46289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15397-2023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45019</v>
      </c>
      <c r="E587" s="1" t="n">
        <v>46289</v>
      </c>
      <c r="F587" t="inlineStr">
        <is>
          <t>SÖDERMANLANDS LÄN</t>
        </is>
      </c>
      <c r="G587" t="inlineStr">
        <is>
          <t>NYKÖPING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46289</v>
      </c>
      <c r="F588" t="inlineStr">
        <is>
          <t>SÖDERMANLANDS LÄN</t>
        </is>
      </c>
      <c r="G588" t="inlineStr">
        <is>
          <t>NYKÖPING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46245</v>
      </c>
      <c r="E589" s="1" t="n">
        <v>46289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38410-2022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44812</v>
      </c>
      <c r="E590" s="1" t="n">
        <v>46289</v>
      </c>
      <c r="F590" t="inlineStr">
        <is>
          <t>SÖDERMANLANDS LÄN</t>
        </is>
      </c>
      <c r="G590" t="inlineStr">
        <is>
          <t>NYKÖPING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5642-2023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44960</v>
      </c>
      <c r="E591" s="1" t="n">
        <v>46289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44938</v>
      </c>
      <c r="E592" s="1" t="n">
        <v>46289</v>
      </c>
      <c r="F592" t="inlineStr">
        <is>
          <t>SÖDERMANLANDS LÄN</t>
        </is>
      </c>
      <c r="G592" t="inlineStr">
        <is>
          <t>NYKÖPING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45075</v>
      </c>
      <c r="E593" s="1" t="n">
        <v>46289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72985-2021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44549</v>
      </c>
      <c r="E594" s="1" t="n">
        <v>46289</v>
      </c>
      <c r="F594" t="inlineStr">
        <is>
          <t>SÖDERMANLANDS LÄN</t>
        </is>
      </c>
      <c r="G594" t="inlineStr">
        <is>
          <t>NYKÖPING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8407-2023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44977</v>
      </c>
      <c r="E595" s="1" t="n">
        <v>46289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Övriga Aktiebolag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51530-2022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44869</v>
      </c>
      <c r="E596" s="1" t="n">
        <v>46289</v>
      </c>
      <c r="F596" t="inlineStr">
        <is>
          <t>SÖDERMANLANDS LÄN</t>
        </is>
      </c>
      <c r="G596" t="inlineStr">
        <is>
          <t>NYKÖPING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39310-2023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45166</v>
      </c>
      <c r="E597" s="1" t="n">
        <v>46289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45844</v>
      </c>
      <c r="E598" s="1" t="n">
        <v>46289</v>
      </c>
      <c r="F598" t="inlineStr">
        <is>
          <t>SÖDERMANLANDS LÄN</t>
        </is>
      </c>
      <c r="G598" t="inlineStr">
        <is>
          <t>NYKÖPING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4854-2023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44957</v>
      </c>
      <c r="E599" s="1" t="n">
        <v>46289</v>
      </c>
      <c r="F599" t="inlineStr">
        <is>
          <t>SÖDERMANLANDS LÄN</t>
        </is>
      </c>
      <c r="G599" t="inlineStr">
        <is>
          <t>NYKÖPING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45062</v>
      </c>
      <c r="E600" s="1" t="n">
        <v>46289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45370</v>
      </c>
      <c r="E601" s="1" t="n">
        <v>46289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51556-2024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45604</v>
      </c>
      <c r="E602" s="1" t="n">
        <v>46289</v>
      </c>
      <c r="F602" t="inlineStr">
        <is>
          <t>SÖDERMANLANDS LÄN</t>
        </is>
      </c>
      <c r="G602" t="inlineStr">
        <is>
          <t>NYKÖPING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46289</v>
      </c>
      <c r="F603" t="inlineStr">
        <is>
          <t>SÖDERMANLANDS LÄN</t>
        </is>
      </c>
      <c r="G603" t="inlineStr">
        <is>
          <t>NYKÖPING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13260-2026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46093</v>
      </c>
      <c r="E604" s="1" t="n">
        <v>46289</v>
      </c>
      <c r="F604" t="inlineStr">
        <is>
          <t>SÖDERMANLANDS LÄN</t>
        </is>
      </c>
      <c r="G604" t="inlineStr">
        <is>
          <t>NYKÖPING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44946</v>
      </c>
      <c r="E605" s="1" t="n">
        <v>46289</v>
      </c>
      <c r="F605" t="inlineStr">
        <is>
          <t>SÖDERMANLANDS LÄN</t>
        </is>
      </c>
      <c r="G605" t="inlineStr">
        <is>
          <t>NYKÖPING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13763-2025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45737</v>
      </c>
      <c r="E606" s="1" t="n">
        <v>46289</v>
      </c>
      <c r="F606" t="inlineStr">
        <is>
          <t>SÖDERMANLANDS LÄN</t>
        </is>
      </c>
      <c r="G606" t="inlineStr">
        <is>
          <t>NYKÖPING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18510-2024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45424</v>
      </c>
      <c r="E607" s="1" t="n">
        <v>46289</v>
      </c>
      <c r="F607" t="inlineStr">
        <is>
          <t>SÖDERMANLANDS LÄN</t>
        </is>
      </c>
      <c r="G607" t="inlineStr">
        <is>
          <t>NYKÖPING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44959</v>
      </c>
      <c r="E608" s="1" t="n">
        <v>46289</v>
      </c>
      <c r="F608" t="inlineStr">
        <is>
          <t>SÖDERMANLANDS LÄN</t>
        </is>
      </c>
      <c r="G608" t="inlineStr">
        <is>
          <t>NYKÖPING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46289</v>
      </c>
      <c r="F609" t="inlineStr">
        <is>
          <t>SÖDERMANLANDS LÄN</t>
        </is>
      </c>
      <c r="G609" t="inlineStr">
        <is>
          <t>NYKÖPING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14363-2026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46289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46100</v>
      </c>
      <c r="E611" s="1" t="n">
        <v>46289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44865</v>
      </c>
      <c r="E612" s="1" t="n">
        <v>46289</v>
      </c>
      <c r="F612" t="inlineStr">
        <is>
          <t>SÖDERMANLANDS LÄN</t>
        </is>
      </c>
      <c r="G612" t="inlineStr">
        <is>
          <t>NYKÖPING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51880-2023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45216</v>
      </c>
      <c r="E613" s="1" t="n">
        <v>46289</v>
      </c>
      <c r="F613" t="inlineStr">
        <is>
          <t>SÖDERMANLANDS LÄN</t>
        </is>
      </c>
      <c r="G613" t="inlineStr">
        <is>
          <t>NYKÖPING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53374-2021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44468</v>
      </c>
      <c r="E614" s="1" t="n">
        <v>46289</v>
      </c>
      <c r="F614" t="inlineStr">
        <is>
          <t>SÖDERMANLANDS LÄN</t>
        </is>
      </c>
      <c r="G614" t="inlineStr">
        <is>
          <t>NYKÖPING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72666-2021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44546</v>
      </c>
      <c r="E615" s="1" t="n">
        <v>46289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7043-2023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44968</v>
      </c>
      <c r="E616" s="1" t="n">
        <v>46289</v>
      </c>
      <c r="F616" t="inlineStr">
        <is>
          <t>SÖDERMANLANDS LÄN</t>
        </is>
      </c>
      <c r="G616" t="inlineStr">
        <is>
          <t>NYKÖPING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44960</v>
      </c>
      <c r="E617" s="1" t="n">
        <v>46289</v>
      </c>
      <c r="F617" t="inlineStr">
        <is>
          <t>SÖDERMANLANDS LÄN</t>
        </is>
      </c>
      <c r="G617" t="inlineStr">
        <is>
          <t>NYKÖPING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44964</v>
      </c>
      <c r="E618" s="1" t="n">
        <v>46289</v>
      </c>
      <c r="F618" t="inlineStr">
        <is>
          <t>SÖDERMANLANDS LÄN</t>
        </is>
      </c>
      <c r="G618" t="inlineStr">
        <is>
          <t>NYKÖPING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39253-2023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45166</v>
      </c>
      <c r="E619" s="1" t="n">
        <v>46289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27563-2024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45474</v>
      </c>
      <c r="E620" s="1" t="n">
        <v>46289</v>
      </c>
      <c r="F620" t="inlineStr">
        <is>
          <t>SÖDERMANLANDS LÄN</t>
        </is>
      </c>
      <c r="G620" t="inlineStr">
        <is>
          <t>NYKÖPING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35732-2025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45860</v>
      </c>
      <c r="E621" s="1" t="n">
        <v>46289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72117-2021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44543</v>
      </c>
      <c r="E622" s="1" t="n">
        <v>46289</v>
      </c>
      <c r="F622" t="inlineStr">
        <is>
          <t>SÖDERMANLANDS LÄN</t>
        </is>
      </c>
      <c r="G622" t="inlineStr">
        <is>
          <t>NYKÖPING</t>
        </is>
      </c>
      <c r="I622" t="n">
        <v>14.9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50776-2022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44867</v>
      </c>
      <c r="E623" s="1" t="n">
        <v>46289</v>
      </c>
      <c r="F623" t="inlineStr">
        <is>
          <t>SÖDERMANLANDS LÄN</t>
        </is>
      </c>
      <c r="G623" t="inlineStr">
        <is>
          <t>NYKÖPING</t>
        </is>
      </c>
      <c r="I623" t="n">
        <v>13.4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9469-2022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44616</v>
      </c>
      <c r="E624" s="1" t="n">
        <v>46289</v>
      </c>
      <c r="F624" t="inlineStr">
        <is>
          <t>SÖDERMANLANDS LÄN</t>
        </is>
      </c>
      <c r="G624" t="inlineStr">
        <is>
          <t>NYKÖPING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28973-2023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45096</v>
      </c>
      <c r="E625" s="1" t="n">
        <v>46289</v>
      </c>
      <c r="F625" t="inlineStr">
        <is>
          <t>SÖDERMANLANDS LÄN</t>
        </is>
      </c>
      <c r="G625" t="inlineStr">
        <is>
          <t>NYKÖPING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46289</v>
      </c>
      <c r="F626" t="inlineStr">
        <is>
          <t>SÖDERMANLANDS LÄN</t>
        </is>
      </c>
      <c r="G626" t="inlineStr">
        <is>
          <t>NYKÖPING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27933-2023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45098</v>
      </c>
      <c r="E627" s="1" t="n">
        <v>46289</v>
      </c>
      <c r="F627" t="inlineStr">
        <is>
          <t>SÖDERMANLANDS LÄN</t>
        </is>
      </c>
      <c r="G627" t="inlineStr">
        <is>
          <t>NYKÖPING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27944-2023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45098</v>
      </c>
      <c r="E628" s="1" t="n">
        <v>46289</v>
      </c>
      <c r="F628" t="inlineStr">
        <is>
          <t>SÖDERMANLANDS LÄN</t>
        </is>
      </c>
      <c r="G628" t="inlineStr">
        <is>
          <t>NYKÖPING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16457-2023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45029</v>
      </c>
      <c r="E629" s="1" t="n">
        <v>46289</v>
      </c>
      <c r="F629" t="inlineStr">
        <is>
          <t>SÖDERMANLANDS LÄN</t>
        </is>
      </c>
      <c r="G629" t="inlineStr">
        <is>
          <t>NYKÖPING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44944</v>
      </c>
      <c r="E630" s="1" t="n">
        <v>46289</v>
      </c>
      <c r="F630" t="inlineStr">
        <is>
          <t>SÖDERMANLANDS LÄN</t>
        </is>
      </c>
      <c r="G630" t="inlineStr">
        <is>
          <t>NYKÖPING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67736-2021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44525</v>
      </c>
      <c r="E631" s="1" t="n">
        <v>46289</v>
      </c>
      <c r="F631" t="inlineStr">
        <is>
          <t>SÖDERMANLANDS LÄN</t>
        </is>
      </c>
      <c r="G631" t="inlineStr">
        <is>
          <t>NYKÖPING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51410-2022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44869</v>
      </c>
      <c r="E632" s="1" t="n">
        <v>46289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46022-2025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45924</v>
      </c>
      <c r="E633" s="1" t="n">
        <v>46289</v>
      </c>
      <c r="F633" t="inlineStr">
        <is>
          <t>SÖDERMANLANDS LÄN</t>
        </is>
      </c>
      <c r="G633" t="inlineStr">
        <is>
          <t>NYKÖPING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17074-2026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46114</v>
      </c>
      <c r="E634" s="1" t="n">
        <v>46289</v>
      </c>
      <c r="F634" t="inlineStr">
        <is>
          <t>SÖDERMANLANDS LÄN</t>
        </is>
      </c>
      <c r="G634" t="inlineStr">
        <is>
          <t>NYKÖPING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45034</v>
      </c>
      <c r="E635" s="1" t="n">
        <v>46289</v>
      </c>
      <c r="F635" t="inlineStr">
        <is>
          <t>SÖDERMANLANDS LÄN</t>
        </is>
      </c>
      <c r="G635" t="inlineStr">
        <is>
          <t>NYKÖPING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8340-2023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44976</v>
      </c>
      <c r="E636" s="1" t="n">
        <v>46289</v>
      </c>
      <c r="F636" t="inlineStr">
        <is>
          <t>SÖDERMANLANDS LÄN</t>
        </is>
      </c>
      <c r="G636" t="inlineStr">
        <is>
          <t>NYKÖPING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44964</v>
      </c>
      <c r="E637" s="1" t="n">
        <v>46289</v>
      </c>
      <c r="F637" t="inlineStr">
        <is>
          <t>SÖDERMANLANDS LÄN</t>
        </is>
      </c>
      <c r="G637" t="inlineStr">
        <is>
          <t>NYKÖPING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64159-2021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44510</v>
      </c>
      <c r="E638" s="1" t="n">
        <v>46289</v>
      </c>
      <c r="F638" t="inlineStr">
        <is>
          <t>SÖDERMANLANDS LÄN</t>
        </is>
      </c>
      <c r="G638" t="inlineStr">
        <is>
          <t>NYKÖPING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38054-2023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45160</v>
      </c>
      <c r="E639" s="1" t="n">
        <v>46289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Kommuner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38063-2023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45160</v>
      </c>
      <c r="E640" s="1" t="n">
        <v>46289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Kommuner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46737-2025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45926</v>
      </c>
      <c r="E641" s="1" t="n">
        <v>46289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43657-2022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44837</v>
      </c>
      <c r="E642" s="1" t="n">
        <v>46289</v>
      </c>
      <c r="F642" t="inlineStr">
        <is>
          <t>SÖDERMANLANDS LÄN</t>
        </is>
      </c>
      <c r="G642" t="inlineStr">
        <is>
          <t>NYKÖPING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42368-2024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45564</v>
      </c>
      <c r="E643" s="1" t="n">
        <v>46289</v>
      </c>
      <c r="F643" t="inlineStr">
        <is>
          <t>SÖDERMANLANDS LÄN</t>
        </is>
      </c>
      <c r="G643" t="inlineStr">
        <is>
          <t>NYKÖPING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12153-2025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45729</v>
      </c>
      <c r="E644" s="1" t="n">
        <v>46289</v>
      </c>
      <c r="F644" t="inlineStr">
        <is>
          <t>SÖDERMANLANDS LÄN</t>
        </is>
      </c>
      <c r="G644" t="inlineStr">
        <is>
          <t>NYKÖPING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1804-2023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44938</v>
      </c>
      <c r="E645" s="1" t="n">
        <v>46289</v>
      </c>
      <c r="F645" t="inlineStr">
        <is>
          <t>SÖDERMANLANDS LÄN</t>
        </is>
      </c>
      <c r="G645" t="inlineStr">
        <is>
          <t>NYKÖPING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8573-2023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44977</v>
      </c>
      <c r="E646" s="1" t="n">
        <v>46289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Övriga Aktiebolag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64099-2021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44509</v>
      </c>
      <c r="E647" s="1" t="n">
        <v>46289</v>
      </c>
      <c r="F647" t="inlineStr">
        <is>
          <t>SÖDERMANLANDS LÄN</t>
        </is>
      </c>
      <c r="G647" t="inlineStr">
        <is>
          <t>NYKÖPING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57836-2023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45247</v>
      </c>
      <c r="E648" s="1" t="n">
        <v>46289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Övriga Aktiebolag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20985-2023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45061</v>
      </c>
      <c r="E649" s="1" t="n">
        <v>46289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44579</v>
      </c>
      <c r="E650" s="1" t="n">
        <v>46289</v>
      </c>
      <c r="F650" t="inlineStr">
        <is>
          <t>SÖDERMANLANDS LÄN</t>
        </is>
      </c>
      <c r="G650" t="inlineStr">
        <is>
          <t>NYKÖPING</t>
        </is>
      </c>
      <c r="I650" t="n">
        <v>10.8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2445-2022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44579</v>
      </c>
      <c r="E651" s="1" t="n">
        <v>46289</v>
      </c>
      <c r="F651" t="inlineStr">
        <is>
          <t>SÖDERMANLANDS LÄN</t>
        </is>
      </c>
      <c r="G651" t="inlineStr">
        <is>
          <t>NYKÖPING</t>
        </is>
      </c>
      <c r="I651" t="n">
        <v>6.7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10981-2024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45370</v>
      </c>
      <c r="E652" s="1" t="n">
        <v>46289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Kommuner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2517-2022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44579</v>
      </c>
      <c r="E653" s="1" t="n">
        <v>46289</v>
      </c>
      <c r="F653" t="inlineStr">
        <is>
          <t>SÖDERMANLANDS LÄN</t>
        </is>
      </c>
      <c r="G653" t="inlineStr">
        <is>
          <t>NYKÖPING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38846-2023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45163</v>
      </c>
      <c r="E654" s="1" t="n">
        <v>46289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44578</v>
      </c>
      <c r="E655" s="1" t="n">
        <v>46289</v>
      </c>
      <c r="F655" t="inlineStr">
        <is>
          <t>SÖDERMANLANDS LÄN</t>
        </is>
      </c>
      <c r="G655" t="inlineStr">
        <is>
          <t>NYKÖPING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33653-2024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45520</v>
      </c>
      <c r="E656" s="1" t="n">
        <v>46289</v>
      </c>
      <c r="F656" t="inlineStr">
        <is>
          <t>SÖDERMANLANDS LÄN</t>
        </is>
      </c>
      <c r="G656" t="inlineStr">
        <is>
          <t>NYKÖPING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58654-2025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45986</v>
      </c>
      <c r="E657" s="1" t="n">
        <v>46289</v>
      </c>
      <c r="F657" t="inlineStr">
        <is>
          <t>SÖDERMANLANDS LÄN</t>
        </is>
      </c>
      <c r="G657" t="inlineStr">
        <is>
          <t>NYKÖPING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45819</v>
      </c>
      <c r="E658" s="1" t="n">
        <v>46289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Sveaskog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45062</v>
      </c>
      <c r="E659" s="1" t="n">
        <v>46289</v>
      </c>
      <c r="F659" t="inlineStr">
        <is>
          <t>SÖDERMANLANDS LÄN</t>
        </is>
      </c>
      <c r="G659" t="inlineStr">
        <is>
          <t>NYKÖPING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45282-2022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44844</v>
      </c>
      <c r="E660" s="1" t="n">
        <v>46289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35020-2023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45143</v>
      </c>
      <c r="E661" s="1" t="n">
        <v>46289</v>
      </c>
      <c r="F661" t="inlineStr">
        <is>
          <t>SÖDERMANLANDS LÄN</t>
        </is>
      </c>
      <c r="G661" t="inlineStr">
        <is>
          <t>NYKÖPING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41165-2024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45559</v>
      </c>
      <c r="E662" s="1" t="n">
        <v>46289</v>
      </c>
      <c r="F662" t="inlineStr">
        <is>
          <t>SÖDERMANLANDS LÄN</t>
        </is>
      </c>
      <c r="G662" t="inlineStr">
        <is>
          <t>NYKÖPING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19807-2026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46289</v>
      </c>
      <c r="F663" t="inlineStr">
        <is>
          <t>SÖDERMANLANDS LÄN</t>
        </is>
      </c>
      <c r="G663" t="inlineStr">
        <is>
          <t>NYKÖPING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54065-2025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45964</v>
      </c>
      <c r="E664" s="1" t="n">
        <v>46289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24285-2022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44725</v>
      </c>
      <c r="E665" s="1" t="n">
        <v>46289</v>
      </c>
      <c r="F665" t="inlineStr">
        <is>
          <t>SÖDERMANLANDS LÄN</t>
        </is>
      </c>
      <c r="G665" t="inlineStr">
        <is>
          <t>NYKÖPING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14848-2024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45398</v>
      </c>
      <c r="E666" s="1" t="n">
        <v>46289</v>
      </c>
      <c r="F666" t="inlineStr">
        <is>
          <t>SÖDERMANLANDS LÄN</t>
        </is>
      </c>
      <c r="G666" t="inlineStr">
        <is>
          <t>NYKÖPING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1407-2025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45667</v>
      </c>
      <c r="E667" s="1" t="n">
        <v>46289</v>
      </c>
      <c r="F667" t="inlineStr">
        <is>
          <t>SÖDERMANLANDS LÄN</t>
        </is>
      </c>
      <c r="G667" t="inlineStr">
        <is>
          <t>NYKÖPING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16881-2024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45410</v>
      </c>
      <c r="E668" s="1" t="n">
        <v>46289</v>
      </c>
      <c r="F668" t="inlineStr">
        <is>
          <t>SÖDERMANLANDS LÄN</t>
        </is>
      </c>
      <c r="G668" t="inlineStr">
        <is>
          <t>NYKÖPING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41132-2024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45559</v>
      </c>
      <c r="E669" s="1" t="n">
        <v>46289</v>
      </c>
      <c r="F669" t="inlineStr">
        <is>
          <t>SÖDERMANLANDS LÄN</t>
        </is>
      </c>
      <c r="G669" t="inlineStr">
        <is>
          <t>NYKÖPING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47390-2025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45930</v>
      </c>
      <c r="E670" s="1" t="n">
        <v>46289</v>
      </c>
      <c r="F670" t="inlineStr">
        <is>
          <t>SÖDERMANLANDS LÄN</t>
        </is>
      </c>
      <c r="G670" t="inlineStr">
        <is>
          <t>NYKÖPING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28664-2025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45819</v>
      </c>
      <c r="E671" s="1" t="n">
        <v>46289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Sveaskog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46289</v>
      </c>
      <c r="F672" t="inlineStr">
        <is>
          <t>SÖDERMANLANDS LÄN</t>
        </is>
      </c>
      <c r="G672" t="inlineStr">
        <is>
          <t>NYKÖPING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7807-2025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45706</v>
      </c>
      <c r="E673" s="1" t="n">
        <v>46289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57621-2024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45630</v>
      </c>
      <c r="E674" s="1" t="n">
        <v>46289</v>
      </c>
      <c r="F674" t="inlineStr">
        <is>
          <t>SÖDERMANLANDS LÄN</t>
        </is>
      </c>
      <c r="G674" t="inlineStr">
        <is>
          <t>NYKÖPING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45310</v>
      </c>
      <c r="E675" s="1" t="n">
        <v>46289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68401-2021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44529</v>
      </c>
      <c r="E676" s="1" t="n">
        <v>46289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Övriga Aktiebolag</t>
        </is>
      </c>
      <c r="I676" t="n">
        <v>16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20179-2026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46139</v>
      </c>
      <c r="E677" s="1" t="n">
        <v>46289</v>
      </c>
      <c r="F677" t="inlineStr">
        <is>
          <t>SÖDERMANLANDS LÄN</t>
        </is>
      </c>
      <c r="G677" t="inlineStr">
        <is>
          <t>NYKÖPING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31401-2022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44774</v>
      </c>
      <c r="E678" s="1" t="n">
        <v>46289</v>
      </c>
      <c r="F678" t="inlineStr">
        <is>
          <t>SÖDERMANLANDS LÄN</t>
        </is>
      </c>
      <c r="G678" t="inlineStr">
        <is>
          <t>NYKÖPING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18551-2024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45425</v>
      </c>
      <c r="E679" s="1" t="n">
        <v>46289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Kommuner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7036-2023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44968</v>
      </c>
      <c r="E680" s="1" t="n">
        <v>46289</v>
      </c>
      <c r="F680" t="inlineStr">
        <is>
          <t>SÖDERMANLANDS LÄN</t>
        </is>
      </c>
      <c r="G680" t="inlineStr">
        <is>
          <t>NYKÖPING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18604-2023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45043</v>
      </c>
      <c r="E681" s="1" t="n">
        <v>46289</v>
      </c>
      <c r="F681" t="inlineStr">
        <is>
          <t>SÖDERMANLANDS LÄN</t>
        </is>
      </c>
      <c r="G681" t="inlineStr">
        <is>
          <t>NYKÖPING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53800-2022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44880</v>
      </c>
      <c r="E682" s="1" t="n">
        <v>46289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10211-2024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45364</v>
      </c>
      <c r="E683" s="1" t="n">
        <v>46289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21917-2022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44711</v>
      </c>
      <c r="E684" s="1" t="n">
        <v>46289</v>
      </c>
      <c r="F684" t="inlineStr">
        <is>
          <t>SÖDERMANLANDS LÄN</t>
        </is>
      </c>
      <c r="G684" t="inlineStr">
        <is>
          <t>NYKÖPING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54183-2022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44881</v>
      </c>
      <c r="E685" s="1" t="n">
        <v>46289</v>
      </c>
      <c r="F685" t="inlineStr">
        <is>
          <t>SÖDERMANLANDS LÄN</t>
        </is>
      </c>
      <c r="G685" t="inlineStr">
        <is>
          <t>NYKÖPING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45762</v>
      </c>
      <c r="E686" s="1" t="n">
        <v>46289</v>
      </c>
      <c r="F686" t="inlineStr">
        <is>
          <t>SÖDERMANLANDS LÄN</t>
        </is>
      </c>
      <c r="G686" t="inlineStr">
        <is>
          <t>NYKÖPING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45148</v>
      </c>
      <c r="E687" s="1" t="n">
        <v>46289</v>
      </c>
      <c r="F687" t="inlineStr">
        <is>
          <t>SÖDERMANLANDS LÄN</t>
        </is>
      </c>
      <c r="G687" t="inlineStr">
        <is>
          <t>NYKÖPING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32875-2022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44784</v>
      </c>
      <c r="E688" s="1" t="n">
        <v>46289</v>
      </c>
      <c r="F688" t="inlineStr">
        <is>
          <t>SÖDERMANLANDS LÄN</t>
        </is>
      </c>
      <c r="G688" t="inlineStr">
        <is>
          <t>NYKÖPING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46289</v>
      </c>
      <c r="F689" t="inlineStr">
        <is>
          <t>SÖDERMANLANDS LÄN</t>
        </is>
      </c>
      <c r="G689" t="inlineStr">
        <is>
          <t>NYKÖPING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10639-2025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45721</v>
      </c>
      <c r="E690" s="1" t="n">
        <v>46289</v>
      </c>
      <c r="F690" t="inlineStr">
        <is>
          <t>SÖDERMANLANDS LÄN</t>
        </is>
      </c>
      <c r="G690" t="inlineStr">
        <is>
          <t>NYKÖPING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44932</v>
      </c>
      <c r="E691" s="1" t="n">
        <v>46289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929-2023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44932</v>
      </c>
      <c r="E692" s="1" t="n">
        <v>46289</v>
      </c>
      <c r="F692" t="inlineStr">
        <is>
          <t>SÖDERMANLANDS LÄN</t>
        </is>
      </c>
      <c r="G692" t="inlineStr">
        <is>
          <t>NYKÖPING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44942</v>
      </c>
      <c r="E693" s="1" t="n">
        <v>46289</v>
      </c>
      <c r="F693" t="inlineStr">
        <is>
          <t>SÖDERMANLANDS LÄN</t>
        </is>
      </c>
      <c r="G693" t="inlineStr">
        <is>
          <t>NYKÖPING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41288-2023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45174</v>
      </c>
      <c r="E694" s="1" t="n">
        <v>46289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46289</v>
      </c>
      <c r="F695" t="inlineStr">
        <is>
          <t>SÖDERMANLANDS LÄN</t>
        </is>
      </c>
      <c r="G695" t="inlineStr">
        <is>
          <t>NYKÖPING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31392-2022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44774</v>
      </c>
      <c r="E696" s="1" t="n">
        <v>46289</v>
      </c>
      <c r="F696" t="inlineStr">
        <is>
          <t>SÖDERMANLANDS LÄN</t>
        </is>
      </c>
      <c r="G696" t="inlineStr">
        <is>
          <t>NYKÖPING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42251-2022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44830</v>
      </c>
      <c r="E697" s="1" t="n">
        <v>46289</v>
      </c>
      <c r="F697" t="inlineStr">
        <is>
          <t>SÖDERMANLANDS LÄN</t>
        </is>
      </c>
      <c r="G697" t="inlineStr">
        <is>
          <t>NYKÖPING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44965</v>
      </c>
      <c r="E698" s="1" t="n">
        <v>46289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45540</v>
      </c>
      <c r="E699" s="1" t="n">
        <v>46289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45729</v>
      </c>
      <c r="E700" s="1" t="n">
        <v>46289</v>
      </c>
      <c r="F700" t="inlineStr">
        <is>
          <t>SÖDERMANLANDS LÄN</t>
        </is>
      </c>
      <c r="G700" t="inlineStr">
        <is>
          <t>NYKÖPING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12140-2025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45729</v>
      </c>
      <c r="E701" s="1" t="n">
        <v>46289</v>
      </c>
      <c r="F701" t="inlineStr">
        <is>
          <t>SÖDERMANLANDS LÄN</t>
        </is>
      </c>
      <c r="G701" t="inlineStr">
        <is>
          <t>NYKÖPING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62432-2023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45268</v>
      </c>
      <c r="E702" s="1" t="n">
        <v>46289</v>
      </c>
      <c r="F702" t="inlineStr">
        <is>
          <t>SÖDERMANLANDS LÄN</t>
        </is>
      </c>
      <c r="G702" t="inlineStr">
        <is>
          <t>NYKÖPING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65174-2023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45288</v>
      </c>
      <c r="E703" s="1" t="n">
        <v>46289</v>
      </c>
      <c r="F703" t="inlineStr">
        <is>
          <t>SÖDERMANLANDS LÄN</t>
        </is>
      </c>
      <c r="G703" t="inlineStr">
        <is>
          <t>NYKÖPING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68500-2021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44529</v>
      </c>
      <c r="E704" s="1" t="n">
        <v>46289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Övriga Aktiebolag</t>
        </is>
      </c>
      <c r="I704" t="n">
        <v>13.1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12826-2024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45384</v>
      </c>
      <c r="E705" s="1" t="n">
        <v>46289</v>
      </c>
      <c r="F705" t="inlineStr">
        <is>
          <t>SÖDERMANLANDS LÄN</t>
        </is>
      </c>
      <c r="G705" t="inlineStr">
        <is>
          <t>NYKÖPING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7131-2026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46058</v>
      </c>
      <c r="E706" s="1" t="n">
        <v>46289</v>
      </c>
      <c r="F706" t="inlineStr">
        <is>
          <t>SÖDERMANLANDS LÄN</t>
        </is>
      </c>
      <c r="G706" t="inlineStr">
        <is>
          <t>NYKÖPING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29551-2023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45106</v>
      </c>
      <c r="E707" s="1" t="n">
        <v>46289</v>
      </c>
      <c r="F707" t="inlineStr">
        <is>
          <t>SÖDERMANLANDS LÄN</t>
        </is>
      </c>
      <c r="G707" t="inlineStr">
        <is>
          <t>NYKÖPING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1558-2024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45306</v>
      </c>
      <c r="E708" s="1" t="n">
        <v>46289</v>
      </c>
      <c r="F708" t="inlineStr">
        <is>
          <t>SÖDERMANLANDS LÄN</t>
        </is>
      </c>
      <c r="G708" t="inlineStr">
        <is>
          <t>NYKÖPING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51259-2024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46289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Sveaskog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21984-2024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45443</v>
      </c>
      <c r="E710" s="1" t="n">
        <v>46289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18525-2024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45424</v>
      </c>
      <c r="E711" s="1" t="n">
        <v>46289</v>
      </c>
      <c r="F711" t="inlineStr">
        <is>
          <t>SÖDERMANLANDS LÄN</t>
        </is>
      </c>
      <c r="G711" t="inlineStr">
        <is>
          <t>NYKÖPING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44950</v>
      </c>
      <c r="E712" s="1" t="n">
        <v>46289</v>
      </c>
      <c r="F712" t="inlineStr">
        <is>
          <t>SÖDERMANLANDS LÄN</t>
        </is>
      </c>
      <c r="G712" t="inlineStr">
        <is>
          <t>NYKÖPING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8324-2024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45350</v>
      </c>
      <c r="E713" s="1" t="n">
        <v>46289</v>
      </c>
      <c r="F713" t="inlineStr">
        <is>
          <t>SÖDERMANLANDS LÄN</t>
        </is>
      </c>
      <c r="G713" t="inlineStr">
        <is>
          <t>NYKÖPING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46145</v>
      </c>
      <c r="E714" s="1" t="n">
        <v>46289</v>
      </c>
      <c r="F714" t="inlineStr">
        <is>
          <t>SÖDERMANLANDS LÄN</t>
        </is>
      </c>
      <c r="G714" t="inlineStr">
        <is>
          <t>NYKÖPING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21020-2026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46145</v>
      </c>
      <c r="E715" s="1" t="n">
        <v>46289</v>
      </c>
      <c r="F715" t="inlineStr">
        <is>
          <t>SÖDERMANLANDS LÄN</t>
        </is>
      </c>
      <c r="G715" t="inlineStr">
        <is>
          <t>NYKÖPING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45315</v>
      </c>
      <c r="E716" s="1" t="n">
        <v>46289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Kyrkan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44824-2023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45190</v>
      </c>
      <c r="E717" s="1" t="n">
        <v>46289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7045-2023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44968</v>
      </c>
      <c r="E718" s="1" t="n">
        <v>46289</v>
      </c>
      <c r="F718" t="inlineStr">
        <is>
          <t>SÖDERMANLANDS LÄN</t>
        </is>
      </c>
      <c r="G718" t="inlineStr">
        <is>
          <t>NYKÖPING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20482-2025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46289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46289</v>
      </c>
      <c r="F720" t="inlineStr">
        <is>
          <t>SÖDERMANLANDS LÄN</t>
        </is>
      </c>
      <c r="G720" t="inlineStr">
        <is>
          <t>NYKÖPING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21676-2026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46289</v>
      </c>
      <c r="F721" t="inlineStr">
        <is>
          <t>SÖDERMANLANDS LÄN</t>
        </is>
      </c>
      <c r="G721" t="inlineStr">
        <is>
          <t>NYKÖPING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9074-2026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46069</v>
      </c>
      <c r="E722" s="1" t="n">
        <v>46289</v>
      </c>
      <c r="F722" t="inlineStr">
        <is>
          <t>SÖDERMANLANDS LÄN</t>
        </is>
      </c>
      <c r="G722" t="inlineStr">
        <is>
          <t>NYKÖPING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22475-2026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46155</v>
      </c>
      <c r="E723" s="1" t="n">
        <v>46289</v>
      </c>
      <c r="F723" t="inlineStr">
        <is>
          <t>SÖDERMANLANDS LÄN</t>
        </is>
      </c>
      <c r="G723" t="inlineStr">
        <is>
          <t>NYKÖPING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49902-2025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45940</v>
      </c>
      <c r="E724" s="1" t="n">
        <v>46289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Sveaskog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8378-2024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45351</v>
      </c>
      <c r="E725" s="1" t="n">
        <v>46289</v>
      </c>
      <c r="F725" t="inlineStr">
        <is>
          <t>SÖDERMANLANDS LÄN</t>
        </is>
      </c>
      <c r="G725" t="inlineStr">
        <is>
          <t>NYKÖPING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56770-2025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45978</v>
      </c>
      <c r="E726" s="1" t="n">
        <v>46289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56845-2025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45978</v>
      </c>
      <c r="E727" s="1" t="n">
        <v>46289</v>
      </c>
      <c r="F727" t="inlineStr">
        <is>
          <t>SÖDERMANLANDS LÄN</t>
        </is>
      </c>
      <c r="G727" t="inlineStr">
        <is>
          <t>NYKÖPING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11755-2026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46289</v>
      </c>
      <c r="F728" t="inlineStr">
        <is>
          <t>SÖDERMANLANDS LÄN</t>
        </is>
      </c>
      <c r="G728" t="inlineStr">
        <is>
          <t>NYKÖPING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11757-2026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46289</v>
      </c>
      <c r="F729" t="inlineStr">
        <is>
          <t>SÖDERMANLANDS LÄN</t>
        </is>
      </c>
      <c r="G729" t="inlineStr">
        <is>
          <t>NYKÖPING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46289</v>
      </c>
      <c r="F730" t="inlineStr">
        <is>
          <t>SÖDERMANLANDS LÄN</t>
        </is>
      </c>
      <c r="G730" t="inlineStr">
        <is>
          <t>NYKÖPING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56851-2025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45978</v>
      </c>
      <c r="E731" s="1" t="n">
        <v>46289</v>
      </c>
      <c r="F731" t="inlineStr">
        <is>
          <t>SÖDERMANLANDS LÄN</t>
        </is>
      </c>
      <c r="G731" t="inlineStr">
        <is>
          <t>NYKÖPING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46072</v>
      </c>
      <c r="E732" s="1" t="n">
        <v>46289</v>
      </c>
      <c r="F732" t="inlineStr">
        <is>
          <t>SÖDERMANLANDS LÄN</t>
        </is>
      </c>
      <c r="G732" t="inlineStr">
        <is>
          <t>NYKÖPING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23637-2026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46163</v>
      </c>
      <c r="E733" s="1" t="n">
        <v>46289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Kyrkan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12111-2026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46086</v>
      </c>
      <c r="E734" s="1" t="n">
        <v>46289</v>
      </c>
      <c r="F734" t="inlineStr">
        <is>
          <t>SÖDERMANLANDS LÄN</t>
        </is>
      </c>
      <c r="G734" t="inlineStr">
        <is>
          <t>NYKÖPING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24152-2026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46289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Kyrkan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17460-2026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46120</v>
      </c>
      <c r="E736" s="1" t="n">
        <v>46289</v>
      </c>
      <c r="F736" t="inlineStr">
        <is>
          <t>SÖDERMANLANDS LÄN</t>
        </is>
      </c>
      <c r="G736" t="inlineStr">
        <is>
          <t>NYKÖPING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24285-2026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46289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Kyrkan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10622-2025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45721</v>
      </c>
      <c r="E738" s="1" t="n">
        <v>46289</v>
      </c>
      <c r="F738" t="inlineStr">
        <is>
          <t>SÖDERMANLANDS LÄN</t>
        </is>
      </c>
      <c r="G738" t="inlineStr">
        <is>
          <t>NYKÖPING</t>
        </is>
      </c>
      <c r="I738" t="n">
        <v>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58496-2025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46289</v>
      </c>
      <c r="F739" t="inlineStr">
        <is>
          <t>SÖDERMANLANDS LÄN</t>
        </is>
      </c>
      <c r="G739" t="inlineStr">
        <is>
          <t>NYKÖPING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46098</v>
      </c>
      <c r="E740" s="1" t="n">
        <v>46289</v>
      </c>
      <c r="F740" t="inlineStr">
        <is>
          <t>SÖDERMANLANDS LÄN</t>
        </is>
      </c>
      <c r="G740" t="inlineStr">
        <is>
          <t>NYKÖPING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25334-2026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46176</v>
      </c>
      <c r="E741" s="1" t="n">
        <v>46289</v>
      </c>
      <c r="F741" t="inlineStr">
        <is>
          <t>SÖDERMANLANDS LÄN</t>
        </is>
      </c>
      <c r="G741" t="inlineStr">
        <is>
          <t>NYKÖPING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25336-2026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46176</v>
      </c>
      <c r="E742" s="1" t="n">
        <v>46289</v>
      </c>
      <c r="F742" t="inlineStr">
        <is>
          <t>SÖDERMANLANDS LÄN</t>
        </is>
      </c>
      <c r="G742" t="inlineStr">
        <is>
          <t>NYKÖPING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25403-2026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46176</v>
      </c>
      <c r="E743" s="1" t="n">
        <v>46289</v>
      </c>
      <c r="F743" t="inlineStr">
        <is>
          <t>SÖDERMANLANDS LÄN</t>
        </is>
      </c>
      <c r="G743" t="inlineStr">
        <is>
          <t>NYKÖPING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3193-2022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44582</v>
      </c>
      <c r="E744" s="1" t="n">
        <v>46289</v>
      </c>
      <c r="F744" t="inlineStr">
        <is>
          <t>SÖDERMANLANDS LÄN</t>
        </is>
      </c>
      <c r="G744" t="inlineStr">
        <is>
          <t>NYKÖPING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19027-2026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46131</v>
      </c>
      <c r="E745" s="1" t="n">
        <v>46289</v>
      </c>
      <c r="F745" t="inlineStr">
        <is>
          <t>SÖDERMANLANDS LÄN</t>
        </is>
      </c>
      <c r="G745" t="inlineStr">
        <is>
          <t>NYKÖPING</t>
        </is>
      </c>
      <c r="I745" t="n">
        <v>12.4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26686-2026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46184</v>
      </c>
      <c r="E746" s="1" t="n">
        <v>46289</v>
      </c>
      <c r="F746" t="inlineStr">
        <is>
          <t>SÖDERMANLANDS LÄN</t>
        </is>
      </c>
      <c r="G746" t="inlineStr">
        <is>
          <t>NYKÖPING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26687-2026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46184</v>
      </c>
      <c r="E747" s="1" t="n">
        <v>46289</v>
      </c>
      <c r="F747" t="inlineStr">
        <is>
          <t>SÖDERMANLANDS LÄN</t>
        </is>
      </c>
      <c r="G747" t="inlineStr">
        <is>
          <t>NYKÖPING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26503-2026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46289</v>
      </c>
      <c r="F748" t="inlineStr">
        <is>
          <t>SÖDERMANLANDS LÄN</t>
        </is>
      </c>
      <c r="G748" t="inlineStr">
        <is>
          <t>NYKÖPING</t>
        </is>
      </c>
      <c r="I748" t="n">
        <v>7.2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26685-2026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46289</v>
      </c>
      <c r="F749" t="inlineStr">
        <is>
          <t>SÖDERMANLANDS LÄN</t>
        </is>
      </c>
      <c r="G749" t="inlineStr">
        <is>
          <t>NYKÖPING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26224-2026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46289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46289</v>
      </c>
      <c r="F751" t="inlineStr">
        <is>
          <t>SÖDERMANLANDS LÄN</t>
        </is>
      </c>
      <c r="G751" t="inlineStr">
        <is>
          <t>NYKÖPING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26848-2026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46289</v>
      </c>
      <c r="F752" t="inlineStr">
        <is>
          <t>SÖDERMANLANDS LÄN</t>
        </is>
      </c>
      <c r="G752" t="inlineStr">
        <is>
          <t>NYKÖPING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26839-2026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46289</v>
      </c>
      <c r="F753" t="inlineStr">
        <is>
          <t>SÖDERMANLANDS LÄN</t>
        </is>
      </c>
      <c r="G753" t="inlineStr">
        <is>
          <t>NYKÖPING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26643-2026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46184</v>
      </c>
      <c r="E754" s="1" t="n">
        <v>46289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46195</v>
      </c>
      <c r="E755" s="1" t="n">
        <v>46289</v>
      </c>
      <c r="F755" t="inlineStr">
        <is>
          <t>SÖDERMANLANDS LÄN</t>
        </is>
      </c>
      <c r="G755" t="inlineStr">
        <is>
          <t>NYKÖPING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24497-2025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45798</v>
      </c>
      <c r="E756" s="1" t="n">
        <v>46289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29485-2026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46289</v>
      </c>
      <c r="F757" t="inlineStr">
        <is>
          <t>SÖDERMANLANDS LÄN</t>
        </is>
      </c>
      <c r="G757" t="inlineStr">
        <is>
          <t>NYKÖPING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58685-2025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45986</v>
      </c>
      <c r="E758" s="1" t="n">
        <v>46289</v>
      </c>
      <c r="F758" t="inlineStr">
        <is>
          <t>SÖDERMANLANDS LÄN</t>
        </is>
      </c>
      <c r="G758" t="inlineStr">
        <is>
          <t>NYKÖPING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33494-2026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46247</v>
      </c>
      <c r="E759" s="1" t="n">
        <v>46289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46247</v>
      </c>
      <c r="E760" s="1" t="n">
        <v>46289</v>
      </c>
      <c r="F760" t="inlineStr">
        <is>
          <t>SÖDERMANLANDS LÄN</t>
        </is>
      </c>
      <c r="G760" t="inlineStr">
        <is>
          <t>NYKÖPING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30212-2026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46289</v>
      </c>
      <c r="F761" t="inlineStr">
        <is>
          <t>SÖDERMANLANDS LÄN</t>
        </is>
      </c>
      <c r="G761" t="inlineStr">
        <is>
          <t>NYKÖPING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30695-2026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46211</v>
      </c>
      <c r="E762" s="1" t="n">
        <v>46289</v>
      </c>
      <c r="F762" t="inlineStr">
        <is>
          <t>SÖDERMANLANDS LÄN</t>
        </is>
      </c>
      <c r="G762" t="inlineStr">
        <is>
          <t>NYKÖPING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30720-2026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46211</v>
      </c>
      <c r="E763" s="1" t="n">
        <v>46289</v>
      </c>
      <c r="F763" t="inlineStr">
        <is>
          <t>SÖDERMANLANDS LÄN</t>
        </is>
      </c>
      <c r="G763" t="inlineStr">
        <is>
          <t>NYKÖPING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34161-2026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46253</v>
      </c>
      <c r="E764" s="1" t="n">
        <v>46289</v>
      </c>
      <c r="F764" t="inlineStr">
        <is>
          <t>SÖDERMANLANDS LÄN</t>
        </is>
      </c>
      <c r="G764" t="inlineStr">
        <is>
          <t>NYKÖPING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29487-2026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46198</v>
      </c>
      <c r="E765" s="1" t="n">
        <v>46289</v>
      </c>
      <c r="F765" t="inlineStr">
        <is>
          <t>SÖDERMANLANDS LÄN</t>
        </is>
      </c>
      <c r="G765" t="inlineStr">
        <is>
          <t>NYKÖPING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46289</v>
      </c>
      <c r="F766" t="inlineStr">
        <is>
          <t>SÖDERMANLANDS LÄN</t>
        </is>
      </c>
      <c r="G766" t="inlineStr">
        <is>
          <t>NYKÖPING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34169-2026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46253</v>
      </c>
      <c r="E767" s="1" t="n">
        <v>46289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Kyrkan</t>
        </is>
      </c>
      <c r="I767" t="n">
        <v>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31469-2026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46222</v>
      </c>
      <c r="E768" s="1" t="n">
        <v>46289</v>
      </c>
      <c r="F768" t="inlineStr">
        <is>
          <t>SÖDERMANLANDS LÄN</t>
        </is>
      </c>
      <c r="G768" t="inlineStr">
        <is>
          <t>NYKÖPING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46228</v>
      </c>
      <c r="E769" s="1" t="n">
        <v>46289</v>
      </c>
      <c r="F769" t="inlineStr">
        <is>
          <t>SÖDERMANLANDS LÄN</t>
        </is>
      </c>
      <c r="G769" t="inlineStr">
        <is>
          <t>NYKÖPING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46252</v>
      </c>
      <c r="E770" s="1" t="n">
        <v>46289</v>
      </c>
      <c r="F770" t="inlineStr">
        <is>
          <t>SÖDERMANLANDS LÄN</t>
        </is>
      </c>
      <c r="G770" t="inlineStr">
        <is>
          <t>NYKÖPING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18080-2026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46125</v>
      </c>
      <c r="E771" s="1" t="n">
        <v>46289</v>
      </c>
      <c r="F771" t="inlineStr">
        <is>
          <t>SÖDERMANLANDS LÄN</t>
        </is>
      </c>
      <c r="G771" t="inlineStr">
        <is>
          <t>NYKÖPING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46289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Sveaskog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37954-2026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46289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46234</v>
      </c>
      <c r="E774" s="1" t="n">
        <v>46289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32499-2026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46239</v>
      </c>
      <c r="E775" s="1" t="n">
        <v>46289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1999-2020</t>
        </is>
      </c>
      <c r="B776" t="inlineStr">
        <is>
          <t>samrådsanmälan</t>
        </is>
      </c>
      <c r="C776" t="inlineStr">
        <is>
          <t>Åtgärd i nyckelbiotop</t>
        </is>
      </c>
      <c r="D776" s="1" t="n">
        <v>44092</v>
      </c>
      <c r="E776" s="1" t="n">
        <v>46289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Kommuner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1573-2020</t>
        </is>
      </c>
      <c r="B777" t="inlineStr">
        <is>
          <t>samrådsanmälan</t>
        </is>
      </c>
      <c r="C777" t="inlineStr">
        <is>
          <t>Åtgärd i nyckelbiotop</t>
        </is>
      </c>
      <c r="D777" s="1" t="n">
        <v>44013</v>
      </c>
      <c r="E777" s="1" t="n">
        <v>46289</v>
      </c>
      <c r="F777" t="inlineStr">
        <is>
          <t>SÖDERMANLANDS LÄN</t>
        </is>
      </c>
      <c r="G777" t="inlineStr">
        <is>
          <t>NYKÖPING</t>
        </is>
      </c>
      <c r="I777" t="n">
        <v>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2311-2022</t>
        </is>
      </c>
      <c r="B778" t="inlineStr">
        <is>
          <t>samrådsanmälan</t>
        </is>
      </c>
      <c r="C778" t="inlineStr">
        <is>
          <t>Åtgärd i nyckelbiotop</t>
        </is>
      </c>
      <c r="D778" s="1" t="n">
        <v>44684</v>
      </c>
      <c r="E778" s="1" t="n">
        <v>46289</v>
      </c>
      <c r="F778" t="inlineStr">
        <is>
          <t>SÖDERMANLANDS LÄN</t>
        </is>
      </c>
      <c r="G778" t="inlineStr">
        <is>
          <t>NYKÖPING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3579-2022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44735</v>
      </c>
      <c r="E779" s="1" t="n">
        <v>46289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Sveaskog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3783-2023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45223</v>
      </c>
      <c r="E780" s="1" t="n">
        <v>46289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220-2023</t>
        </is>
      </c>
      <c r="B781" t="inlineStr">
        <is>
          <t>samrådsanmälan</t>
        </is>
      </c>
      <c r="C781" t="inlineStr">
        <is>
          <t>Stubbskörd</t>
        </is>
      </c>
      <c r="D781" s="1" t="n">
        <v>44949</v>
      </c>
      <c r="E781" s="1" t="n">
        <v>46289</v>
      </c>
      <c r="F781" t="inlineStr">
        <is>
          <t>SÖDERMANLANDS LÄN</t>
        </is>
      </c>
      <c r="G781" t="inlineStr">
        <is>
          <t>NYKÖPING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1224-2023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45029</v>
      </c>
      <c r="E782" s="1" t="n">
        <v>46289</v>
      </c>
      <c r="F782" t="inlineStr">
        <is>
          <t>SÖDERMANLANDS LÄN</t>
        </is>
      </c>
      <c r="G782" t="inlineStr">
        <is>
          <t>NYKÖPING</t>
        </is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633-2025</t>
        </is>
      </c>
      <c r="B783" t="inlineStr">
        <is>
          <t>samrådsanmälan</t>
        </is>
      </c>
      <c r="C783" t="inlineStr">
        <is>
          <t>Skogsgödsling</t>
        </is>
      </c>
      <c r="D783" s="1" t="n">
        <v>45714</v>
      </c>
      <c r="E783" s="1" t="n">
        <v>46289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39.6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3071-2024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45517</v>
      </c>
      <c r="E784" s="1" t="n">
        <v>46289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2818-2025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45939</v>
      </c>
      <c r="E785" s="1" t="n">
        <v>46289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Sveaskog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641-2026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46090</v>
      </c>
      <c r="E786" s="1" t="n">
        <v>46289</v>
      </c>
      <c r="F786" t="inlineStr">
        <is>
          <t>SÖDERMANLANDS LÄN</t>
        </is>
      </c>
      <c r="G786" t="inlineStr">
        <is>
          <t>NYKÖPING</t>
        </is>
      </c>
      <c r="I786" t="n">
        <v>46.2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>
      <c r="A787" t="inlineStr">
        <is>
          <t>S 248-2026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46050</v>
      </c>
      <c r="E787" s="1" t="n">
        <v>46289</v>
      </c>
      <c r="F787" t="inlineStr">
        <is>
          <t>SÖDERMANLANDS LÄN</t>
        </is>
      </c>
      <c r="G787" t="inlineStr">
        <is>
          <t>NYKÖPING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2026-09-24T01:57:53Z</dcterms:created>
  <dcterms:modified xmlns:dcterms="http://purl.org/dc/terms/" xmlns:xsi="http://www.w3.org/2001/XMLSchema-instance" xsi:type="dcterms:W3CDTF">2026-09-24T01:57:53Z</dcterms:modified>
</cp:coreProperties>
</file>