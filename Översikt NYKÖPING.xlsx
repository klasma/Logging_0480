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46237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46237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46237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46237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46237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46237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46237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46237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46237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46237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46237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46237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46237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46237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46237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46237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46237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46237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46237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46237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46237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46237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46237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46237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46237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46237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46237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46237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46237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0</v>
      </c>
      <c r="V30" s="2" t="inlineStr">
        <is>
          <t>Motaggsvamp
Bronshjon
Mindre märgborre
Vedticka</t>
        </is>
      </c>
      <c r="W30">
        <f>HYPERLINK("https://klasma.github.io/Logging_0480/artfynd/A 63101-2025 artfynd.xlsx", "A 63101-2025")</f>
        <v/>
      </c>
      <c r="X30">
        <f>HYPERLINK("https://klasma.github.io/Logging_0480/kartor/A 63101-2025 karta.png", "A 63101-2025")</f>
        <v/>
      </c>
      <c r="Y30">
        <f>HYPERLINK("https://klasma.github.io/Logging_0480/kartor_geotiff/A 63101-2025 georefererad karta.tif", "A 63101-2025")</f>
        <v/>
      </c>
      <c r="AA30">
        <f>HYPERLINK("https://klasma.github.io/Logging_0480/klagomål/A 63101-2025 FSC-klagomål.docx", "A 63101-2025")</f>
        <v/>
      </c>
      <c r="AB30">
        <f>HYPERLINK("https://klasma.github.io/Logging_0480/klagomålsmail/A 63101-2025 FSC-klagomål mail.docx", "A 63101-2025")</f>
        <v/>
      </c>
      <c r="AC30">
        <f>HYPERLINK("https://klasma.github.io/Logging_0480/tillsyn/A 63101-2025 tillsynsbegäran.docx", "A 63101-2025")</f>
        <v/>
      </c>
      <c r="AD30">
        <f>HYPERLINK("https://klasma.github.io/Logging_0480/tillsynsmail/A 63101-2025 tillsynsbegäran mail.docx", "A 63101-2025")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46237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46237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8663-2022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44613</v>
      </c>
      <c r="E33" s="1" t="n">
        <v>46237</v>
      </c>
      <c r="F33" t="inlineStr">
        <is>
          <t>SÖDERMANLANDS LÄN</t>
        </is>
      </c>
      <c r="G33" t="inlineStr">
        <is>
          <t>NYKÖPING</t>
        </is>
      </c>
      <c r="I33" t="n">
        <v>6.5</v>
      </c>
      <c r="J33" t="n">
        <v>0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Fjällig taggsvamp s.str.
Orange taggsvamp
Blomkålssvamp
Stubbspretmossa</t>
        </is>
      </c>
      <c r="W33">
        <f>HYPERLINK("https://klasma.github.io/Logging_0480/artfynd/A 8663-2022 artfynd.xlsx", "A 8663-2022")</f>
        <v/>
      </c>
      <c r="X33">
        <f>HYPERLINK("https://klasma.github.io/Logging_0480/kartor/A 8663-2022 karta.png", "A 8663-2022")</f>
        <v/>
      </c>
      <c r="Y33">
        <f>HYPERLINK("https://klasma.github.io/Logging_0480/kartor_geotiff/A 8663-2022 georefererad karta.tif", "A 8663-2022")</f>
        <v/>
      </c>
      <c r="AA33">
        <f>HYPERLINK("https://klasma.github.io/Logging_0480/klagomål/A 8663-2022 FSC-klagomål.docx", "A 8663-2022")</f>
        <v/>
      </c>
      <c r="AB33">
        <f>HYPERLINK("https://klasma.github.io/Logging_0480/klagomålsmail/A 8663-2022 FSC-klagomål mail.docx", "A 8663-2022")</f>
        <v/>
      </c>
      <c r="AC33">
        <f>HYPERLINK("https://klasma.github.io/Logging_0480/tillsyn/A 8663-2022 tillsynsbegäran.docx", "A 8663-2022")</f>
        <v/>
      </c>
      <c r="AD33">
        <f>HYPERLINK("https://klasma.github.io/Logging_0480/tillsynsmail/A 8663-2022 tillsynsbegäran mail.docx", "A 8663-2022")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46237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46237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46237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22417-2023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45070</v>
      </c>
      <c r="E37" s="1" t="n">
        <v>46237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1.6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Backstarr
Sjöhjortron
Vanlig snok</t>
        </is>
      </c>
      <c r="W37">
        <f>HYPERLINK("https://klasma.github.io/Logging_0480/artfynd/A 22417-2023 artfynd.xlsx", "A 22417-2023")</f>
        <v/>
      </c>
      <c r="X37">
        <f>HYPERLINK("https://klasma.github.io/Logging_0480/kartor/A 22417-2023 karta.png", "A 22417-2023")</f>
        <v/>
      </c>
      <c r="Y37">
        <f>HYPERLINK("https://klasma.github.io/Logging_0480/kartor_geotiff/A 22417-2023 georefererad karta.tif", "A 22417-2023")</f>
        <v/>
      </c>
      <c r="AA37">
        <f>HYPERLINK("https://klasma.github.io/Logging_0480/klagomål/A 22417-2023 FSC-klagomål.docx", "A 22417-2023")</f>
        <v/>
      </c>
      <c r="AB37">
        <f>HYPERLINK("https://klasma.github.io/Logging_0480/klagomålsmail/A 22417-2023 FSC-klagomål mail.docx", "A 22417-2023")</f>
        <v/>
      </c>
      <c r="AC37">
        <f>HYPERLINK("https://klasma.github.io/Logging_0480/tillsyn/A 22417-2023 tillsynsbegäran.docx", "A 22417-2023")</f>
        <v/>
      </c>
      <c r="AD37">
        <f>HYPERLINK("https://klasma.github.io/Logging_0480/tillsynsmail/A 22417-2023 tillsynsbegäran mail.docx", "A 22417-2023")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46237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46237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46237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46237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57727-2025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45981</v>
      </c>
      <c r="E42" s="1" t="n">
        <v>46237</v>
      </c>
      <c r="F42" t="inlineStr">
        <is>
          <t>SÖDERMANLANDS LÄN</t>
        </is>
      </c>
      <c r="G42" t="inlineStr">
        <is>
          <t>NYKÖPING</t>
        </is>
      </c>
      <c r="I42" t="n">
        <v>9.6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Grönsångare
Spillkråka
Trana</t>
        </is>
      </c>
      <c r="W42">
        <f>HYPERLINK("https://klasma.github.io/Logging_0480/artfynd/A 57727-2025 artfynd.xlsx", "A 57727-2025")</f>
        <v/>
      </c>
      <c r="X42">
        <f>HYPERLINK("https://klasma.github.io/Logging_0480/kartor/A 57727-2025 karta.png", "A 57727-2025")</f>
        <v/>
      </c>
      <c r="Y42">
        <f>HYPERLINK("https://klasma.github.io/Logging_0480/kartor_geotiff/A 57727-2025 georefererad karta.tif", "A 57727-2025")</f>
        <v/>
      </c>
      <c r="AA42">
        <f>HYPERLINK("https://klasma.github.io/Logging_0480/klagomål/A 57727-2025 FSC-klagomål.docx", "A 57727-2025")</f>
        <v/>
      </c>
      <c r="AB42">
        <f>HYPERLINK("https://klasma.github.io/Logging_0480/klagomålsmail/A 57727-2025 FSC-klagomål mail.docx", "A 57727-2025")</f>
        <v/>
      </c>
      <c r="AC42">
        <f>HYPERLINK("https://klasma.github.io/Logging_0480/tillsyn/A 57727-2025 tillsynsbegäran.docx", "A 57727-2025")</f>
        <v/>
      </c>
      <c r="AD42">
        <f>HYPERLINK("https://klasma.github.io/Logging_0480/tillsynsmail/A 57727-2025 tillsynsbegäran mail.docx", "A 57727-2025")</f>
        <v/>
      </c>
      <c r="AE42">
        <f>HYPERLINK("https://klasma.github.io/Logging_0480/fåglar/A 57727-2025 prioriterade fågelarter.docx", "A 57727-2025")</f>
        <v/>
      </c>
    </row>
    <row r="43" ht="15" customHeight="1">
      <c r="A43" t="inlineStr">
        <is>
          <t>A 58783-2025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46237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1</v>
      </c>
      <c r="V43" s="2" t="inlineStr">
        <is>
          <t>Skogshare
Nattskärra
Revlummer</t>
        </is>
      </c>
      <c r="W43">
        <f>HYPERLINK("https://klasma.github.io/Logging_0480/artfynd/A 58783-2025 artfynd.xlsx", "A 58783-2025")</f>
        <v/>
      </c>
      <c r="X43">
        <f>HYPERLINK("https://klasma.github.io/Logging_0480/kartor/A 58783-2025 karta.png", "A 58783-2025")</f>
        <v/>
      </c>
      <c r="Y43">
        <f>HYPERLINK("https://klasma.github.io/Logging_0480/kartor_geotiff/A 58783-2025 georefererad karta.tif", "A 58783-2025")</f>
        <v/>
      </c>
      <c r="AA43">
        <f>HYPERLINK("https://klasma.github.io/Logging_0480/klagomål/A 58783-2025 FSC-klagomål.docx", "A 58783-2025")</f>
        <v/>
      </c>
      <c r="AB43">
        <f>HYPERLINK("https://klasma.github.io/Logging_0480/klagomålsmail/A 58783-2025 FSC-klagomål mail.docx", "A 58783-2025")</f>
        <v/>
      </c>
      <c r="AC43">
        <f>HYPERLINK("https://klasma.github.io/Logging_0480/tillsyn/A 58783-2025 tillsynsbegäran.docx", "A 58783-2025")</f>
        <v/>
      </c>
      <c r="AD43">
        <f>HYPERLINK("https://klasma.github.io/Logging_0480/tillsynsmail/A 58783-2025 tillsynsbegäran mail.docx", "A 58783-2025")</f>
        <v/>
      </c>
      <c r="AE43">
        <f>HYPERLINK("https://klasma.github.io/Logging_0480/fåglar/A 58783-2025 prioriterade fågelarter.docx", "A 58783-2025")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46237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4710-2024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46237</v>
      </c>
      <c r="F45" t="inlineStr">
        <is>
          <t>SÖDERMANLANDS LÄN</t>
        </is>
      </c>
      <c r="G45" t="inlineStr">
        <is>
          <t>NYKÖPING</t>
        </is>
      </c>
      <c r="I45" t="n">
        <v>8.699999999999999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Blåsippa
Grönvit nattviol</t>
        </is>
      </c>
      <c r="W45">
        <f>HYPERLINK("https://klasma.github.io/Logging_0480/artfynd/A 4710-2024 artfynd.xlsx", "A 4710-2024")</f>
        <v/>
      </c>
      <c r="X45">
        <f>HYPERLINK("https://klasma.github.io/Logging_0480/kartor/A 4710-2024 karta.png", "A 4710-2024")</f>
        <v/>
      </c>
      <c r="Y45">
        <f>HYPERLINK("https://klasma.github.io/Logging_0480/kartor_geotiff/A 4710-2024 georefererad karta.tif", "A 4710-2024")</f>
        <v/>
      </c>
      <c r="AA45">
        <f>HYPERLINK("https://klasma.github.io/Logging_0480/klagomål/A 4710-2024 FSC-klagomål.docx", "A 4710-2024")</f>
        <v/>
      </c>
      <c r="AB45">
        <f>HYPERLINK("https://klasma.github.io/Logging_0480/klagomålsmail/A 4710-2024 FSC-klagomål mail.docx", "A 4710-2024")</f>
        <v/>
      </c>
      <c r="AC45">
        <f>HYPERLINK("https://klasma.github.io/Logging_0480/tillsyn/A 4710-2024 tillsynsbegäran.docx", "A 4710-2024")</f>
        <v/>
      </c>
      <c r="AD45">
        <f>HYPERLINK("https://klasma.github.io/Logging_0480/tillsynsmail/A 4710-2024 tillsynsbegäran mail.docx", "A 4710-2024")</f>
        <v/>
      </c>
    </row>
    <row r="46" ht="15" customHeight="1">
      <c r="A46" t="inlineStr">
        <is>
          <t>A 39740-2022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46237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3.4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Tallticka
Vågbandad barkbock
Blåsippa</t>
        </is>
      </c>
      <c r="W46">
        <f>HYPERLINK("https://klasma.github.io/Logging_0480/artfynd/A 39740-2022 artfynd.xlsx", "A 39740-2022")</f>
        <v/>
      </c>
      <c r="X46">
        <f>HYPERLINK("https://klasma.github.io/Logging_0480/kartor/A 39740-2022 karta.png", "A 39740-2022")</f>
        <v/>
      </c>
      <c r="Y46">
        <f>HYPERLINK("https://klasma.github.io/Logging_0480/kartor_geotiff/A 39740-2022 georefererad karta.tif", "A 39740-2022")</f>
        <v/>
      </c>
      <c r="AA46">
        <f>HYPERLINK("https://klasma.github.io/Logging_0480/klagomål/A 39740-2022 FSC-klagomål.docx", "A 39740-2022")</f>
        <v/>
      </c>
      <c r="AB46">
        <f>HYPERLINK("https://klasma.github.io/Logging_0480/klagomålsmail/A 39740-2022 FSC-klagomål mail.docx", "A 39740-2022")</f>
        <v/>
      </c>
      <c r="AC46">
        <f>HYPERLINK("https://klasma.github.io/Logging_0480/tillsyn/A 39740-2022 tillsynsbegäran.docx", "A 39740-2022")</f>
        <v/>
      </c>
      <c r="AD46">
        <f>HYPERLINK("https://klasma.github.io/Logging_0480/tillsynsmail/A 39740-2022 tillsynsbegäran mail.docx", "A 39740-2022")</f>
        <v/>
      </c>
    </row>
    <row r="47" ht="15" customHeight="1">
      <c r="A47" t="inlineStr">
        <is>
          <t>A 60460-2022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44911</v>
      </c>
      <c r="E47" s="1" t="n">
        <v>46237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Barkticka
Blåsippa</t>
        </is>
      </c>
      <c r="W47">
        <f>HYPERLINK("https://klasma.github.io/Logging_0480/artfynd/A 60460-2022 artfynd.xlsx", "A 60460-2022")</f>
        <v/>
      </c>
      <c r="X47">
        <f>HYPERLINK("https://klasma.github.io/Logging_0480/kartor/A 60460-2022 karta.png", "A 60460-2022")</f>
        <v/>
      </c>
      <c r="Y47">
        <f>HYPERLINK("https://klasma.github.io/Logging_0480/kartor_geotiff/A 60460-2022 georefererad karta.tif", "A 60460-2022")</f>
        <v/>
      </c>
      <c r="AA47">
        <f>HYPERLINK("https://klasma.github.io/Logging_0480/klagomål/A 60460-2022 FSC-klagomål.docx", "A 60460-2022")</f>
        <v/>
      </c>
      <c r="AB47">
        <f>HYPERLINK("https://klasma.github.io/Logging_0480/klagomålsmail/A 60460-2022 FSC-klagomål mail.docx", "A 60460-2022")</f>
        <v/>
      </c>
      <c r="AC47">
        <f>HYPERLINK("https://klasma.github.io/Logging_0480/tillsyn/A 60460-2022 tillsynsbegäran.docx", "A 60460-2022")</f>
        <v/>
      </c>
      <c r="AD47">
        <f>HYPERLINK("https://klasma.github.io/Logging_0480/tillsynsmail/A 60460-2022 tillsynsbegäran mail.docx", "A 60460-2022")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46237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60518-2022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44904</v>
      </c>
      <c r="E49" s="1" t="n">
        <v>46237</v>
      </c>
      <c r="F49" t="inlineStr">
        <is>
          <t>SÖDERMANLANDS LÄN</t>
        </is>
      </c>
      <c r="G49" t="inlineStr">
        <is>
          <t>NYKÖPING</t>
        </is>
      </c>
      <c r="I49" t="n">
        <v>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Gullklöver
Gullviva</t>
        </is>
      </c>
      <c r="W49">
        <f>HYPERLINK("https://klasma.github.io/Logging_0480/artfynd/A 60518-2022 artfynd.xlsx", "A 60518-2022")</f>
        <v/>
      </c>
      <c r="X49">
        <f>HYPERLINK("https://klasma.github.io/Logging_0480/kartor/A 60518-2022 karta.png", "A 60518-2022")</f>
        <v/>
      </c>
      <c r="Y49">
        <f>HYPERLINK("https://klasma.github.io/Logging_0480/kartor_geotiff/A 60518-2022 georefererad karta.tif", "A 60518-2022")</f>
        <v/>
      </c>
      <c r="AA49">
        <f>HYPERLINK("https://klasma.github.io/Logging_0480/klagomål/A 60518-2022 FSC-klagomål.docx", "A 60518-2022")</f>
        <v/>
      </c>
      <c r="AB49">
        <f>HYPERLINK("https://klasma.github.io/Logging_0480/klagomålsmail/A 60518-2022 FSC-klagomål mail.docx", "A 60518-2022")</f>
        <v/>
      </c>
      <c r="AC49">
        <f>HYPERLINK("https://klasma.github.io/Logging_0480/tillsyn/A 60518-2022 tillsynsbegäran.docx", "A 60518-2022")</f>
        <v/>
      </c>
      <c r="AD49">
        <f>HYPERLINK("https://klasma.github.io/Logging_0480/tillsynsmail/A 60518-2022 tillsynsbegäran mail.docx", "A 60518-2022")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46237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46237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46237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1037-2026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46030</v>
      </c>
      <c r="E53" s="1" t="n">
        <v>46237</v>
      </c>
      <c r="F53" t="inlineStr">
        <is>
          <t>SÖDERMANLANDS LÄN</t>
        </is>
      </c>
      <c r="G53" t="inlineStr">
        <is>
          <t>NYKÖPING</t>
        </is>
      </c>
      <c r="I53" t="n">
        <v>11.6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Spillkråka</t>
        </is>
      </c>
      <c r="W53">
        <f>HYPERLINK("https://klasma.github.io/Logging_0480/artfynd/A 1037-2026 artfynd.xlsx", "A 1037-2026")</f>
        <v/>
      </c>
      <c r="X53">
        <f>HYPERLINK("https://klasma.github.io/Logging_0480/kartor/A 1037-2026 karta.png", "A 1037-2026")</f>
        <v/>
      </c>
      <c r="Y53">
        <f>HYPERLINK("https://klasma.github.io/Logging_0480/kartor_geotiff/A 1037-2026 georefererad karta.tif", "A 1037-2026")</f>
        <v/>
      </c>
      <c r="AA53">
        <f>HYPERLINK("https://klasma.github.io/Logging_0480/klagomål/A 1037-2026 FSC-klagomål.docx", "A 1037-2026")</f>
        <v/>
      </c>
      <c r="AB53">
        <f>HYPERLINK("https://klasma.github.io/Logging_0480/klagomålsmail/A 1037-2026 FSC-klagomål mail.docx", "A 1037-2026")</f>
        <v/>
      </c>
      <c r="AC53">
        <f>HYPERLINK("https://klasma.github.io/Logging_0480/tillsyn/A 1037-2026 tillsynsbegäran.docx", "A 1037-2026")</f>
        <v/>
      </c>
      <c r="AD53">
        <f>HYPERLINK("https://klasma.github.io/Logging_0480/tillsynsmail/A 1037-2026 tillsynsbegäran mail.docx", "A 1037-2026")</f>
        <v/>
      </c>
      <c r="AE53">
        <f>HYPERLINK("https://klasma.github.io/Logging_0480/fåglar/A 1037-2026 prioriterade fågelarter.docx", "A 1037-2026")</f>
        <v/>
      </c>
    </row>
    <row r="54" ht="15" customHeight="1">
      <c r="A54" t="inlineStr">
        <is>
          <t>A 29766-2022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44755</v>
      </c>
      <c r="E54" s="1" t="n">
        <v>46237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Broskvaxing
Kungsfågel</t>
        </is>
      </c>
      <c r="W54">
        <f>HYPERLINK("https://klasma.github.io/Logging_0480/artfynd/A 29766-2022 artfynd.xlsx", "A 29766-2022")</f>
        <v/>
      </c>
      <c r="X54">
        <f>HYPERLINK("https://klasma.github.io/Logging_0480/kartor/A 29766-2022 karta.png", "A 29766-2022")</f>
        <v/>
      </c>
      <c r="Y54">
        <f>HYPERLINK("https://klasma.github.io/Logging_0480/kartor_geotiff/A 29766-2022 georefererad karta.tif", "A 29766-2022")</f>
        <v/>
      </c>
      <c r="AA54">
        <f>HYPERLINK("https://klasma.github.io/Logging_0480/klagomål/A 29766-2022 FSC-klagomål.docx", "A 29766-2022")</f>
        <v/>
      </c>
      <c r="AB54">
        <f>HYPERLINK("https://klasma.github.io/Logging_0480/klagomålsmail/A 29766-2022 FSC-klagomål mail.docx", "A 29766-2022")</f>
        <v/>
      </c>
      <c r="AC54">
        <f>HYPERLINK("https://klasma.github.io/Logging_0480/tillsyn/A 29766-2022 tillsynsbegäran.docx", "A 29766-2022")</f>
        <v/>
      </c>
      <c r="AD54">
        <f>HYPERLINK("https://klasma.github.io/Logging_0480/tillsynsmail/A 29766-2022 tillsynsbegäran mail.docx", "A 29766-2022")</f>
        <v/>
      </c>
    </row>
    <row r="55" ht="15" customHeight="1">
      <c r="A55" t="inlineStr">
        <is>
          <t>A 56728-2025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46237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2.5</v>
      </c>
      <c r="J55" t="n">
        <v>2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Sandödla
Vanlig snok</t>
        </is>
      </c>
      <c r="W55">
        <f>HYPERLINK("https://klasma.github.io/Logging_0480/artfynd/A 56728-2025 artfynd.xlsx", "A 56728-2025")</f>
        <v/>
      </c>
      <c r="X55">
        <f>HYPERLINK("https://klasma.github.io/Logging_0480/kartor/A 56728-2025 karta.png", "A 56728-2025")</f>
        <v/>
      </c>
      <c r="Y55">
        <f>HYPERLINK("https://klasma.github.io/Logging_0480/kartor_geotiff/A 56728-2025 georefererad karta.tif", "A 56728-2025")</f>
        <v/>
      </c>
      <c r="AA55">
        <f>HYPERLINK("https://klasma.github.io/Logging_0480/klagomål/A 56728-2025 FSC-klagomål.docx", "A 56728-2025")</f>
        <v/>
      </c>
      <c r="AB55">
        <f>HYPERLINK("https://klasma.github.io/Logging_0480/klagomålsmail/A 56728-2025 FSC-klagomål mail.docx", "A 56728-2025")</f>
        <v/>
      </c>
      <c r="AC55">
        <f>HYPERLINK("https://klasma.github.io/Logging_0480/tillsyn/A 56728-2025 tillsynsbegäran.docx", "A 56728-2025")</f>
        <v/>
      </c>
      <c r="AD55">
        <f>HYPERLINK("https://klasma.github.io/Logging_0480/tillsynsmail/A 56728-2025 tillsynsbegäran mail.docx", "A 56728-2025")</f>
        <v/>
      </c>
    </row>
    <row r="56" ht="15" customHeight="1">
      <c r="A56" t="inlineStr">
        <is>
          <t>A 55945-2025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46237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Blanksvart spiklav
Motaggsvamp</t>
        </is>
      </c>
      <c r="W56">
        <f>HYPERLINK("https://klasma.github.io/Logging_0480/artfynd/A 55945-2025 artfynd.xlsx", "A 55945-2025")</f>
        <v/>
      </c>
      <c r="X56">
        <f>HYPERLINK("https://klasma.github.io/Logging_0480/kartor/A 55945-2025 karta.png", "A 55945-2025")</f>
        <v/>
      </c>
      <c r="Y56">
        <f>HYPERLINK("https://klasma.github.io/Logging_0480/kartor_geotiff/A 55945-2025 georefererad karta.tif", "A 55945-2025")</f>
        <v/>
      </c>
      <c r="AA56">
        <f>HYPERLINK("https://klasma.github.io/Logging_0480/klagomål/A 55945-2025 FSC-klagomål.docx", "A 55945-2025")</f>
        <v/>
      </c>
      <c r="AB56">
        <f>HYPERLINK("https://klasma.github.io/Logging_0480/klagomålsmail/A 55945-2025 FSC-klagomål mail.docx", "A 55945-2025")</f>
        <v/>
      </c>
      <c r="AC56">
        <f>HYPERLINK("https://klasma.github.io/Logging_0480/tillsyn/A 55945-2025 tillsynsbegäran.docx", "A 55945-2025")</f>
        <v/>
      </c>
      <c r="AD56">
        <f>HYPERLINK("https://klasma.github.io/Logging_0480/tillsynsmail/A 55945-2025 tillsynsbegäran mail.docx", "A 55945-2025")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46237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Nötkråka
Havsörn</t>
        </is>
      </c>
      <c r="W57">
        <f>HYPERLINK("https://klasma.github.io/Logging_0480/artfynd/A 48153-2023 artfynd.xlsx", "A 48153-2023")</f>
        <v/>
      </c>
      <c r="X57">
        <f>HYPERLINK("https://klasma.github.io/Logging_0480/kartor/A 48153-2023 karta.png", "A 48153-2023")</f>
        <v/>
      </c>
      <c r="Y57">
        <f>HYPERLINK("https://klasma.github.io/Logging_0480/kartor_geotiff/A 48153-2023 georefererad karta.tif", "A 48153-2023")</f>
        <v/>
      </c>
      <c r="AA57">
        <f>HYPERLINK("https://klasma.github.io/Logging_0480/klagomål/A 48153-2023 FSC-klagomål.docx", "A 48153-2023")</f>
        <v/>
      </c>
      <c r="AB57">
        <f>HYPERLINK("https://klasma.github.io/Logging_0480/klagomålsmail/A 48153-2023 FSC-klagomål mail.docx", "A 48153-2023")</f>
        <v/>
      </c>
      <c r="AC57">
        <f>HYPERLINK("https://klasma.github.io/Logging_0480/tillsyn/A 48153-2023 tillsynsbegäran.docx", "A 48153-2023")</f>
        <v/>
      </c>
      <c r="AD57">
        <f>HYPERLINK("https://klasma.github.io/Logging_0480/tillsynsmail/A 48153-2023 tillsynsbegäran mail.docx", "A 48153-2023")</f>
        <v/>
      </c>
      <c r="AE57">
        <f>HYPERLINK("https://klasma.github.io/Logging_0480/fåglar/A 48153-2023 prioriterade fågelarter.docx", "A 48153-2023")</f>
        <v/>
      </c>
    </row>
    <row r="58" ht="15" customHeight="1">
      <c r="A58" t="inlineStr">
        <is>
          <t>A 58167-2025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45982</v>
      </c>
      <c r="E58" s="1" t="n">
        <v>46237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2.8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Grönpyrola
Mattlummer</t>
        </is>
      </c>
      <c r="W58">
        <f>HYPERLINK("https://klasma.github.io/Logging_0480/artfynd/A 58167-2025 artfynd.xlsx", "A 58167-2025")</f>
        <v/>
      </c>
      <c r="X58">
        <f>HYPERLINK("https://klasma.github.io/Logging_0480/kartor/A 58167-2025 karta.png", "A 58167-2025")</f>
        <v/>
      </c>
      <c r="Y58">
        <f>HYPERLINK("https://klasma.github.io/Logging_0480/kartor_geotiff/A 58167-2025 georefererad karta.tif", "A 58167-2025")</f>
        <v/>
      </c>
      <c r="AA58">
        <f>HYPERLINK("https://klasma.github.io/Logging_0480/klagomål/A 58167-2025 FSC-klagomål.docx", "A 58167-2025")</f>
        <v/>
      </c>
      <c r="AB58">
        <f>HYPERLINK("https://klasma.github.io/Logging_0480/klagomålsmail/A 58167-2025 FSC-klagomål mail.docx", "A 58167-2025")</f>
        <v/>
      </c>
      <c r="AC58">
        <f>HYPERLINK("https://klasma.github.io/Logging_0480/tillsyn/A 58167-2025 tillsynsbegäran.docx", "A 58167-2025")</f>
        <v/>
      </c>
      <c r="AD58">
        <f>HYPERLINK("https://klasma.github.io/Logging_0480/tillsynsmail/A 58167-2025 tillsynsbegäran mail.docx", "A 58167-2025")</f>
        <v/>
      </c>
    </row>
    <row r="59" ht="15" customHeight="1">
      <c r="A59" t="inlineStr">
        <is>
          <t>A 56560-2022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46237</v>
      </c>
      <c r="F59" t="inlineStr">
        <is>
          <t>SÖDERMANLANDS LÄN</t>
        </is>
      </c>
      <c r="G59" t="inlineStr">
        <is>
          <t>NYKÖPING</t>
        </is>
      </c>
      <c r="H59" t="inlineStr">
        <is>
          <t>Övriga Aktiebolag</t>
        </is>
      </c>
      <c r="I59" t="n">
        <v>1.1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Fjällvråk
Kråka</t>
        </is>
      </c>
      <c r="W59">
        <f>HYPERLINK("https://klasma.github.io/Logging_0480/artfynd/A 56560-2022 artfynd.xlsx", "A 56560-2022")</f>
        <v/>
      </c>
      <c r="X59">
        <f>HYPERLINK("https://klasma.github.io/Logging_0480/kartor/A 56560-2022 karta.png", "A 56560-2022")</f>
        <v/>
      </c>
      <c r="Y59">
        <f>HYPERLINK("https://klasma.github.io/Logging_0480/kartor_geotiff/A 56560-2022 georefererad karta.tif", "A 56560-2022")</f>
        <v/>
      </c>
      <c r="AA59">
        <f>HYPERLINK("https://klasma.github.io/Logging_0480/klagomål/A 56560-2022 FSC-klagomål.docx", "A 56560-2022")</f>
        <v/>
      </c>
      <c r="AB59">
        <f>HYPERLINK("https://klasma.github.io/Logging_0480/klagomålsmail/A 56560-2022 FSC-klagomål mail.docx", "A 56560-2022")</f>
        <v/>
      </c>
      <c r="AC59">
        <f>HYPERLINK("https://klasma.github.io/Logging_0480/tillsyn/A 56560-2022 tillsynsbegäran.docx", "A 56560-2022")</f>
        <v/>
      </c>
      <c r="AD59">
        <f>HYPERLINK("https://klasma.github.io/Logging_0480/tillsynsmail/A 56560-2022 tillsynsbegäran mail.docx", "A 56560-2022")</f>
        <v/>
      </c>
      <c r="AE59">
        <f>HYPERLINK("https://klasma.github.io/Logging_0480/fåglar/A 56560-2022 prioriterade fågelarter.docx", "A 56560-2022")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46237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5865-2024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45335</v>
      </c>
      <c r="E61" s="1" t="n">
        <v>46237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4.9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Entita
Fläcknycklar</t>
        </is>
      </c>
      <c r="W61">
        <f>HYPERLINK("https://klasma.github.io/Logging_0480/artfynd/A 5865-2024 artfynd.xlsx", "A 5865-2024")</f>
        <v/>
      </c>
      <c r="X61">
        <f>HYPERLINK("https://klasma.github.io/Logging_0480/kartor/A 5865-2024 karta.png", "A 5865-2024")</f>
        <v/>
      </c>
      <c r="Y61">
        <f>HYPERLINK("https://klasma.github.io/Logging_0480/kartor_geotiff/A 5865-2024 georefererad karta.tif", "A 5865-2024")</f>
        <v/>
      </c>
      <c r="AA61">
        <f>HYPERLINK("https://klasma.github.io/Logging_0480/klagomål/A 5865-2024 FSC-klagomål.docx", "A 5865-2024")</f>
        <v/>
      </c>
      <c r="AB61">
        <f>HYPERLINK("https://klasma.github.io/Logging_0480/klagomålsmail/A 5865-2024 FSC-klagomål mail.docx", "A 5865-2024")</f>
        <v/>
      </c>
      <c r="AC61">
        <f>HYPERLINK("https://klasma.github.io/Logging_0480/tillsyn/A 5865-2024 tillsynsbegäran.docx", "A 5865-2024")</f>
        <v/>
      </c>
      <c r="AD61">
        <f>HYPERLINK("https://klasma.github.io/Logging_0480/tillsynsmail/A 5865-2024 tillsynsbegäran mail.docx", "A 5865-2024")</f>
        <v/>
      </c>
      <c r="AE61">
        <f>HYPERLINK("https://klasma.github.io/Logging_0480/fåglar/A 5865-2024 prioriterade fågelarter.docx", "A 5865-2024")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46237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14862-2026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46104</v>
      </c>
      <c r="E63" s="1" t="n">
        <v>46237</v>
      </c>
      <c r="F63" t="inlineStr">
        <is>
          <t>SÖDERMANLANDS LÄN</t>
        </is>
      </c>
      <c r="G63" t="inlineStr">
        <is>
          <t>NYKÖPING</t>
        </is>
      </c>
      <c r="I63" t="n">
        <v>10.8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Dropptaggsvamp
Blåbär</t>
        </is>
      </c>
      <c r="W63">
        <f>HYPERLINK("https://klasma.github.io/Logging_0480/artfynd/A 14862-2026 artfynd.xlsx", "A 14862-2026")</f>
        <v/>
      </c>
      <c r="X63">
        <f>HYPERLINK("https://klasma.github.io/Logging_0480/kartor/A 14862-2026 karta.png", "A 14862-2026")</f>
        <v/>
      </c>
      <c r="Y63">
        <f>HYPERLINK("https://klasma.github.io/Logging_0480/kartor_geotiff/A 14862-2026 georefererad karta.tif", "A 14862-2026")</f>
        <v/>
      </c>
      <c r="AA63">
        <f>HYPERLINK("https://klasma.github.io/Logging_0480/klagomål/A 14862-2026 FSC-klagomål.docx", "A 14862-2026")</f>
        <v/>
      </c>
      <c r="AB63">
        <f>HYPERLINK("https://klasma.github.io/Logging_0480/klagomålsmail/A 14862-2026 FSC-klagomål mail.docx", "A 14862-2026")</f>
        <v/>
      </c>
      <c r="AC63">
        <f>HYPERLINK("https://klasma.github.io/Logging_0480/tillsyn/A 14862-2026 tillsynsbegäran.docx", "A 14862-2026")</f>
        <v/>
      </c>
      <c r="AD63">
        <f>HYPERLINK("https://klasma.github.io/Logging_0480/tillsynsmail/A 14862-2026 tillsynsbegäran mail.docx", "A 14862-2026")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46237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46237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t="n">
        <v>0</v>
      </c>
      <c r="V65" s="2" t="inlineStr">
        <is>
          <t>Bombmurkla
Grönpyrola</t>
        </is>
      </c>
      <c r="W65">
        <f>HYPERLINK("https://klasma.github.io/Logging_0480/artfynd/A 34310-2022 artfynd.xlsx", "A 34310-2022")</f>
        <v/>
      </c>
      <c r="X65">
        <f>HYPERLINK("https://klasma.github.io/Logging_0480/kartor/A 34310-2022 karta.png", "A 34310-2022")</f>
        <v/>
      </c>
      <c r="Y65">
        <f>HYPERLINK("https://klasma.github.io/Logging_0480/kartor_geotiff/A 34310-2022 georefererad karta.tif", "A 34310-2022")</f>
        <v/>
      </c>
      <c r="AA65">
        <f>HYPERLINK("https://klasma.github.io/Logging_0480/klagomål/A 34310-2022 FSC-klagomål.docx", "A 34310-2022")</f>
        <v/>
      </c>
      <c r="AB65">
        <f>HYPERLINK("https://klasma.github.io/Logging_0480/klagomålsmail/A 34310-2022 FSC-klagomål mail.docx", "A 34310-2022")</f>
        <v/>
      </c>
      <c r="AC65">
        <f>HYPERLINK("https://klasma.github.io/Logging_0480/tillsyn/A 34310-2022 tillsynsbegäran.docx", "A 34310-2022")</f>
        <v/>
      </c>
      <c r="AD65">
        <f>HYPERLINK("https://klasma.github.io/Logging_0480/tillsynsmail/A 34310-2022 tillsynsbegäran mail.docx", "A 34310-2022")</f>
        <v/>
      </c>
    </row>
    <row r="66" ht="15" customHeight="1">
      <c r="A66" t="inlineStr">
        <is>
          <t>A 16078-2023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45027</v>
      </c>
      <c r="E66" s="1" t="n">
        <v>46237</v>
      </c>
      <c r="F66" t="inlineStr">
        <is>
          <t>SÖDERMANLANDS LÄN</t>
        </is>
      </c>
      <c r="G66" t="inlineStr">
        <is>
          <t>NYKÖPING</t>
        </is>
      </c>
      <c r="I66" t="n">
        <v>0.9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Rödlånke
Fläcknycklar</t>
        </is>
      </c>
      <c r="W66">
        <f>HYPERLINK("https://klasma.github.io/Logging_0480/artfynd/A 16078-2023 artfynd.xlsx", "A 16078-2023")</f>
        <v/>
      </c>
      <c r="X66">
        <f>HYPERLINK("https://klasma.github.io/Logging_0480/kartor/A 16078-2023 karta.png", "A 16078-2023")</f>
        <v/>
      </c>
      <c r="Y66">
        <f>HYPERLINK("https://klasma.github.io/Logging_0480/kartor_geotiff/A 16078-2023 georefererad karta.tif", "A 16078-2023")</f>
        <v/>
      </c>
      <c r="AA66">
        <f>HYPERLINK("https://klasma.github.io/Logging_0480/klagomål/A 16078-2023 FSC-klagomål.docx", "A 16078-2023")</f>
        <v/>
      </c>
      <c r="AB66">
        <f>HYPERLINK("https://klasma.github.io/Logging_0480/klagomålsmail/A 16078-2023 FSC-klagomål mail.docx", "A 16078-2023")</f>
        <v/>
      </c>
      <c r="AC66">
        <f>HYPERLINK("https://klasma.github.io/Logging_0480/tillsyn/A 16078-2023 tillsynsbegäran.docx", "A 16078-2023")</f>
        <v/>
      </c>
      <c r="AD66">
        <f>HYPERLINK("https://klasma.github.io/Logging_0480/tillsynsmail/A 16078-2023 tillsynsbegäran mail.docx", "A 16078-2023")</f>
        <v/>
      </c>
    </row>
    <row r="67" ht="15" customHeight="1">
      <c r="A67" t="inlineStr">
        <is>
          <t>A 55497-2021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44475</v>
      </c>
      <c r="E67" s="1" t="n">
        <v>46237</v>
      </c>
      <c r="F67" t="inlineStr">
        <is>
          <t>SÖDERMANLANDS LÄN</t>
        </is>
      </c>
      <c r="G67" t="inlineStr">
        <is>
          <t>NYKÖPING</t>
        </is>
      </c>
      <c r="I67" t="n">
        <v>7.7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Älg
Nattskärra</t>
        </is>
      </c>
      <c r="W67">
        <f>HYPERLINK("https://klasma.github.io/Logging_0480/artfynd/A 55497-2021 artfynd.xlsx", "A 55497-2021")</f>
        <v/>
      </c>
      <c r="X67">
        <f>HYPERLINK("https://klasma.github.io/Logging_0480/kartor/A 55497-2021 karta.png", "A 55497-2021")</f>
        <v/>
      </c>
      <c r="Y67">
        <f>HYPERLINK("https://klasma.github.io/Logging_0480/kartor_geotiff/A 55497-2021 georefererad karta.tif", "A 55497-2021")</f>
        <v/>
      </c>
      <c r="AA67">
        <f>HYPERLINK("https://klasma.github.io/Logging_0480/klagomål/A 55497-2021 FSC-klagomål.docx", "A 55497-2021")</f>
        <v/>
      </c>
      <c r="AB67">
        <f>HYPERLINK("https://klasma.github.io/Logging_0480/klagomålsmail/A 55497-2021 FSC-klagomål mail.docx", "A 55497-2021")</f>
        <v/>
      </c>
      <c r="AC67">
        <f>HYPERLINK("https://klasma.github.io/Logging_0480/tillsyn/A 55497-2021 tillsynsbegäran.docx", "A 55497-2021")</f>
        <v/>
      </c>
      <c r="AD67">
        <f>HYPERLINK("https://klasma.github.io/Logging_0480/tillsynsmail/A 55497-2021 tillsynsbegäran mail.docx", "A 55497-2021")</f>
        <v/>
      </c>
      <c r="AE67">
        <f>HYPERLINK("https://klasma.github.io/Logging_0480/fåglar/A 55497-2021 prioriterade fågelarter.docx", "A 55497-2021")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46237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46237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46237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46237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46237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46237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46237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46237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46237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8387-2024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46237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HYPERLINK("https://klasma.github.io/Logging_0480/artfynd/A 8387-2024 artfynd.xlsx", "A 8387-2024")</f>
        <v/>
      </c>
      <c r="X77">
        <f>HYPERLINK("https://klasma.github.io/Logging_0480/kartor/A 8387-2024 karta.png", "A 8387-2024")</f>
        <v/>
      </c>
      <c r="Y77">
        <f>HYPERLINK("https://klasma.github.io/Logging_0480/kartor_geotiff/A 8387-2024 georefererad karta.tif", "A 8387-2024")</f>
        <v/>
      </c>
      <c r="AA77">
        <f>HYPERLINK("https://klasma.github.io/Logging_0480/klagomål/A 8387-2024 FSC-klagomål.docx", "A 8387-2024")</f>
        <v/>
      </c>
      <c r="AB77">
        <f>HYPERLINK("https://klasma.github.io/Logging_0480/klagomålsmail/A 8387-2024 FSC-klagomål mail.docx", "A 8387-2024")</f>
        <v/>
      </c>
      <c r="AC77">
        <f>HYPERLINK("https://klasma.github.io/Logging_0480/tillsyn/A 8387-2024 tillsynsbegäran.docx", "A 8387-2024")</f>
        <v/>
      </c>
      <c r="AD77">
        <f>HYPERLINK("https://klasma.github.io/Logging_0480/tillsynsmail/A 8387-2024 tillsynsbegäran mail.docx", "A 8387-2024")</f>
        <v/>
      </c>
      <c r="AE77">
        <f>HYPERLINK("https://klasma.github.io/Logging_0480/fåglar/A 8387-2024 prioriterade fågelarter.docx", "A 8387-2024")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46237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13038-2024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46237</v>
      </c>
      <c r="F79" t="inlineStr">
        <is>
          <t>SÖDERMANLANDS LÄN</t>
        </is>
      </c>
      <c r="G79" t="inlineStr">
        <is>
          <t>NYKÖPING</t>
        </is>
      </c>
      <c r="I79" t="n">
        <v>3.8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Knärot</t>
        </is>
      </c>
      <c r="W79">
        <f>HYPERLINK("https://klasma.github.io/Logging_0480/artfynd/A 13038-2024 artfynd.xlsx", "A 13038-2024")</f>
        <v/>
      </c>
      <c r="X79">
        <f>HYPERLINK("https://klasma.github.io/Logging_0480/kartor/A 13038-2024 karta.png", "A 13038-2024")</f>
        <v/>
      </c>
      <c r="Y79">
        <f>HYPERLINK("https://klasma.github.io/Logging_0480/kartor_geotiff/A 13038-2024 georefererad karta.tif", "A 13038-2024")</f>
        <v/>
      </c>
      <c r="Z79">
        <f>HYPERLINK("https://klasma.github.io/Logging_0480/knärot/A 13038-2024 karta knärot.png", "A 13038-2024")</f>
        <v/>
      </c>
      <c r="AA79">
        <f>HYPERLINK("https://klasma.github.io/Logging_0480/klagomål/A 13038-2024 FSC-klagomål.docx", "A 13038-2024")</f>
        <v/>
      </c>
      <c r="AB79">
        <f>HYPERLINK("https://klasma.github.io/Logging_0480/klagomålsmail/A 13038-2024 FSC-klagomål mail.docx", "A 13038-2024")</f>
        <v/>
      </c>
      <c r="AC79">
        <f>HYPERLINK("https://klasma.github.io/Logging_0480/tillsyn/A 13038-2024 tillsynsbegäran.docx", "A 13038-2024")</f>
        <v/>
      </c>
      <c r="AD79">
        <f>HYPERLINK("https://klasma.github.io/Logging_0480/tillsynsmail/A 13038-2024 tillsynsbegäran mail.docx", "A 13038-2024")</f>
        <v/>
      </c>
    </row>
    <row r="80" ht="15" customHeight="1">
      <c r="A80" t="inlineStr">
        <is>
          <t>A 45122-2025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46237</v>
      </c>
      <c r="F80" t="inlineStr">
        <is>
          <t>SÖDERMANLANDS LÄN</t>
        </is>
      </c>
      <c r="G80" t="inlineStr">
        <is>
          <t>NYKÖPING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Talltita</t>
        </is>
      </c>
      <c r="W80">
        <f>HYPERLINK("https://klasma.github.io/Logging_0480/artfynd/A 45122-2025 artfynd.xlsx", "A 45122-2025")</f>
        <v/>
      </c>
      <c r="X80">
        <f>HYPERLINK("https://klasma.github.io/Logging_0480/kartor/A 45122-2025 karta.png", "A 45122-2025")</f>
        <v/>
      </c>
      <c r="Y80">
        <f>HYPERLINK("https://klasma.github.io/Logging_0480/kartor_geotiff/A 45122-2025 georefererad karta.tif", "A 45122-2025")</f>
        <v/>
      </c>
      <c r="AA80">
        <f>HYPERLINK("https://klasma.github.io/Logging_0480/klagomål/A 45122-2025 FSC-klagomål.docx", "A 45122-2025")</f>
        <v/>
      </c>
      <c r="AB80">
        <f>HYPERLINK("https://klasma.github.io/Logging_0480/klagomålsmail/A 45122-2025 FSC-klagomål mail.docx", "A 45122-2025")</f>
        <v/>
      </c>
      <c r="AC80">
        <f>HYPERLINK("https://klasma.github.io/Logging_0480/tillsyn/A 45122-2025 tillsynsbegäran.docx", "A 45122-2025")</f>
        <v/>
      </c>
      <c r="AD80">
        <f>HYPERLINK("https://klasma.github.io/Logging_0480/tillsynsmail/A 45122-2025 tillsynsbegäran mail.docx", "A 45122-2025")</f>
        <v/>
      </c>
      <c r="AE80">
        <f>HYPERLINK("https://klasma.github.io/Logging_0480/fåglar/A 45122-2025 prioriterade fågelarter.docx", "A 45122-2025")</f>
        <v/>
      </c>
    </row>
    <row r="81" ht="15" customHeight="1">
      <c r="A81" t="inlineStr">
        <is>
          <t>A 5385-2026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46050</v>
      </c>
      <c r="E81" s="1" t="n">
        <v>46237</v>
      </c>
      <c r="F81" t="inlineStr">
        <is>
          <t>SÖDERMANLANDS LÄN</t>
        </is>
      </c>
      <c r="G81" t="inlineStr">
        <is>
          <t>NYKÖPING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HYPERLINK("https://klasma.github.io/Logging_0480/artfynd/A 5385-2026 artfynd.xlsx", "A 5385-2026")</f>
        <v/>
      </c>
      <c r="X81">
        <f>HYPERLINK("https://klasma.github.io/Logging_0480/kartor/A 5385-2026 karta.png", "A 5385-2026")</f>
        <v/>
      </c>
      <c r="Y81">
        <f>HYPERLINK("https://klasma.github.io/Logging_0480/kartor_geotiff/A 5385-2026 georefererad karta.tif", "A 5385-2026")</f>
        <v/>
      </c>
      <c r="AA81">
        <f>HYPERLINK("https://klasma.github.io/Logging_0480/klagomål/A 5385-2026 FSC-klagomål.docx", "A 5385-2026")</f>
        <v/>
      </c>
      <c r="AB81">
        <f>HYPERLINK("https://klasma.github.io/Logging_0480/klagomålsmail/A 5385-2026 FSC-klagomål mail.docx", "A 5385-2026")</f>
        <v/>
      </c>
      <c r="AC81">
        <f>HYPERLINK("https://klasma.github.io/Logging_0480/tillsyn/A 5385-2026 tillsynsbegäran.docx", "A 5385-2026")</f>
        <v/>
      </c>
      <c r="AD81">
        <f>HYPERLINK("https://klasma.github.io/Logging_0480/tillsynsmail/A 5385-2026 tillsynsbegäran mail.docx", "A 5385-2026")</f>
        <v/>
      </c>
      <c r="AE81">
        <f>HYPERLINK("https://klasma.github.io/Logging_0480/fåglar/A 5385-2026 prioriterade fågelarter.docx", "A 5385-2026")</f>
        <v/>
      </c>
    </row>
    <row r="82" ht="15" customHeight="1">
      <c r="A82" t="inlineStr">
        <is>
          <t>A 4903-2022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46237</v>
      </c>
      <c r="F82" t="inlineStr">
        <is>
          <t>SÖDERMANLANDS LÄN</t>
        </is>
      </c>
      <c r="G82" t="inlineStr">
        <is>
          <t>NYKÖPING</t>
        </is>
      </c>
      <c r="I82" t="n">
        <v>2.7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HYPERLINK("https://klasma.github.io/Logging_0480/artfynd/A 4903-2022 artfynd.xlsx", "A 4903-2022")</f>
        <v/>
      </c>
      <c r="X82">
        <f>HYPERLINK("https://klasma.github.io/Logging_0480/kartor/A 4903-2022 karta.png", "A 4903-2022")</f>
        <v/>
      </c>
      <c r="Y82">
        <f>HYPERLINK("https://klasma.github.io/Logging_0480/kartor_geotiff/A 4903-2022 georefererad karta.tif", "A 4903-2022")</f>
        <v/>
      </c>
      <c r="Z82">
        <f>HYPERLINK("https://klasma.github.io/Logging_0480/knärot/A 4903-2022 karta knärot.png", "A 4903-2022")</f>
        <v/>
      </c>
      <c r="AA82">
        <f>HYPERLINK("https://klasma.github.io/Logging_0480/klagomål/A 4903-2022 FSC-klagomål.docx", "A 4903-2022")</f>
        <v/>
      </c>
      <c r="AB82">
        <f>HYPERLINK("https://klasma.github.io/Logging_0480/klagomålsmail/A 4903-2022 FSC-klagomål mail.docx", "A 4903-2022")</f>
        <v/>
      </c>
      <c r="AC82">
        <f>HYPERLINK("https://klasma.github.io/Logging_0480/tillsyn/A 4903-2022 tillsynsbegäran.docx", "A 4903-2022")</f>
        <v/>
      </c>
      <c r="AD82">
        <f>HYPERLINK("https://klasma.github.io/Logging_0480/tillsynsmail/A 4903-2022 tillsynsbegäran mail.docx", "A 4903-2022")</f>
        <v/>
      </c>
    </row>
    <row r="83" ht="15" customHeight="1">
      <c r="A83" t="inlineStr">
        <is>
          <t>A 21129-2024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46237</v>
      </c>
      <c r="F83" t="inlineStr">
        <is>
          <t>SÖDERMANLANDS LÄN</t>
        </is>
      </c>
      <c r="G83" t="inlineStr">
        <is>
          <t>NYKÖPING</t>
        </is>
      </c>
      <c r="H83" t="inlineStr">
        <is>
          <t>Kommuner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Liljekonvalj</t>
        </is>
      </c>
      <c r="W83">
        <f>HYPERLINK("https://klasma.github.io/Logging_0480/artfynd/A 21129-2024 artfynd.xlsx", "A 21129-2024")</f>
        <v/>
      </c>
      <c r="X83">
        <f>HYPERLINK("https://klasma.github.io/Logging_0480/kartor/A 21129-2024 karta.png", "A 21129-2024")</f>
        <v/>
      </c>
      <c r="Y83">
        <f>HYPERLINK("https://klasma.github.io/Logging_0480/kartor_geotiff/A 21129-2024 georefererad karta.tif", "A 21129-2024")</f>
        <v/>
      </c>
      <c r="AA83">
        <f>HYPERLINK("https://klasma.github.io/Logging_0480/klagomål/A 21129-2024 FSC-klagomål.docx", "A 21129-2024")</f>
        <v/>
      </c>
      <c r="AB83">
        <f>HYPERLINK("https://klasma.github.io/Logging_0480/klagomålsmail/A 21129-2024 FSC-klagomål mail.docx", "A 21129-2024")</f>
        <v/>
      </c>
      <c r="AC83">
        <f>HYPERLINK("https://klasma.github.io/Logging_0480/tillsyn/A 21129-2024 tillsynsbegäran.docx", "A 21129-2024")</f>
        <v/>
      </c>
      <c r="AD83">
        <f>HYPERLINK("https://klasma.github.io/Logging_0480/tillsynsmail/A 21129-2024 tillsynsbegäran mail.docx", "A 21129-2024")</f>
        <v/>
      </c>
    </row>
    <row r="84" ht="15" customHeight="1">
      <c r="A84" t="inlineStr">
        <is>
          <t>A 21021-2026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46145</v>
      </c>
      <c r="E84" s="1" t="n">
        <v>46237</v>
      </c>
      <c r="F84" t="inlineStr">
        <is>
          <t>SÖDERMANLANDS LÄN</t>
        </is>
      </c>
      <c r="G84" t="inlineStr">
        <is>
          <t>NYKÖPING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Fläcknycklar</t>
        </is>
      </c>
      <c r="W84">
        <f>HYPERLINK("https://klasma.github.io/Logging_0480/artfynd/A 21021-2026 artfynd.xlsx", "A 21021-2026")</f>
        <v/>
      </c>
      <c r="X84">
        <f>HYPERLINK("https://klasma.github.io/Logging_0480/kartor/A 21021-2026 karta.png", "A 21021-2026")</f>
        <v/>
      </c>
      <c r="Y84">
        <f>HYPERLINK("https://klasma.github.io/Logging_0480/kartor_geotiff/A 21021-2026 georefererad karta.tif", "A 21021-2026")</f>
        <v/>
      </c>
      <c r="AA84">
        <f>HYPERLINK("https://klasma.github.io/Logging_0480/klagomål/A 21021-2026 FSC-klagomål.docx", "A 21021-2026")</f>
        <v/>
      </c>
      <c r="AB84">
        <f>HYPERLINK("https://klasma.github.io/Logging_0480/klagomålsmail/A 21021-2026 FSC-klagomål mail.docx", "A 21021-2026")</f>
        <v/>
      </c>
      <c r="AC84">
        <f>HYPERLINK("https://klasma.github.io/Logging_0480/tillsyn/A 21021-2026 tillsynsbegäran.docx", "A 21021-2026")</f>
        <v/>
      </c>
      <c r="AD84">
        <f>HYPERLINK("https://klasma.github.io/Logging_0480/tillsynsmail/A 21021-2026 tillsynsbegäran mail.docx", "A 21021-2026")</f>
        <v/>
      </c>
    </row>
    <row r="85" ht="15" customHeight="1">
      <c r="A85" t="inlineStr">
        <is>
          <t>A 35122-2023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45145</v>
      </c>
      <c r="E85" s="1" t="n">
        <v>46237</v>
      </c>
      <c r="F85" t="inlineStr">
        <is>
          <t>SÖDERMANLANDS LÄN</t>
        </is>
      </c>
      <c r="G85" t="inlineStr">
        <is>
          <t>NYKÖPING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35122-2023 artfynd.xlsx", "A 35122-2023")</f>
        <v/>
      </c>
      <c r="X85">
        <f>HYPERLINK("https://klasma.github.io/Logging_0480/kartor/A 35122-2023 karta.png", "A 35122-2023")</f>
        <v/>
      </c>
      <c r="Y85">
        <f>HYPERLINK("https://klasma.github.io/Logging_0480/kartor_geotiff/A 35122-2023 georefererad karta.tif", "A 35122-2023")</f>
        <v/>
      </c>
      <c r="AA85">
        <f>HYPERLINK("https://klasma.github.io/Logging_0480/klagomål/A 35122-2023 FSC-klagomål.docx", "A 35122-2023")</f>
        <v/>
      </c>
      <c r="AB85">
        <f>HYPERLINK("https://klasma.github.io/Logging_0480/klagomålsmail/A 35122-2023 FSC-klagomål mail.docx", "A 35122-2023")</f>
        <v/>
      </c>
      <c r="AC85">
        <f>HYPERLINK("https://klasma.github.io/Logging_0480/tillsyn/A 35122-2023 tillsynsbegäran.docx", "A 35122-2023")</f>
        <v/>
      </c>
      <c r="AD85">
        <f>HYPERLINK("https://klasma.github.io/Logging_0480/tillsynsmail/A 35122-2023 tillsynsbegäran mail.docx", "A 35122-2023")</f>
        <v/>
      </c>
    </row>
    <row r="86" ht="15" customHeight="1">
      <c r="A86" t="inlineStr">
        <is>
          <t>A 52684-2021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46237</v>
      </c>
      <c r="F86" t="inlineStr">
        <is>
          <t>SÖDERMANLANDS LÄN</t>
        </is>
      </c>
      <c r="G86" t="inlineStr">
        <is>
          <t>NYKÖPING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Kråka</t>
        </is>
      </c>
      <c r="W86">
        <f>HYPERLINK("https://klasma.github.io/Logging_0480/artfynd/A 52684-2021 artfynd.xlsx", "A 52684-2021")</f>
        <v/>
      </c>
      <c r="X86">
        <f>HYPERLINK("https://klasma.github.io/Logging_0480/kartor/A 52684-2021 karta.png", "A 52684-2021")</f>
        <v/>
      </c>
      <c r="Y86">
        <f>HYPERLINK("https://klasma.github.io/Logging_0480/kartor_geotiff/A 52684-2021 georefererad karta.tif", "A 52684-2021")</f>
        <v/>
      </c>
      <c r="AA86">
        <f>HYPERLINK("https://klasma.github.io/Logging_0480/klagomål/A 52684-2021 FSC-klagomål.docx", "A 52684-2021")</f>
        <v/>
      </c>
      <c r="AB86">
        <f>HYPERLINK("https://klasma.github.io/Logging_0480/klagomålsmail/A 52684-2021 FSC-klagomål mail.docx", "A 52684-2021")</f>
        <v/>
      </c>
      <c r="AC86">
        <f>HYPERLINK("https://klasma.github.io/Logging_0480/tillsyn/A 52684-2021 tillsynsbegäran.docx", "A 52684-2021")</f>
        <v/>
      </c>
      <c r="AD86">
        <f>HYPERLINK("https://klasma.github.io/Logging_0480/tillsynsmail/A 52684-2021 tillsynsbegäran mail.docx", "A 52684-2021")</f>
        <v/>
      </c>
    </row>
    <row r="87" ht="15" customHeight="1">
      <c r="A87" t="inlineStr">
        <is>
          <t>A 65889-2021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46237</v>
      </c>
      <c r="F87" t="inlineStr">
        <is>
          <t>SÖDERMANLANDS LÄN</t>
        </is>
      </c>
      <c r="G87" t="inlineStr">
        <is>
          <t>NYKÖPING</t>
        </is>
      </c>
      <c r="I87" t="n">
        <v>4.8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Backstarr</t>
        </is>
      </c>
      <c r="W87">
        <f>HYPERLINK("https://klasma.github.io/Logging_0480/artfynd/A 65889-2021 artfynd.xlsx", "A 65889-2021")</f>
        <v/>
      </c>
      <c r="X87">
        <f>HYPERLINK("https://klasma.github.io/Logging_0480/kartor/A 65889-2021 karta.png", "A 65889-2021")</f>
        <v/>
      </c>
      <c r="Y87">
        <f>HYPERLINK("https://klasma.github.io/Logging_0480/kartor_geotiff/A 65889-2021 georefererad karta.tif", "A 65889-2021")</f>
        <v/>
      </c>
      <c r="AA87">
        <f>HYPERLINK("https://klasma.github.io/Logging_0480/klagomål/A 65889-2021 FSC-klagomål.docx", "A 65889-2021")</f>
        <v/>
      </c>
      <c r="AB87">
        <f>HYPERLINK("https://klasma.github.io/Logging_0480/klagomålsmail/A 65889-2021 FSC-klagomål mail.docx", "A 65889-2021")</f>
        <v/>
      </c>
      <c r="AC87">
        <f>HYPERLINK("https://klasma.github.io/Logging_0480/tillsyn/A 65889-2021 tillsynsbegäran.docx", "A 65889-2021")</f>
        <v/>
      </c>
      <c r="AD87">
        <f>HYPERLINK("https://klasma.github.io/Logging_0480/tillsynsmail/A 65889-2021 tillsynsbegäran mail.docx", "A 65889-2021")</f>
        <v/>
      </c>
    </row>
    <row r="88" ht="15" customHeight="1">
      <c r="A88" t="inlineStr">
        <is>
          <t>A 50014-2025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46237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4.9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Sexfläckig bastardsvärmare</t>
        </is>
      </c>
      <c r="W88">
        <f>HYPERLINK("https://klasma.github.io/Logging_0480/artfynd/A 50014-2025 artfynd.xlsx", "A 50014-2025")</f>
        <v/>
      </c>
      <c r="X88">
        <f>HYPERLINK("https://klasma.github.io/Logging_0480/kartor/A 50014-2025 karta.png", "A 50014-2025")</f>
        <v/>
      </c>
      <c r="Y88">
        <f>HYPERLINK("https://klasma.github.io/Logging_0480/kartor_geotiff/A 50014-2025 georefererad karta.tif", "A 50014-2025")</f>
        <v/>
      </c>
      <c r="AA88">
        <f>HYPERLINK("https://klasma.github.io/Logging_0480/klagomål/A 50014-2025 FSC-klagomål.docx", "A 50014-2025")</f>
        <v/>
      </c>
      <c r="AB88">
        <f>HYPERLINK("https://klasma.github.io/Logging_0480/klagomålsmail/A 50014-2025 FSC-klagomål mail.docx", "A 50014-2025")</f>
        <v/>
      </c>
      <c r="AC88">
        <f>HYPERLINK("https://klasma.github.io/Logging_0480/tillsyn/A 50014-2025 tillsynsbegäran.docx", "A 50014-2025")</f>
        <v/>
      </c>
      <c r="AD88">
        <f>HYPERLINK("https://klasma.github.io/Logging_0480/tillsynsmail/A 50014-2025 tillsynsbegäran mail.docx", "A 50014-2025")</f>
        <v/>
      </c>
    </row>
    <row r="89" ht="15" customHeight="1">
      <c r="A89" t="inlineStr">
        <is>
          <t>A 50871-2025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46237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Nattskärra</t>
        </is>
      </c>
      <c r="W89">
        <f>HYPERLINK("https://klasma.github.io/Logging_0480/artfynd/A 50871-2025 artfynd.xlsx", "A 50871-2025")</f>
        <v/>
      </c>
      <c r="X89">
        <f>HYPERLINK("https://klasma.github.io/Logging_0480/kartor/A 50871-2025 karta.png", "A 50871-2025")</f>
        <v/>
      </c>
      <c r="Y89">
        <f>HYPERLINK("https://klasma.github.io/Logging_0480/kartor_geotiff/A 50871-2025 georefererad karta.tif", "A 50871-2025")</f>
        <v/>
      </c>
      <c r="AA89">
        <f>HYPERLINK("https://klasma.github.io/Logging_0480/klagomål/A 50871-2025 FSC-klagomål.docx", "A 50871-2025")</f>
        <v/>
      </c>
      <c r="AB89">
        <f>HYPERLINK("https://klasma.github.io/Logging_0480/klagomålsmail/A 50871-2025 FSC-klagomål mail.docx", "A 50871-2025")</f>
        <v/>
      </c>
      <c r="AC89">
        <f>HYPERLINK("https://klasma.github.io/Logging_0480/tillsyn/A 50871-2025 tillsynsbegäran.docx", "A 50871-2025")</f>
        <v/>
      </c>
      <c r="AD89">
        <f>HYPERLINK("https://klasma.github.io/Logging_0480/tillsynsmail/A 50871-2025 tillsynsbegäran mail.docx", "A 50871-2025")</f>
        <v/>
      </c>
      <c r="AE89">
        <f>HYPERLINK("https://klasma.github.io/Logging_0480/fåglar/A 50871-2025 prioriterade fågelarter.docx", "A 50871-2025")</f>
        <v/>
      </c>
    </row>
    <row r="90" ht="15" customHeight="1">
      <c r="A90" t="inlineStr">
        <is>
          <t>A 13724-2024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45390</v>
      </c>
      <c r="E90" s="1" t="n">
        <v>46237</v>
      </c>
      <c r="F90" t="inlineStr">
        <is>
          <t>SÖDERMANLANDS LÄN</t>
        </is>
      </c>
      <c r="G90" t="inlineStr">
        <is>
          <t>NYKÖPING</t>
        </is>
      </c>
      <c r="I90" t="n">
        <v>0.9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Dropptaggsvamp</t>
        </is>
      </c>
      <c r="W90">
        <f>HYPERLINK("https://klasma.github.io/Logging_0480/artfynd/A 13724-2024 artfynd.xlsx", "A 13724-2024")</f>
        <v/>
      </c>
      <c r="X90">
        <f>HYPERLINK("https://klasma.github.io/Logging_0480/kartor/A 13724-2024 karta.png", "A 13724-2024")</f>
        <v/>
      </c>
      <c r="Y90">
        <f>HYPERLINK("https://klasma.github.io/Logging_0480/kartor_geotiff/A 13724-2024 georefererad karta.tif", "A 13724-2024")</f>
        <v/>
      </c>
      <c r="AA90">
        <f>HYPERLINK("https://klasma.github.io/Logging_0480/klagomål/A 13724-2024 FSC-klagomål.docx", "A 13724-2024")</f>
        <v/>
      </c>
      <c r="AB90">
        <f>HYPERLINK("https://klasma.github.io/Logging_0480/klagomålsmail/A 13724-2024 FSC-klagomål mail.docx", "A 13724-2024")</f>
        <v/>
      </c>
      <c r="AC90">
        <f>HYPERLINK("https://klasma.github.io/Logging_0480/tillsyn/A 13724-2024 tillsynsbegäran.docx", "A 13724-2024")</f>
        <v/>
      </c>
      <c r="AD90">
        <f>HYPERLINK("https://klasma.github.io/Logging_0480/tillsynsmail/A 13724-2024 tillsynsbegäran mail.docx", "A 13724-2024")</f>
        <v/>
      </c>
    </row>
    <row r="91" ht="15" customHeight="1">
      <c r="A91" t="inlineStr">
        <is>
          <t>A 52384-2025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46237</v>
      </c>
      <c r="F91" t="inlineStr">
        <is>
          <t>SÖDERMANLANDS LÄN</t>
        </is>
      </c>
      <c r="G91" t="inlineStr">
        <is>
          <t>NYKÖPING</t>
        </is>
      </c>
      <c r="H91" t="inlineStr">
        <is>
          <t>Holmen skog AB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Törnskata</t>
        </is>
      </c>
      <c r="W91">
        <f>HYPERLINK("https://klasma.github.io/Logging_0480/artfynd/A 52384-2025 artfynd.xlsx", "A 52384-2025")</f>
        <v/>
      </c>
      <c r="X91">
        <f>HYPERLINK("https://klasma.github.io/Logging_0480/kartor/A 52384-2025 karta.png", "A 52384-2025")</f>
        <v/>
      </c>
      <c r="Y91">
        <f>HYPERLINK("https://klasma.github.io/Logging_0480/kartor_geotiff/A 52384-2025 georefererad karta.tif", "A 52384-2025")</f>
        <v/>
      </c>
      <c r="AA91">
        <f>HYPERLINK("https://klasma.github.io/Logging_0480/klagomål/A 52384-2025 FSC-klagomål.docx", "A 52384-2025")</f>
        <v/>
      </c>
      <c r="AB91">
        <f>HYPERLINK("https://klasma.github.io/Logging_0480/klagomålsmail/A 52384-2025 FSC-klagomål mail.docx", "A 52384-2025")</f>
        <v/>
      </c>
      <c r="AC91">
        <f>HYPERLINK("https://klasma.github.io/Logging_0480/tillsyn/A 52384-2025 tillsynsbegäran.docx", "A 52384-2025")</f>
        <v/>
      </c>
      <c r="AD91">
        <f>HYPERLINK("https://klasma.github.io/Logging_0480/tillsynsmail/A 52384-2025 tillsynsbegäran mail.docx", "A 52384-2025")</f>
        <v/>
      </c>
      <c r="AE91">
        <f>HYPERLINK("https://klasma.github.io/Logging_0480/fåglar/A 52384-2025 prioriterade fågelarter.docx", "A 52384-2025")</f>
        <v/>
      </c>
    </row>
    <row r="92" ht="15" customHeight="1">
      <c r="A92" t="inlineStr">
        <is>
          <t>A 2829-2025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46237</v>
      </c>
      <c r="F92" t="inlineStr">
        <is>
          <t>SÖDERMANLANDS LÄN</t>
        </is>
      </c>
      <c r="G92" t="inlineStr">
        <is>
          <t>NYKÖPING</t>
        </is>
      </c>
      <c r="H92" t="inlineStr">
        <is>
          <t>Allmännings- och besparingsskogar</t>
        </is>
      </c>
      <c r="I92" t="n">
        <v>12.1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2829-2025 artfynd.xlsx", "A 2829-2025")</f>
        <v/>
      </c>
      <c r="X92">
        <f>HYPERLINK("https://klasma.github.io/Logging_0480/kartor/A 2829-2025 karta.png", "A 2829-2025")</f>
        <v/>
      </c>
      <c r="Y92">
        <f>HYPERLINK("https://klasma.github.io/Logging_0480/kartor_geotiff/A 2829-2025 georefererad karta.tif", "A 2829-2025")</f>
        <v/>
      </c>
      <c r="AA92">
        <f>HYPERLINK("https://klasma.github.io/Logging_0480/klagomål/A 2829-2025 FSC-klagomål.docx", "A 2829-2025")</f>
        <v/>
      </c>
      <c r="AB92">
        <f>HYPERLINK("https://klasma.github.io/Logging_0480/klagomålsmail/A 2829-2025 FSC-klagomål mail.docx", "A 2829-2025")</f>
        <v/>
      </c>
      <c r="AC92">
        <f>HYPERLINK("https://klasma.github.io/Logging_0480/tillsyn/A 2829-2025 tillsynsbegäran.docx", "A 2829-2025")</f>
        <v/>
      </c>
      <c r="AD92">
        <f>HYPERLINK("https://klasma.github.io/Logging_0480/tillsynsmail/A 2829-2025 tillsynsbegäran mail.docx", "A 2829-2025")</f>
        <v/>
      </c>
      <c r="AE92">
        <f>HYPERLINK("https://klasma.github.io/Logging_0480/fåglar/A 2829-2025 prioriterade fågelarter.docx", "A 2829-2025")</f>
        <v/>
      </c>
    </row>
    <row r="93" ht="15" customHeight="1">
      <c r="A93" t="inlineStr">
        <is>
          <t>A 22495-2026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46155</v>
      </c>
      <c r="E93" s="1" t="n">
        <v>46237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2.6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Vedticka</t>
        </is>
      </c>
      <c r="W93">
        <f>HYPERLINK("https://klasma.github.io/Logging_0480/artfynd/A 22495-2026 artfynd.xlsx", "A 22495-2026")</f>
        <v/>
      </c>
      <c r="X93">
        <f>HYPERLINK("https://klasma.github.io/Logging_0480/kartor/A 22495-2026 karta.png", "A 22495-2026")</f>
        <v/>
      </c>
      <c r="Y93">
        <f>HYPERLINK("https://klasma.github.io/Logging_0480/kartor_geotiff/A 22495-2026 georefererad karta.tif", "A 22495-2026")</f>
        <v/>
      </c>
      <c r="AA93">
        <f>HYPERLINK("https://klasma.github.io/Logging_0480/klagomål/A 22495-2026 FSC-klagomål.docx", "A 22495-2026")</f>
        <v/>
      </c>
      <c r="AB93">
        <f>HYPERLINK("https://klasma.github.io/Logging_0480/klagomålsmail/A 22495-2026 FSC-klagomål mail.docx", "A 22495-2026")</f>
        <v/>
      </c>
      <c r="AC93">
        <f>HYPERLINK("https://klasma.github.io/Logging_0480/tillsyn/A 22495-2026 tillsynsbegäran.docx", "A 22495-2026")</f>
        <v/>
      </c>
      <c r="AD93">
        <f>HYPERLINK("https://klasma.github.io/Logging_0480/tillsynsmail/A 22495-2026 tillsynsbegäran mail.docx", "A 22495-2026")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46237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Gullviva</t>
        </is>
      </c>
      <c r="W94">
        <f>HYPERLINK("https://klasma.github.io/Logging_0480/artfynd/A 35318-2024 artfynd.xlsx", "A 35318-2024")</f>
        <v/>
      </c>
      <c r="X94">
        <f>HYPERLINK("https://klasma.github.io/Logging_0480/kartor/A 35318-2024 karta.png", "A 35318-2024")</f>
        <v/>
      </c>
      <c r="Y94">
        <f>HYPERLINK("https://klasma.github.io/Logging_0480/kartor_geotiff/A 35318-2024 georefererad karta.tif", "A 35318-2024")</f>
        <v/>
      </c>
      <c r="AA94">
        <f>HYPERLINK("https://klasma.github.io/Logging_0480/klagomål/A 35318-2024 FSC-klagomål.docx", "A 35318-2024")</f>
        <v/>
      </c>
      <c r="AB94">
        <f>HYPERLINK("https://klasma.github.io/Logging_0480/klagomålsmail/A 35318-2024 FSC-klagomål mail.docx", "A 35318-2024")</f>
        <v/>
      </c>
      <c r="AC94">
        <f>HYPERLINK("https://klasma.github.io/Logging_0480/tillsyn/A 35318-2024 tillsynsbegäran.docx", "A 35318-2024")</f>
        <v/>
      </c>
      <c r="AD94">
        <f>HYPERLINK("https://klasma.github.io/Logging_0480/tillsynsmail/A 35318-2024 tillsynsbegäran mail.docx", "A 35318-2024")</f>
        <v/>
      </c>
    </row>
    <row r="95" ht="15" customHeight="1">
      <c r="A95" t="inlineStr">
        <is>
          <t>A 47095-2021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46237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Kricka</t>
        </is>
      </c>
      <c r="W95">
        <f>HYPERLINK("https://klasma.github.io/Logging_0480/artfynd/A 47095-2021 artfynd.xlsx", "A 47095-2021")</f>
        <v/>
      </c>
      <c r="X95">
        <f>HYPERLINK("https://klasma.github.io/Logging_0480/kartor/A 47095-2021 karta.png", "A 47095-2021")</f>
        <v/>
      </c>
      <c r="Y95">
        <f>HYPERLINK("https://klasma.github.io/Logging_0480/kartor_geotiff/A 47095-2021 georefererad karta.tif", "A 47095-2021")</f>
        <v/>
      </c>
      <c r="AA95">
        <f>HYPERLINK("https://klasma.github.io/Logging_0480/klagomål/A 47095-2021 FSC-klagomål.docx", "A 47095-2021")</f>
        <v/>
      </c>
      <c r="AB95">
        <f>HYPERLINK("https://klasma.github.io/Logging_0480/klagomålsmail/A 47095-2021 FSC-klagomål mail.docx", "A 47095-2021")</f>
        <v/>
      </c>
      <c r="AC95">
        <f>HYPERLINK("https://klasma.github.io/Logging_0480/tillsyn/A 47095-2021 tillsynsbegäran.docx", "A 47095-2021")</f>
        <v/>
      </c>
      <c r="AD95">
        <f>HYPERLINK("https://klasma.github.io/Logging_0480/tillsynsmail/A 47095-2021 tillsynsbegäran mail.docx", "A 47095-2021")</f>
        <v/>
      </c>
      <c r="AE95">
        <f>HYPERLINK("https://klasma.github.io/Logging_0480/fåglar/A 47095-2021 prioriterade fågelarter.docx", "A 47095-2021")</f>
        <v/>
      </c>
    </row>
    <row r="96" ht="15" customHeight="1">
      <c r="A96" t="inlineStr">
        <is>
          <t>A 20425-2024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46237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Skogsalm</t>
        </is>
      </c>
      <c r="W96">
        <f>HYPERLINK("https://klasma.github.io/Logging_0480/artfynd/A 20425-2024 artfynd.xlsx", "A 20425-2024")</f>
        <v/>
      </c>
      <c r="X96">
        <f>HYPERLINK("https://klasma.github.io/Logging_0480/kartor/A 20425-2024 karta.png", "A 20425-2024")</f>
        <v/>
      </c>
      <c r="Y96">
        <f>HYPERLINK("https://klasma.github.io/Logging_0480/kartor_geotiff/A 20425-2024 georefererad karta.tif", "A 20425-2024")</f>
        <v/>
      </c>
      <c r="AA96">
        <f>HYPERLINK("https://klasma.github.io/Logging_0480/klagomål/A 20425-2024 FSC-klagomål.docx", "A 20425-2024")</f>
        <v/>
      </c>
      <c r="AB96">
        <f>HYPERLINK("https://klasma.github.io/Logging_0480/klagomålsmail/A 20425-2024 FSC-klagomål mail.docx", "A 20425-2024")</f>
        <v/>
      </c>
      <c r="AC96">
        <f>HYPERLINK("https://klasma.github.io/Logging_0480/tillsyn/A 20425-2024 tillsynsbegäran.docx", "A 20425-2024")</f>
        <v/>
      </c>
      <c r="AD96">
        <f>HYPERLINK("https://klasma.github.io/Logging_0480/tillsynsmail/A 20425-2024 tillsynsbegäran mail.docx", "A 20425-2024")</f>
        <v/>
      </c>
    </row>
    <row r="97" ht="15" customHeight="1">
      <c r="A97" t="inlineStr">
        <is>
          <t>A 59905-2025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46237</v>
      </c>
      <c r="F97" t="inlineStr">
        <is>
          <t>SÖDERMANLANDS LÄN</t>
        </is>
      </c>
      <c r="G97" t="inlineStr">
        <is>
          <t>NYKÖPING</t>
        </is>
      </c>
      <c r="H97" t="inlineStr">
        <is>
          <t>Holmen skog AB</t>
        </is>
      </c>
      <c r="I97" t="n">
        <v>11.7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Kattfotslav</t>
        </is>
      </c>
      <c r="W97">
        <f>HYPERLINK("https://klasma.github.io/Logging_0480/artfynd/A 59905-2025 artfynd.xlsx", "A 59905-2025")</f>
        <v/>
      </c>
      <c r="X97">
        <f>HYPERLINK("https://klasma.github.io/Logging_0480/kartor/A 59905-2025 karta.png", "A 59905-2025")</f>
        <v/>
      </c>
      <c r="Y97">
        <f>HYPERLINK("https://klasma.github.io/Logging_0480/kartor_geotiff/A 59905-2025 georefererad karta.tif", "A 59905-2025")</f>
        <v/>
      </c>
      <c r="AA97">
        <f>HYPERLINK("https://klasma.github.io/Logging_0480/klagomål/A 59905-2025 FSC-klagomål.docx", "A 59905-2025")</f>
        <v/>
      </c>
      <c r="AB97">
        <f>HYPERLINK("https://klasma.github.io/Logging_0480/klagomålsmail/A 59905-2025 FSC-klagomål mail.docx", "A 59905-2025")</f>
        <v/>
      </c>
      <c r="AC97">
        <f>HYPERLINK("https://klasma.github.io/Logging_0480/tillsyn/A 59905-2025 tillsynsbegäran.docx", "A 59905-2025")</f>
        <v/>
      </c>
      <c r="AD97">
        <f>HYPERLINK("https://klasma.github.io/Logging_0480/tillsynsmail/A 59905-2025 tillsynsbegäran mail.docx", "A 59905-2025")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46237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HYPERLINK("https://klasma.github.io/Logging_0480/artfynd/A 5509-2023 artfynd.xlsx", "A 5509-2023")</f>
        <v/>
      </c>
      <c r="X98">
        <f>HYPERLINK("https://klasma.github.io/Logging_0480/kartor/A 5509-2023 karta.png", "A 5509-2023")</f>
        <v/>
      </c>
      <c r="Y98">
        <f>HYPERLINK("https://klasma.github.io/Logging_0480/kartor_geotiff/A 5509-2023 georefererad karta.tif", "A 5509-2023")</f>
        <v/>
      </c>
      <c r="AA98">
        <f>HYPERLINK("https://klasma.github.io/Logging_0480/klagomål/A 5509-2023 FSC-klagomål.docx", "A 5509-2023")</f>
        <v/>
      </c>
      <c r="AB98">
        <f>HYPERLINK("https://klasma.github.io/Logging_0480/klagomålsmail/A 5509-2023 FSC-klagomål mail.docx", "A 5509-2023")</f>
        <v/>
      </c>
      <c r="AC98">
        <f>HYPERLINK("https://klasma.github.io/Logging_0480/tillsyn/A 5509-2023 tillsynsbegäran.docx", "A 5509-2023")</f>
        <v/>
      </c>
      <c r="AD98">
        <f>HYPERLINK("https://klasma.github.io/Logging_0480/tillsynsmail/A 5509-2023 tillsynsbegäran mail.docx", "A 5509-2023")</f>
        <v/>
      </c>
    </row>
    <row r="99" ht="15" customHeight="1">
      <c r="A99" t="inlineStr">
        <is>
          <t>A 20325-2023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46237</v>
      </c>
      <c r="F99" t="inlineStr">
        <is>
          <t>SÖDERMANLANDS LÄN</t>
        </is>
      </c>
      <c r="G99" t="inlineStr">
        <is>
          <t>NYKÖPING</t>
        </is>
      </c>
      <c r="I99" t="n">
        <v>0.2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Kamjordstjärna</t>
        </is>
      </c>
      <c r="W99">
        <f>HYPERLINK("https://klasma.github.io/Logging_0480/artfynd/A 20325-2023 artfynd.xlsx", "A 20325-2023")</f>
        <v/>
      </c>
      <c r="X99">
        <f>HYPERLINK("https://klasma.github.io/Logging_0480/kartor/A 20325-2023 karta.png", "A 20325-2023")</f>
        <v/>
      </c>
      <c r="Y99">
        <f>HYPERLINK("https://klasma.github.io/Logging_0480/kartor_geotiff/A 20325-2023 georefererad karta.tif", "A 20325-2023")</f>
        <v/>
      </c>
      <c r="AA99">
        <f>HYPERLINK("https://klasma.github.io/Logging_0480/klagomål/A 20325-2023 FSC-klagomål.docx", "A 20325-2023")</f>
        <v/>
      </c>
      <c r="AB99">
        <f>HYPERLINK("https://klasma.github.io/Logging_0480/klagomålsmail/A 20325-2023 FSC-klagomål mail.docx", "A 20325-2023")</f>
        <v/>
      </c>
      <c r="AC99">
        <f>HYPERLINK("https://klasma.github.io/Logging_0480/tillsyn/A 20325-2023 tillsynsbegäran.docx", "A 20325-2023")</f>
        <v/>
      </c>
      <c r="AD99">
        <f>HYPERLINK("https://klasma.github.io/Logging_0480/tillsynsmail/A 20325-2023 tillsynsbegäran mail.docx", "A 20325-2023")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46237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59329-2023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46237</v>
      </c>
      <c r="F101" t="inlineStr">
        <is>
          <t>SÖDERMANLANDS LÄN</t>
        </is>
      </c>
      <c r="G101" t="inlineStr">
        <is>
          <t>NYKÖPING</t>
        </is>
      </c>
      <c r="I101" t="n">
        <v>22.1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HYPERLINK("https://klasma.github.io/Logging_0480/artfynd/A 59329-2023 artfynd.xlsx", "A 59329-2023")</f>
        <v/>
      </c>
      <c r="X101">
        <f>HYPERLINK("https://klasma.github.io/Logging_0480/kartor/A 59329-2023 karta.png", "A 59329-2023")</f>
        <v/>
      </c>
      <c r="Y101">
        <f>HYPERLINK("https://klasma.github.io/Logging_0480/kartor_geotiff/A 59329-2023 georefererad karta.tif", "A 59329-2023")</f>
        <v/>
      </c>
      <c r="AA101">
        <f>HYPERLINK("https://klasma.github.io/Logging_0480/klagomål/A 59329-2023 FSC-klagomål.docx", "A 59329-2023")</f>
        <v/>
      </c>
      <c r="AB101">
        <f>HYPERLINK("https://klasma.github.io/Logging_0480/klagomålsmail/A 59329-2023 FSC-klagomål mail.docx", "A 59329-2023")</f>
        <v/>
      </c>
      <c r="AC101">
        <f>HYPERLINK("https://klasma.github.io/Logging_0480/tillsyn/A 59329-2023 tillsynsbegäran.docx", "A 59329-2023")</f>
        <v/>
      </c>
      <c r="AD101">
        <f>HYPERLINK("https://klasma.github.io/Logging_0480/tillsynsmail/A 59329-2023 tillsynsbegäran mail.docx", "A 59329-2023")</f>
        <v/>
      </c>
    </row>
    <row r="102" ht="15" customHeight="1">
      <c r="A102" t="inlineStr">
        <is>
          <t>A 63423-2025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46237</v>
      </c>
      <c r="F102" t="inlineStr">
        <is>
          <t>SÖDERMANLANDS LÄN</t>
        </is>
      </c>
      <c r="G102" t="inlineStr">
        <is>
          <t>NYKÖPING</t>
        </is>
      </c>
      <c r="I102" t="n">
        <v>7.4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HYPERLINK("https://klasma.github.io/Logging_0480/artfynd/A 63423-2025 artfynd.xlsx", "A 63423-2025")</f>
        <v/>
      </c>
      <c r="X102">
        <f>HYPERLINK("https://klasma.github.io/Logging_0480/kartor/A 63423-2025 karta.png", "A 63423-2025")</f>
        <v/>
      </c>
      <c r="Y102">
        <f>HYPERLINK("https://klasma.github.io/Logging_0480/kartor_geotiff/A 63423-2025 georefererad karta.tif", "A 63423-2025")</f>
        <v/>
      </c>
      <c r="AA102">
        <f>HYPERLINK("https://klasma.github.io/Logging_0480/klagomål/A 63423-2025 FSC-klagomål.docx", "A 63423-2025")</f>
        <v/>
      </c>
      <c r="AB102">
        <f>HYPERLINK("https://klasma.github.io/Logging_0480/klagomålsmail/A 63423-2025 FSC-klagomål mail.docx", "A 63423-2025")</f>
        <v/>
      </c>
      <c r="AC102">
        <f>HYPERLINK("https://klasma.github.io/Logging_0480/tillsyn/A 63423-2025 tillsynsbegäran.docx", "A 63423-2025")</f>
        <v/>
      </c>
      <c r="AD102">
        <f>HYPERLINK("https://klasma.github.io/Logging_0480/tillsynsmail/A 63423-2025 tillsynsbegäran mail.docx", "A 63423-2025")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46237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46237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1105-2023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46237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Skuggblåslav</t>
        </is>
      </c>
      <c r="W105">
        <f>HYPERLINK("https://klasma.github.io/Logging_0480/artfynd/A 1105-2023 artfynd.xlsx", "A 1105-2023")</f>
        <v/>
      </c>
      <c r="X105">
        <f>HYPERLINK("https://klasma.github.io/Logging_0480/kartor/A 1105-2023 karta.png", "A 1105-2023")</f>
        <v/>
      </c>
      <c r="Y105">
        <f>HYPERLINK("https://klasma.github.io/Logging_0480/kartor_geotiff/A 1105-2023 georefererad karta.tif", "A 1105-2023")</f>
        <v/>
      </c>
      <c r="AA105">
        <f>HYPERLINK("https://klasma.github.io/Logging_0480/klagomål/A 1105-2023 FSC-klagomål.docx", "A 1105-2023")</f>
        <v/>
      </c>
      <c r="AB105">
        <f>HYPERLINK("https://klasma.github.io/Logging_0480/klagomålsmail/A 1105-2023 FSC-klagomål mail.docx", "A 1105-2023")</f>
        <v/>
      </c>
      <c r="AC105">
        <f>HYPERLINK("https://klasma.github.io/Logging_0480/tillsyn/A 1105-2023 tillsynsbegäran.docx", "A 1105-2023")</f>
        <v/>
      </c>
      <c r="AD105">
        <f>HYPERLINK("https://klasma.github.io/Logging_0480/tillsynsmail/A 1105-2023 tillsynsbegäran mail.docx", "A 1105-2023")</f>
        <v/>
      </c>
    </row>
    <row r="106" ht="15" customHeight="1">
      <c r="A106" t="inlineStr">
        <is>
          <t>A 20415-2024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46237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6.4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Gulsparv</t>
        </is>
      </c>
      <c r="W106">
        <f>HYPERLINK("https://klasma.github.io/Logging_0480/artfynd/A 20415-2024 artfynd.xlsx", "A 20415-2024")</f>
        <v/>
      </c>
      <c r="X106">
        <f>HYPERLINK("https://klasma.github.io/Logging_0480/kartor/A 20415-2024 karta.png", "A 20415-2024")</f>
        <v/>
      </c>
      <c r="Y106">
        <f>HYPERLINK("https://klasma.github.io/Logging_0480/kartor_geotiff/A 20415-2024 georefererad karta.tif", "A 20415-2024")</f>
        <v/>
      </c>
      <c r="AA106">
        <f>HYPERLINK("https://klasma.github.io/Logging_0480/klagomål/A 20415-2024 FSC-klagomål.docx", "A 20415-2024")</f>
        <v/>
      </c>
      <c r="AB106">
        <f>HYPERLINK("https://klasma.github.io/Logging_0480/klagomålsmail/A 20415-2024 FSC-klagomål mail.docx", "A 20415-2024")</f>
        <v/>
      </c>
      <c r="AC106">
        <f>HYPERLINK("https://klasma.github.io/Logging_0480/tillsyn/A 20415-2024 tillsynsbegäran.docx", "A 20415-2024")</f>
        <v/>
      </c>
      <c r="AD106">
        <f>HYPERLINK("https://klasma.github.io/Logging_0480/tillsynsmail/A 20415-2024 tillsynsbegäran mail.docx", "A 20415-2024")</f>
        <v/>
      </c>
      <c r="AE106">
        <f>HYPERLINK("https://klasma.github.io/Logging_0480/fåglar/A 20415-2024 prioriterade fågelarter.docx", "A 20415-2024")</f>
        <v/>
      </c>
    </row>
    <row r="107" ht="15" customHeight="1">
      <c r="A107" t="inlineStr">
        <is>
          <t>A 50554-2023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46237</v>
      </c>
      <c r="F107" t="inlineStr">
        <is>
          <t>SÖDERMANLANDS LÄN</t>
        </is>
      </c>
      <c r="G107" t="inlineStr">
        <is>
          <t>NYKÖPING</t>
        </is>
      </c>
      <c r="I107" t="n">
        <v>10.9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50554-2023 artfynd.xlsx", "A 50554-2023")</f>
        <v/>
      </c>
      <c r="X107">
        <f>HYPERLINK("https://klasma.github.io/Logging_0480/kartor/A 50554-2023 karta.png", "A 50554-2023")</f>
        <v/>
      </c>
      <c r="Y107">
        <f>HYPERLINK("https://klasma.github.io/Logging_0480/kartor_geotiff/A 50554-2023 georefererad karta.tif", "A 50554-2023")</f>
        <v/>
      </c>
      <c r="AA107">
        <f>HYPERLINK("https://klasma.github.io/Logging_0480/klagomål/A 50554-2023 FSC-klagomål.docx", "A 50554-2023")</f>
        <v/>
      </c>
      <c r="AB107">
        <f>HYPERLINK("https://klasma.github.io/Logging_0480/klagomålsmail/A 50554-2023 FSC-klagomål mail.docx", "A 50554-2023")</f>
        <v/>
      </c>
      <c r="AC107">
        <f>HYPERLINK("https://klasma.github.io/Logging_0480/tillsyn/A 50554-2023 tillsynsbegäran.docx", "A 50554-2023")</f>
        <v/>
      </c>
      <c r="AD107">
        <f>HYPERLINK("https://klasma.github.io/Logging_0480/tillsynsmail/A 50554-2023 tillsynsbegäran mail.docx", "A 50554-2023")</f>
        <v/>
      </c>
    </row>
    <row r="108" ht="15" customHeight="1">
      <c r="A108" t="inlineStr">
        <is>
          <t>A 10886-2026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46078</v>
      </c>
      <c r="E108" s="1" t="n">
        <v>46237</v>
      </c>
      <c r="F108" t="inlineStr">
        <is>
          <t>SÖDERMANLANDS LÄN</t>
        </is>
      </c>
      <c r="G108" t="inlineStr">
        <is>
          <t>NYKÖPING</t>
        </is>
      </c>
      <c r="I108" t="n">
        <v>2.5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Tibast</t>
        </is>
      </c>
      <c r="W108">
        <f>HYPERLINK("https://klasma.github.io/Logging_0480/artfynd/A 10886-2026 artfynd.xlsx", "A 10886-2026")</f>
        <v/>
      </c>
      <c r="X108">
        <f>HYPERLINK("https://klasma.github.io/Logging_0480/kartor/A 10886-2026 karta.png", "A 10886-2026")</f>
        <v/>
      </c>
      <c r="Y108">
        <f>HYPERLINK("https://klasma.github.io/Logging_0480/kartor_geotiff/A 10886-2026 georefererad karta.tif", "A 10886-2026")</f>
        <v/>
      </c>
      <c r="AA108">
        <f>HYPERLINK("https://klasma.github.io/Logging_0480/klagomål/A 10886-2026 FSC-klagomål.docx", "A 10886-2026")</f>
        <v/>
      </c>
      <c r="AB108">
        <f>HYPERLINK("https://klasma.github.io/Logging_0480/klagomålsmail/A 10886-2026 FSC-klagomål mail.docx", "A 10886-2026")</f>
        <v/>
      </c>
      <c r="AC108">
        <f>HYPERLINK("https://klasma.github.io/Logging_0480/tillsyn/A 10886-2026 tillsynsbegäran.docx", "A 10886-2026")</f>
        <v/>
      </c>
      <c r="AD108">
        <f>HYPERLINK("https://klasma.github.io/Logging_0480/tillsynsmail/A 10886-2026 tillsynsbegäran mail.docx", "A 10886-2026")</f>
        <v/>
      </c>
    </row>
    <row r="109" ht="15" customHeight="1">
      <c r="A109" t="inlineStr">
        <is>
          <t>A 2837-2025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45677</v>
      </c>
      <c r="E109" s="1" t="n">
        <v>46237</v>
      </c>
      <c r="F109" t="inlineStr">
        <is>
          <t>SÖDERMANLANDS LÄN</t>
        </is>
      </c>
      <c r="G109" t="inlineStr">
        <is>
          <t>NYKÖPING</t>
        </is>
      </c>
      <c r="I109" t="n">
        <v>5.2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4</v>
      </c>
      <c r="U109" t="n">
        <v>0</v>
      </c>
      <c r="V109" s="2" t="inlineStr">
        <is>
          <t>Hasselticka</t>
        </is>
      </c>
      <c r="W109">
        <f>HYPERLINK("https://klasma.github.io/Logging_0480/artfynd/A 2837-2025 artfynd.xlsx", "A 2837-2025")</f>
        <v/>
      </c>
      <c r="X109">
        <f>HYPERLINK("https://klasma.github.io/Logging_0480/kartor/A 2837-2025 karta.png", "A 2837-2025")</f>
        <v/>
      </c>
      <c r="Y109">
        <f>HYPERLINK("https://klasma.github.io/Logging_0480/kartor_geotiff/A 2837-2025 georefererad karta.tif", "A 2837-2025")</f>
        <v/>
      </c>
      <c r="AA109">
        <f>HYPERLINK("https://klasma.github.io/Logging_0480/klagomål/A 2837-2025 FSC-klagomål.docx", "A 2837-2025")</f>
        <v/>
      </c>
      <c r="AB109">
        <f>HYPERLINK("https://klasma.github.io/Logging_0480/klagomålsmail/A 2837-2025 FSC-klagomål mail.docx", "A 2837-2025")</f>
        <v/>
      </c>
      <c r="AC109">
        <f>HYPERLINK("https://klasma.github.io/Logging_0480/tillsyn/A 2837-2025 tillsynsbegäran.docx", "A 2837-2025")</f>
        <v/>
      </c>
      <c r="AD109">
        <f>HYPERLINK("https://klasma.github.io/Logging_0480/tillsynsmail/A 2837-2025 tillsynsbegäran mail.docx", "A 2837-2025")</f>
        <v/>
      </c>
    </row>
    <row r="110" ht="15" customHeight="1">
      <c r="A110" t="inlineStr">
        <is>
          <t>A 9973-2022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46237</v>
      </c>
      <c r="F110" t="inlineStr">
        <is>
          <t>SÖDERMANLANDS LÄN</t>
        </is>
      </c>
      <c r="G110" t="inlineStr">
        <is>
          <t>NYKÖPING</t>
        </is>
      </c>
      <c r="I110" t="n">
        <v>18.3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 sköldmossa</t>
        </is>
      </c>
      <c r="W110">
        <f>HYPERLINK("https://klasma.github.io/Logging_0480/artfynd/A 9973-2022 artfynd.xlsx", "A 9973-2022")</f>
        <v/>
      </c>
      <c r="X110">
        <f>HYPERLINK("https://klasma.github.io/Logging_0480/kartor/A 9973-2022 karta.png", "A 9973-2022")</f>
        <v/>
      </c>
      <c r="Y110">
        <f>HYPERLINK("https://klasma.github.io/Logging_0480/kartor_geotiff/A 9973-2022 georefererad karta.tif", "A 9973-2022")</f>
        <v/>
      </c>
      <c r="AA110">
        <f>HYPERLINK("https://klasma.github.io/Logging_0480/klagomål/A 9973-2022 FSC-klagomål.docx", "A 9973-2022")</f>
        <v/>
      </c>
      <c r="AB110">
        <f>HYPERLINK("https://klasma.github.io/Logging_0480/klagomålsmail/A 9973-2022 FSC-klagomål mail.docx", "A 9973-2022")</f>
        <v/>
      </c>
      <c r="AC110">
        <f>HYPERLINK("https://klasma.github.io/Logging_0480/tillsyn/A 9973-2022 tillsynsbegäran.docx", "A 9973-2022")</f>
        <v/>
      </c>
      <c r="AD110">
        <f>HYPERLINK("https://klasma.github.io/Logging_0480/tillsynsmail/A 9973-2022 tillsynsbegäran mail.docx", "A 9973-2022")</f>
        <v/>
      </c>
    </row>
    <row r="111" ht="15" customHeight="1">
      <c r="A111" t="inlineStr">
        <is>
          <t>A 51258-2024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46237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2.6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51258-2024 artfynd.xlsx", "A 51258-2024")</f>
        <v/>
      </c>
      <c r="X111">
        <f>HYPERLINK("https://klasma.github.io/Logging_0480/kartor/A 51258-2024 karta.png", "A 51258-2024")</f>
        <v/>
      </c>
      <c r="Y111">
        <f>HYPERLINK("https://klasma.github.io/Logging_0480/kartor_geotiff/A 51258-2024 georefererad karta.tif", "A 51258-2024")</f>
        <v/>
      </c>
      <c r="AA111">
        <f>HYPERLINK("https://klasma.github.io/Logging_0480/klagomål/A 51258-2024 FSC-klagomål.docx", "A 51258-2024")</f>
        <v/>
      </c>
      <c r="AB111">
        <f>HYPERLINK("https://klasma.github.io/Logging_0480/klagomålsmail/A 51258-2024 FSC-klagomål mail.docx", "A 51258-2024")</f>
        <v/>
      </c>
      <c r="AC111">
        <f>HYPERLINK("https://klasma.github.io/Logging_0480/tillsyn/A 51258-2024 tillsynsbegäran.docx", "A 51258-2024")</f>
        <v/>
      </c>
      <c r="AD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56080-2024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46237</v>
      </c>
      <c r="F112" t="inlineStr">
        <is>
          <t>SÖDERMANLANDS LÄN</t>
        </is>
      </c>
      <c r="G112" t="inlineStr">
        <is>
          <t>NYKÖPING</t>
        </is>
      </c>
      <c r="I112" t="n">
        <v>5.5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Ärtsångare</t>
        </is>
      </c>
      <c r="W112">
        <f>HYPERLINK("https://klasma.github.io/Logging_0480/artfynd/A 56080-2024 artfynd.xlsx", "A 56080-2024")</f>
        <v/>
      </c>
      <c r="X112">
        <f>HYPERLINK("https://klasma.github.io/Logging_0480/kartor/A 56080-2024 karta.png", "A 56080-2024")</f>
        <v/>
      </c>
      <c r="Y112">
        <f>HYPERLINK("https://klasma.github.io/Logging_0480/kartor_geotiff/A 56080-2024 georefererad karta.tif", "A 56080-2024")</f>
        <v/>
      </c>
      <c r="AA112">
        <f>HYPERLINK("https://klasma.github.io/Logging_0480/klagomål/A 56080-2024 FSC-klagomål.docx", "A 56080-2024")</f>
        <v/>
      </c>
      <c r="AB112">
        <f>HYPERLINK("https://klasma.github.io/Logging_0480/klagomålsmail/A 56080-2024 FSC-klagomål mail.docx", "A 56080-2024")</f>
        <v/>
      </c>
      <c r="AC112">
        <f>HYPERLINK("https://klasma.github.io/Logging_0480/tillsyn/A 56080-2024 tillsynsbegäran.docx", "A 56080-2024")</f>
        <v/>
      </c>
      <c r="AD112">
        <f>HYPERLINK("https://klasma.github.io/Logging_0480/tillsynsmail/A 56080-2024 tillsynsbegäran mail.docx", "A 56080-2024")</f>
        <v/>
      </c>
    </row>
    <row r="113" ht="15" customHeight="1">
      <c r="A113" t="inlineStr">
        <is>
          <t>A 28704-2025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45820</v>
      </c>
      <c r="E113" s="1" t="n">
        <v>46237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Tallticka</t>
        </is>
      </c>
      <c r="W113">
        <f>HYPERLINK("https://klasma.github.io/Logging_0480/artfynd/A 28704-2025 artfynd.xlsx", "A 28704-2025")</f>
        <v/>
      </c>
      <c r="X113">
        <f>HYPERLINK("https://klasma.github.io/Logging_0480/kartor/A 28704-2025 karta.png", "A 28704-2025")</f>
        <v/>
      </c>
      <c r="Y113">
        <f>HYPERLINK("https://klasma.github.io/Logging_0480/kartor_geotiff/A 28704-2025 georefererad karta.tif", "A 28704-2025")</f>
        <v/>
      </c>
      <c r="AA113">
        <f>HYPERLINK("https://klasma.github.io/Logging_0480/klagomål/A 28704-2025 FSC-klagomål.docx", "A 28704-2025")</f>
        <v/>
      </c>
      <c r="AB113">
        <f>HYPERLINK("https://klasma.github.io/Logging_0480/klagomålsmail/A 28704-2025 FSC-klagomål mail.docx", "A 28704-2025")</f>
        <v/>
      </c>
      <c r="AC113">
        <f>HYPERLINK("https://klasma.github.io/Logging_0480/tillsyn/A 28704-2025 tillsynsbegäran.docx", "A 28704-2025")</f>
        <v/>
      </c>
      <c r="AD113">
        <f>HYPERLINK("https://klasma.github.io/Logging_0480/tillsynsmail/A 28704-2025 tillsynsbegäran mail.docx", "A 28704-2025")</f>
        <v/>
      </c>
    </row>
    <row r="114" ht="15" customHeight="1">
      <c r="A114" t="inlineStr">
        <is>
          <t>A 7270-2025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45702</v>
      </c>
      <c r="E114" s="1" t="n">
        <v>46237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Övriga Aktiebolag</t>
        </is>
      </c>
      <c r="I114" t="n">
        <v>1.2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Järpe</t>
        </is>
      </c>
      <c r="W114">
        <f>HYPERLINK("https://klasma.github.io/Logging_0480/artfynd/A 7270-2025 artfynd.xlsx", "A 7270-2025")</f>
        <v/>
      </c>
      <c r="X114">
        <f>HYPERLINK("https://klasma.github.io/Logging_0480/kartor/A 7270-2025 karta.png", "A 7270-2025")</f>
        <v/>
      </c>
      <c r="Y114">
        <f>HYPERLINK("https://klasma.github.io/Logging_0480/kartor_geotiff/A 7270-2025 georefererad karta.tif", "A 7270-2025")</f>
        <v/>
      </c>
      <c r="AA114">
        <f>HYPERLINK("https://klasma.github.io/Logging_0480/klagomål/A 7270-2025 FSC-klagomål.docx", "A 7270-2025")</f>
        <v/>
      </c>
      <c r="AB114">
        <f>HYPERLINK("https://klasma.github.io/Logging_0480/klagomålsmail/A 7270-2025 FSC-klagomål mail.docx", "A 7270-2025")</f>
        <v/>
      </c>
      <c r="AC114">
        <f>HYPERLINK("https://klasma.github.io/Logging_0480/tillsyn/A 7270-2025 tillsynsbegäran.docx", "A 7270-2025")</f>
        <v/>
      </c>
      <c r="AD114">
        <f>HYPERLINK("https://klasma.github.io/Logging_0480/tillsynsmail/A 7270-2025 tillsynsbegäran mail.docx", "A 7270-2025")</f>
        <v/>
      </c>
      <c r="AE114">
        <f>HYPERLINK("https://klasma.github.io/Logging_0480/fåglar/A 7270-2025 prioriterade fågelarter.docx", "A 7270-2025")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46237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46237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46237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46237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46237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46237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46237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46237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46237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46237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46237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46237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40025-2021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44418</v>
      </c>
      <c r="E127" s="1" t="n">
        <v>46237</v>
      </c>
      <c r="F127" t="inlineStr">
        <is>
          <t>SÖDERMANLANDS LÄN</t>
        </is>
      </c>
      <c r="G127" t="inlineStr">
        <is>
          <t>NYKÖPING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30865-2022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44767</v>
      </c>
      <c r="E128" s="1" t="n">
        <v>46237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46237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46237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46237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46237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46237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46237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46237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46237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46237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46237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46237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39538-2021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44416</v>
      </c>
      <c r="E140" s="1" t="n">
        <v>46237</v>
      </c>
      <c r="F140" t="inlineStr">
        <is>
          <t>SÖDERMANLANDS LÄN</t>
        </is>
      </c>
      <c r="G140" t="inlineStr">
        <is>
          <t>NYKÖPING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46237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46237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46237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46237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46237</v>
      </c>
      <c r="F145" t="inlineStr">
        <is>
          <t>SÖDERMANLANDS LÄN</t>
        </is>
      </c>
      <c r="G145" t="inlineStr">
        <is>
          <t>NYKÖPING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18824-2022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44690</v>
      </c>
      <c r="E146" s="1" t="n">
        <v>46237</v>
      </c>
      <c r="F146" t="inlineStr">
        <is>
          <t>SÖDERMANLANDS LÄN</t>
        </is>
      </c>
      <c r="G146" t="inlineStr">
        <is>
          <t>NYKÖPING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42920-2021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44430</v>
      </c>
      <c r="E147" s="1" t="n">
        <v>46237</v>
      </c>
      <c r="F147" t="inlineStr">
        <is>
          <t>SÖDERMANLANDS LÄN</t>
        </is>
      </c>
      <c r="G147" t="inlineStr">
        <is>
          <t>NYKÖPING</t>
        </is>
      </c>
      <c r="I147" t="n">
        <v>9.199999999999999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64157-2021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46237</v>
      </c>
      <c r="F148" t="inlineStr">
        <is>
          <t>SÖDERMANLANDS LÄN</t>
        </is>
      </c>
      <c r="G148" t="inlineStr">
        <is>
          <t>NYKÖPING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46237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46237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46237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69255-2021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46237</v>
      </c>
      <c r="F152" t="inlineStr">
        <is>
          <t>SÖDERMANLANDS LÄN</t>
        </is>
      </c>
      <c r="G152" t="inlineStr">
        <is>
          <t>NYKÖPING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46237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Kyrkan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46237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44812</v>
      </c>
      <c r="E155" s="1" t="n">
        <v>46237</v>
      </c>
      <c r="F155" t="inlineStr">
        <is>
          <t>SÖDERMANLANDS LÄN</t>
        </is>
      </c>
      <c r="G155" t="inlineStr">
        <is>
          <t>NYKÖPING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46237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44416</v>
      </c>
      <c r="E157" s="1" t="n">
        <v>46237</v>
      </c>
      <c r="F157" t="inlineStr">
        <is>
          <t>SÖDERMANLANDS LÄN</t>
        </is>
      </c>
      <c r="G157" t="inlineStr">
        <is>
          <t>NYKÖPING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44416</v>
      </c>
      <c r="E158" s="1" t="n">
        <v>46237</v>
      </c>
      <c r="F158" t="inlineStr">
        <is>
          <t>SÖDERMANLANDS LÄN</t>
        </is>
      </c>
      <c r="G158" t="inlineStr">
        <is>
          <t>NYKÖPING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55706-2021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46237</v>
      </c>
      <c r="F159" t="inlineStr">
        <is>
          <t>SÖDERMANLANDS LÄN</t>
        </is>
      </c>
      <c r="G159" t="inlineStr">
        <is>
          <t>NYKÖPING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44530</v>
      </c>
      <c r="E160" s="1" t="n">
        <v>46237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41723-2021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44425</v>
      </c>
      <c r="E161" s="1" t="n">
        <v>46237</v>
      </c>
      <c r="F161" t="inlineStr">
        <is>
          <t>SÖDERMANLANDS LÄN</t>
        </is>
      </c>
      <c r="G161" t="inlineStr">
        <is>
          <t>NYKÖPING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46237</v>
      </c>
      <c r="F162" t="inlineStr">
        <is>
          <t>SÖDERMANLANDS LÄN</t>
        </is>
      </c>
      <c r="G162" t="inlineStr">
        <is>
          <t>NYKÖPING</t>
        </is>
      </c>
      <c r="H162" t="inlineStr">
        <is>
          <t>Holmen skog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46237</v>
      </c>
      <c r="F163" t="inlineStr">
        <is>
          <t>SÖDERMANLANDS LÄN</t>
        </is>
      </c>
      <c r="G163" t="inlineStr">
        <is>
          <t>NYKÖPING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46237</v>
      </c>
      <c r="F164" t="inlineStr">
        <is>
          <t>SÖDERMANLANDS LÄN</t>
        </is>
      </c>
      <c r="G164" t="inlineStr">
        <is>
          <t>NYKÖPING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46237</v>
      </c>
      <c r="F165" t="inlineStr">
        <is>
          <t>SÖDERMANLANDS LÄN</t>
        </is>
      </c>
      <c r="G165" t="inlineStr">
        <is>
          <t>NYKÖPING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39542-2021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44416</v>
      </c>
      <c r="E166" s="1" t="n">
        <v>46237</v>
      </c>
      <c r="F166" t="inlineStr">
        <is>
          <t>SÖDERMANLANDS LÄN</t>
        </is>
      </c>
      <c r="G166" t="inlineStr">
        <is>
          <t>NYKÖPING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42417-2021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44427</v>
      </c>
      <c r="E167" s="1" t="n">
        <v>46237</v>
      </c>
      <c r="F167" t="inlineStr">
        <is>
          <t>SÖDERMANLANDS LÄN</t>
        </is>
      </c>
      <c r="G167" t="inlineStr">
        <is>
          <t>NYKÖPING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46237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30859-2022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44767</v>
      </c>
      <c r="E169" s="1" t="n">
        <v>46237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Holmen skog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46838-2021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44446</v>
      </c>
      <c r="E170" s="1" t="n">
        <v>46237</v>
      </c>
      <c r="F170" t="inlineStr">
        <is>
          <t>SÖDERMANLANDS LÄN</t>
        </is>
      </c>
      <c r="G170" t="inlineStr">
        <is>
          <t>NYKÖPING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15466-2022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44662</v>
      </c>
      <c r="E171" s="1" t="n">
        <v>46237</v>
      </c>
      <c r="F171" t="inlineStr">
        <is>
          <t>SÖDERMANLANDS LÄN</t>
        </is>
      </c>
      <c r="G171" t="inlineStr">
        <is>
          <t>NYKÖPING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54234-2021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46237</v>
      </c>
      <c r="F172" t="inlineStr">
        <is>
          <t>SÖDERMANLANDS LÄN</t>
        </is>
      </c>
      <c r="G172" t="inlineStr">
        <is>
          <t>NYKÖPING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46237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46237</v>
      </c>
      <c r="F174" t="inlineStr">
        <is>
          <t>SÖDERMANLANDS LÄN</t>
        </is>
      </c>
      <c r="G174" t="inlineStr">
        <is>
          <t>NYKÖPING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44747</v>
      </c>
      <c r="E175" s="1" t="n">
        <v>46237</v>
      </c>
      <c r="F175" t="inlineStr">
        <is>
          <t>SÖDERMANLANDS LÄN</t>
        </is>
      </c>
      <c r="G175" t="inlineStr">
        <is>
          <t>NYKÖPING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46237</v>
      </c>
      <c r="F176" t="inlineStr">
        <is>
          <t>SÖDERMANLANDS LÄN</t>
        </is>
      </c>
      <c r="G176" t="inlineStr">
        <is>
          <t>NYKÖPING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44783</v>
      </c>
      <c r="E177" s="1" t="n">
        <v>46237</v>
      </c>
      <c r="F177" t="inlineStr">
        <is>
          <t>SÖDERMANLANDS LÄN</t>
        </is>
      </c>
      <c r="G177" t="inlineStr">
        <is>
          <t>NYKÖPING</t>
        </is>
      </c>
      <c r="H177" t="inlineStr">
        <is>
          <t>Holmen skog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44733</v>
      </c>
      <c r="E178" s="1" t="n">
        <v>46237</v>
      </c>
      <c r="F178" t="inlineStr">
        <is>
          <t>SÖDERMANLANDS LÄN</t>
        </is>
      </c>
      <c r="G178" t="inlineStr">
        <is>
          <t>NYKÖPING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46237</v>
      </c>
      <c r="F179" t="inlineStr">
        <is>
          <t>SÖDERMANLANDS LÄN</t>
        </is>
      </c>
      <c r="G179" t="inlineStr">
        <is>
          <t>NYKÖPING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46237</v>
      </c>
      <c r="F180" t="inlineStr">
        <is>
          <t>SÖDERMANLANDS LÄN</t>
        </is>
      </c>
      <c r="G180" t="inlineStr">
        <is>
          <t>NYKÖPING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44420</v>
      </c>
      <c r="E181" s="1" t="n">
        <v>46237</v>
      </c>
      <c r="F181" t="inlineStr">
        <is>
          <t>SÖDERMANLANDS LÄN</t>
        </is>
      </c>
      <c r="G181" t="inlineStr">
        <is>
          <t>NYKÖPING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44733</v>
      </c>
      <c r="E182" s="1" t="n">
        <v>46237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8523-2022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44613</v>
      </c>
      <c r="E183" s="1" t="n">
        <v>46237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44614</v>
      </c>
      <c r="E184" s="1" t="n">
        <v>46237</v>
      </c>
      <c r="F184" t="inlineStr">
        <is>
          <t>SÖDERMANLANDS LÄN</t>
        </is>
      </c>
      <c r="G184" t="inlineStr">
        <is>
          <t>NYKÖPING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44881</v>
      </c>
      <c r="E185" s="1" t="n">
        <v>46237</v>
      </c>
      <c r="F185" t="inlineStr">
        <is>
          <t>SÖDERMANLANDS LÄN</t>
        </is>
      </c>
      <c r="G185" t="inlineStr">
        <is>
          <t>NYKÖPING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44440</v>
      </c>
      <c r="E186" s="1" t="n">
        <v>46237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38372-2022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46237</v>
      </c>
      <c r="F187" t="inlineStr">
        <is>
          <t>SÖDERMANLANDS LÄN</t>
        </is>
      </c>
      <c r="G187" t="inlineStr">
        <is>
          <t>NYKÖPING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46237</v>
      </c>
      <c r="F188" t="inlineStr">
        <is>
          <t>SÖDERMANLANDS LÄN</t>
        </is>
      </c>
      <c r="G188" t="inlineStr">
        <is>
          <t>NYKÖPING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70791-2021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46237</v>
      </c>
      <c r="F189" t="inlineStr">
        <is>
          <t>SÖDERMANLANDS LÄN</t>
        </is>
      </c>
      <c r="G189" t="inlineStr">
        <is>
          <t>NYKÖPING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44813</v>
      </c>
      <c r="E190" s="1" t="n">
        <v>46237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17541-2022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44679</v>
      </c>
      <c r="E191" s="1" t="n">
        <v>46237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46237</v>
      </c>
      <c r="F192" t="inlineStr">
        <is>
          <t>SÖDERMANLANDS LÄN</t>
        </is>
      </c>
      <c r="G192" t="inlineStr">
        <is>
          <t>NYKÖPING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20775-2022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44701</v>
      </c>
      <c r="E193" s="1" t="n">
        <v>46237</v>
      </c>
      <c r="F193" t="inlineStr">
        <is>
          <t>SÖDERMANLANDS LÄN</t>
        </is>
      </c>
      <c r="G193" t="inlineStr">
        <is>
          <t>NYKÖPING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46237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46237</v>
      </c>
      <c r="F195" t="inlineStr">
        <is>
          <t>SÖDERMANLANDS LÄN</t>
        </is>
      </c>
      <c r="G195" t="inlineStr">
        <is>
          <t>NYKÖPING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44722</v>
      </c>
      <c r="E196" s="1" t="n">
        <v>46237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71175-2021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44539</v>
      </c>
      <c r="E197" s="1" t="n">
        <v>46237</v>
      </c>
      <c r="F197" t="inlineStr">
        <is>
          <t>SÖDERMANLANDS LÄN</t>
        </is>
      </c>
      <c r="G197" t="inlineStr">
        <is>
          <t>NYKÖPING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44652</v>
      </c>
      <c r="E198" s="1" t="n">
        <v>46237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44790</v>
      </c>
      <c r="E199" s="1" t="n">
        <v>46237</v>
      </c>
      <c r="F199" t="inlineStr">
        <is>
          <t>SÖDERMANLANDS LÄN</t>
        </is>
      </c>
      <c r="G199" t="inlineStr">
        <is>
          <t>NYKÖPING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44658</v>
      </c>
      <c r="E200" s="1" t="n">
        <v>46237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Allmännings- och besparingsskogar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53738-2022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46237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66860-2021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44522</v>
      </c>
      <c r="E202" s="1" t="n">
        <v>46237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46237</v>
      </c>
      <c r="F203" t="inlineStr">
        <is>
          <t>SÖDERMANLANDS LÄN</t>
        </is>
      </c>
      <c r="G203" t="inlineStr">
        <is>
          <t>NYKÖPING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44719</v>
      </c>
      <c r="E204" s="1" t="n">
        <v>46237</v>
      </c>
      <c r="F204" t="inlineStr">
        <is>
          <t>SÖDERMANLANDS LÄN</t>
        </is>
      </c>
      <c r="G204" t="inlineStr">
        <is>
          <t>NYKÖPING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46237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44748</v>
      </c>
      <c r="E206" s="1" t="n">
        <v>46237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41646-2021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46237</v>
      </c>
      <c r="F207" t="inlineStr">
        <is>
          <t>SÖDERMANLANDS LÄN</t>
        </is>
      </c>
      <c r="G207" t="inlineStr">
        <is>
          <t>NYKÖPING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44813</v>
      </c>
      <c r="E208" s="1" t="n">
        <v>46237</v>
      </c>
      <c r="F208" t="inlineStr">
        <is>
          <t>SÖDERMANLANDS LÄN</t>
        </is>
      </c>
      <c r="G208" t="inlineStr">
        <is>
          <t>NYKÖPING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44650</v>
      </c>
      <c r="E209" s="1" t="n">
        <v>46237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46237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44837</v>
      </c>
      <c r="E211" s="1" t="n">
        <v>46237</v>
      </c>
      <c r="F211" t="inlineStr">
        <is>
          <t>SÖDERMANLANDS LÄN</t>
        </is>
      </c>
      <c r="G211" t="inlineStr">
        <is>
          <t>NYKÖPING</t>
        </is>
      </c>
      <c r="I211" t="n">
        <v>7.8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41437-2021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44424</v>
      </c>
      <c r="E212" s="1" t="n">
        <v>46237</v>
      </c>
      <c r="F212" t="inlineStr">
        <is>
          <t>SÖDERMANLANDS LÄN</t>
        </is>
      </c>
      <c r="G212" t="inlineStr">
        <is>
          <t>NYKÖPING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46237</v>
      </c>
      <c r="F213" t="inlineStr">
        <is>
          <t>SÖDERMANLANDS LÄN</t>
        </is>
      </c>
      <c r="G213" t="inlineStr">
        <is>
          <t>NYKÖPING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44525</v>
      </c>
      <c r="E214" s="1" t="n">
        <v>46237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Sveaskog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46237</v>
      </c>
      <c r="F215" t="inlineStr">
        <is>
          <t>SÖDERMANLANDS LÄN</t>
        </is>
      </c>
      <c r="G215" t="inlineStr">
        <is>
          <t>NYKÖPING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52535-2021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44466</v>
      </c>
      <c r="E216" s="1" t="n">
        <v>46237</v>
      </c>
      <c r="F216" t="inlineStr">
        <is>
          <t>SÖDERMANLANDS LÄN</t>
        </is>
      </c>
      <c r="G216" t="inlineStr">
        <is>
          <t>NYKÖPING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46237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Aktiebolag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44949</v>
      </c>
      <c r="E218" s="1" t="n">
        <v>46237</v>
      </c>
      <c r="F218" t="inlineStr">
        <is>
          <t>SÖDERMANLANDS LÄN</t>
        </is>
      </c>
      <c r="G218" t="inlineStr">
        <is>
          <t>NYKÖPING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21815-2022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44709</v>
      </c>
      <c r="E219" s="1" t="n">
        <v>46237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46237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69252-2021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44530</v>
      </c>
      <c r="E221" s="1" t="n">
        <v>46237</v>
      </c>
      <c r="F221" t="inlineStr">
        <is>
          <t>SÖDERMANLANDS LÄN</t>
        </is>
      </c>
      <c r="G221" t="inlineStr">
        <is>
          <t>NYKÖPING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46237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Övriga Aktiebolag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44419</v>
      </c>
      <c r="E223" s="1" t="n">
        <v>46237</v>
      </c>
      <c r="F223" t="inlineStr">
        <is>
          <t>SÖDERMANLANDS LÄN</t>
        </is>
      </c>
      <c r="G223" t="inlineStr">
        <is>
          <t>NYKÖPING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44425</v>
      </c>
      <c r="E224" s="1" t="n">
        <v>46237</v>
      </c>
      <c r="F224" t="inlineStr">
        <is>
          <t>SÖDERMANLANDS LÄN</t>
        </is>
      </c>
      <c r="G224" t="inlineStr">
        <is>
          <t>NYKÖPING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33271-2024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45518</v>
      </c>
      <c r="E225" s="1" t="n">
        <v>46237</v>
      </c>
      <c r="F225" t="inlineStr">
        <is>
          <t>SÖDERMANLANDS LÄN</t>
        </is>
      </c>
      <c r="G225" t="inlineStr">
        <is>
          <t>NYKÖPING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46237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Kyrkan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71107-2021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44537</v>
      </c>
      <c r="E227" s="1" t="n">
        <v>46237</v>
      </c>
      <c r="F227" t="inlineStr">
        <is>
          <t>SÖDERMANLANDS LÄN</t>
        </is>
      </c>
      <c r="G227" t="inlineStr">
        <is>
          <t>NYKÖPING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44477</v>
      </c>
      <c r="E228" s="1" t="n">
        <v>46237</v>
      </c>
      <c r="F228" t="inlineStr">
        <is>
          <t>SÖDERMANLANDS LÄN</t>
        </is>
      </c>
      <c r="G228" t="inlineStr">
        <is>
          <t>NYKÖPING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39306-2021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44413</v>
      </c>
      <c r="E229" s="1" t="n">
        <v>46237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46237</v>
      </c>
      <c r="F230" t="inlineStr">
        <is>
          <t>SÖDERMANLANDS LÄN</t>
        </is>
      </c>
      <c r="G230" t="inlineStr">
        <is>
          <t>NYKÖPING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44729</v>
      </c>
      <c r="E231" s="1" t="n">
        <v>46237</v>
      </c>
      <c r="F231" t="inlineStr">
        <is>
          <t>SÖDERMANLANDS LÄN</t>
        </is>
      </c>
      <c r="G231" t="inlineStr">
        <is>
          <t>NYKÖPING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48819-2021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46237</v>
      </c>
      <c r="F232" t="inlineStr">
        <is>
          <t>SÖDERMANLANDS LÄN</t>
        </is>
      </c>
      <c r="G232" t="inlineStr">
        <is>
          <t>NYKÖPING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22393-2022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44713</v>
      </c>
      <c r="E233" s="1" t="n">
        <v>46237</v>
      </c>
      <c r="F233" t="inlineStr">
        <is>
          <t>SÖDERMANLANDS LÄN</t>
        </is>
      </c>
      <c r="G233" t="inlineStr">
        <is>
          <t>NYKÖPING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46828-2021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44446</v>
      </c>
      <c r="E234" s="1" t="n">
        <v>46237</v>
      </c>
      <c r="F234" t="inlineStr">
        <is>
          <t>SÖDERMANLANDS LÄN</t>
        </is>
      </c>
      <c r="G234" t="inlineStr">
        <is>
          <t>NYKÖPING</t>
        </is>
      </c>
      <c r="I234" t="n">
        <v>30.2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46237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55272-2021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44475</v>
      </c>
      <c r="E236" s="1" t="n">
        <v>46237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61618-2022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46237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71103-2021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44537</v>
      </c>
      <c r="E238" s="1" t="n">
        <v>46237</v>
      </c>
      <c r="F238" t="inlineStr">
        <is>
          <t>SÖDERMANLANDS LÄN</t>
        </is>
      </c>
      <c r="G238" t="inlineStr">
        <is>
          <t>NYKÖPING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45574-2021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44440</v>
      </c>
      <c r="E239" s="1" t="n">
        <v>46237</v>
      </c>
      <c r="F239" t="inlineStr">
        <is>
          <t>SÖDERMANLANDS LÄN</t>
        </is>
      </c>
      <c r="G239" t="inlineStr">
        <is>
          <t>NYKÖPING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46237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10873-2022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44627</v>
      </c>
      <c r="E241" s="1" t="n">
        <v>46237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46237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46237</v>
      </c>
      <c r="F243" t="inlineStr">
        <is>
          <t>SÖDERMANLANDS LÄN</t>
        </is>
      </c>
      <c r="G243" t="inlineStr">
        <is>
          <t>NYKÖPING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68401-2021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46237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Övriga Aktiebolag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63006-2021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44505</v>
      </c>
      <c r="E245" s="1" t="n">
        <v>46237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59733-2021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44494</v>
      </c>
      <c r="E246" s="1" t="n">
        <v>46237</v>
      </c>
      <c r="F246" t="inlineStr">
        <is>
          <t>SÖDERMANLANDS LÄN</t>
        </is>
      </c>
      <c r="G246" t="inlineStr">
        <is>
          <t>NYKÖPING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46237</v>
      </c>
      <c r="F247" t="inlineStr">
        <is>
          <t>SÖDERMANLANDS LÄN</t>
        </is>
      </c>
      <c r="G247" t="inlineStr">
        <is>
          <t>NYKÖPING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46237</v>
      </c>
      <c r="F248" t="inlineStr">
        <is>
          <t>SÖDERMANLANDS LÄN</t>
        </is>
      </c>
      <c r="G248" t="inlineStr">
        <is>
          <t>NYKÖPING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44812</v>
      </c>
      <c r="E249" s="1" t="n">
        <v>46237</v>
      </c>
      <c r="F249" t="inlineStr">
        <is>
          <t>SÖDERMANLANDS LÄN</t>
        </is>
      </c>
      <c r="G249" t="inlineStr">
        <is>
          <t>NYKÖPING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46237</v>
      </c>
      <c r="F250" t="inlineStr">
        <is>
          <t>SÖDERMANLANDS LÄN</t>
        </is>
      </c>
      <c r="G250" t="inlineStr">
        <is>
          <t>NYKÖPING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68401-2021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44529</v>
      </c>
      <c r="E251" s="1" t="n">
        <v>46237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70749-2021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46237</v>
      </c>
      <c r="F252" t="inlineStr">
        <is>
          <t>SÖDERMANLANDS LÄN</t>
        </is>
      </c>
      <c r="G252" t="inlineStr">
        <is>
          <t>NYKÖPING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46237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46237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32836-2022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44784</v>
      </c>
      <c r="E255" s="1" t="n">
        <v>46237</v>
      </c>
      <c r="F255" t="inlineStr">
        <is>
          <t>SÖDERMANLANDS LÄN</t>
        </is>
      </c>
      <c r="G255" t="inlineStr">
        <is>
          <t>NYKÖPING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44938</v>
      </c>
      <c r="E256" s="1" t="n">
        <v>46237</v>
      </c>
      <c r="F256" t="inlineStr">
        <is>
          <t>SÖDERMANLANDS LÄN</t>
        </is>
      </c>
      <c r="G256" t="inlineStr">
        <is>
          <t>NYKÖPING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44783</v>
      </c>
      <c r="E257" s="1" t="n">
        <v>46237</v>
      </c>
      <c r="F257" t="inlineStr">
        <is>
          <t>SÖDERMANLANDS LÄN</t>
        </is>
      </c>
      <c r="G257" t="inlineStr">
        <is>
          <t>NYKÖPING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11638-2024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45373</v>
      </c>
      <c r="E258" s="1" t="n">
        <v>46237</v>
      </c>
      <c r="F258" t="inlineStr">
        <is>
          <t>SÖDERMANLANDS LÄN</t>
        </is>
      </c>
      <c r="G258" t="inlineStr">
        <is>
          <t>NYKÖPING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23114-2023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45075</v>
      </c>
      <c r="E259" s="1" t="n">
        <v>46237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72985-2021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44549</v>
      </c>
      <c r="E260" s="1" t="n">
        <v>46237</v>
      </c>
      <c r="F260" t="inlineStr">
        <is>
          <t>SÖDERMANLANDS LÄN</t>
        </is>
      </c>
      <c r="G260" t="inlineStr">
        <is>
          <t>NYKÖPING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8407-2023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46237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Övriga Aktiebolag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51530-2022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44869</v>
      </c>
      <c r="E262" s="1" t="n">
        <v>46237</v>
      </c>
      <c r="F262" t="inlineStr">
        <is>
          <t>SÖDERMANLANDS LÄN</t>
        </is>
      </c>
      <c r="G262" t="inlineStr">
        <is>
          <t>NYKÖPING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44992</v>
      </c>
      <c r="E263" s="1" t="n">
        <v>46237</v>
      </c>
      <c r="F263" t="inlineStr">
        <is>
          <t>SÖDERMANLANDS LÄN</t>
        </is>
      </c>
      <c r="G263" t="inlineStr">
        <is>
          <t>NYKÖPING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46237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46237</v>
      </c>
      <c r="F265" t="inlineStr">
        <is>
          <t>SÖDERMANLANDS LÄN</t>
        </is>
      </c>
      <c r="G265" t="inlineStr">
        <is>
          <t>NYKÖPING</t>
        </is>
      </c>
      <c r="I265" t="n">
        <v>10.9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45343</v>
      </c>
      <c r="E266" s="1" t="n">
        <v>46237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46237</v>
      </c>
      <c r="F267" t="inlineStr">
        <is>
          <t>SÖDERMANLANDS LÄN</t>
        </is>
      </c>
      <c r="G267" t="inlineStr">
        <is>
          <t>NYKÖPING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46237</v>
      </c>
      <c r="F268" t="inlineStr">
        <is>
          <t>SÖDERMANLANDS LÄN</t>
        </is>
      </c>
      <c r="G268" t="inlineStr">
        <is>
          <t>NYKÖPING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61007-2021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44497</v>
      </c>
      <c r="E269" s="1" t="n">
        <v>46237</v>
      </c>
      <c r="F269" t="inlineStr">
        <is>
          <t>SÖDERMANLANDS LÄN</t>
        </is>
      </c>
      <c r="G269" t="inlineStr">
        <is>
          <t>NYKÖPING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46237</v>
      </c>
      <c r="F270" t="inlineStr">
        <is>
          <t>SÖDERMANLANDS LÄN</t>
        </is>
      </c>
      <c r="G270" t="inlineStr">
        <is>
          <t>NYKÖPING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46237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44957</v>
      </c>
      <c r="E272" s="1" t="n">
        <v>46237</v>
      </c>
      <c r="F272" t="inlineStr">
        <is>
          <t>SÖDERMANLANDS LÄN</t>
        </is>
      </c>
      <c r="G272" t="inlineStr">
        <is>
          <t>NYKÖPING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68041-2021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46237</v>
      </c>
      <c r="F273" t="inlineStr">
        <is>
          <t>SÖDERMANLANDS LÄN</t>
        </is>
      </c>
      <c r="G273" t="inlineStr">
        <is>
          <t>NYKÖPING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46237</v>
      </c>
      <c r="F274" t="inlineStr">
        <is>
          <t>SÖDERMANLANDS LÄN</t>
        </is>
      </c>
      <c r="G274" t="inlineStr">
        <is>
          <t>NYKÖPING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45537</v>
      </c>
      <c r="E275" s="1" t="n">
        <v>46237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Kommuner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45352</v>
      </c>
      <c r="E276" s="1" t="n">
        <v>46237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45352</v>
      </c>
      <c r="E277" s="1" t="n">
        <v>46237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Kommuner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56268-2022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46237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Övriga Aktiebolag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11068-2024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45370</v>
      </c>
      <c r="E279" s="1" t="n">
        <v>46237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Kommuner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54024-2022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44881</v>
      </c>
      <c r="E280" s="1" t="n">
        <v>46237</v>
      </c>
      <c r="F280" t="inlineStr">
        <is>
          <t>SÖDERMANLANDS LÄN</t>
        </is>
      </c>
      <c r="G280" t="inlineStr">
        <is>
          <t>NYKÖPING</t>
        </is>
      </c>
      <c r="I280" t="n">
        <v>16.2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46237</v>
      </c>
      <c r="F281" t="inlineStr">
        <is>
          <t>SÖDERMANLANDS LÄN</t>
        </is>
      </c>
      <c r="G281" t="inlineStr">
        <is>
          <t>NYKÖPING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44858</v>
      </c>
      <c r="E282" s="1" t="n">
        <v>46237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statliga verk och myndigheter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46575-2021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44445</v>
      </c>
      <c r="E283" s="1" t="n">
        <v>46237</v>
      </c>
      <c r="F283" t="inlineStr">
        <is>
          <t>SÖDERMANLANDS LÄN</t>
        </is>
      </c>
      <c r="G283" t="inlineStr">
        <is>
          <t>NYKÖPING</t>
        </is>
      </c>
      <c r="I283" t="n">
        <v>19.1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45856-2021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44433</v>
      </c>
      <c r="E284" s="1" t="n">
        <v>46237</v>
      </c>
      <c r="F284" t="inlineStr">
        <is>
          <t>SÖDERMANLANDS LÄN</t>
        </is>
      </c>
      <c r="G284" t="inlineStr">
        <is>
          <t>NYKÖPING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46237</v>
      </c>
      <c r="F285" t="inlineStr">
        <is>
          <t>SÖDERMANLANDS LÄN</t>
        </is>
      </c>
      <c r="G285" t="inlineStr">
        <is>
          <t>NYKÖPING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46237</v>
      </c>
      <c r="F286" t="inlineStr">
        <is>
          <t>SÖDERMANLANDS LÄN</t>
        </is>
      </c>
      <c r="G286" t="inlineStr">
        <is>
          <t>NYKÖPING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46237</v>
      </c>
      <c r="F287" t="inlineStr">
        <is>
          <t>SÖDERMANLANDS LÄN</t>
        </is>
      </c>
      <c r="G287" t="inlineStr">
        <is>
          <t>NYKÖPING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45604</v>
      </c>
      <c r="E288" s="1" t="n">
        <v>46237</v>
      </c>
      <c r="F288" t="inlineStr">
        <is>
          <t>SÖDERMANLANDS LÄN</t>
        </is>
      </c>
      <c r="G288" t="inlineStr">
        <is>
          <t>NYKÖPING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41137-2022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46237</v>
      </c>
      <c r="F289" t="inlineStr">
        <is>
          <t>SÖDERMANLANDS LÄN</t>
        </is>
      </c>
      <c r="G289" t="inlineStr">
        <is>
          <t>NYKÖPING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46237</v>
      </c>
      <c r="F290" t="inlineStr">
        <is>
          <t>SÖDERMANLANDS LÄN</t>
        </is>
      </c>
      <c r="G290" t="inlineStr">
        <is>
          <t>NYKÖPING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45441</v>
      </c>
      <c r="E291" s="1" t="n">
        <v>46237</v>
      </c>
      <c r="F291" t="inlineStr">
        <is>
          <t>SÖDERMANLANDS LÄN</t>
        </is>
      </c>
      <c r="G291" t="inlineStr">
        <is>
          <t>NYKÖPING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45044</v>
      </c>
      <c r="E292" s="1" t="n">
        <v>46237</v>
      </c>
      <c r="F292" t="inlineStr">
        <is>
          <t>SÖDERMANLANDS LÄN</t>
        </is>
      </c>
      <c r="G292" t="inlineStr">
        <is>
          <t>NYKÖPING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46237</v>
      </c>
      <c r="F293" t="inlineStr">
        <is>
          <t>SÖDERMANLANDS LÄN</t>
        </is>
      </c>
      <c r="G293" t="inlineStr">
        <is>
          <t>NYKÖPING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68024-2021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44525</v>
      </c>
      <c r="E294" s="1" t="n">
        <v>46237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68030-2021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44525</v>
      </c>
      <c r="E295" s="1" t="n">
        <v>46237</v>
      </c>
      <c r="F295" t="inlineStr">
        <is>
          <t>SÖDERMANLANDS LÄN</t>
        </is>
      </c>
      <c r="G295" t="inlineStr">
        <is>
          <t>NYKÖPING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45056</v>
      </c>
      <c r="E296" s="1" t="n">
        <v>46237</v>
      </c>
      <c r="F296" t="inlineStr">
        <is>
          <t>SÖDERMANLANDS LÄN</t>
        </is>
      </c>
      <c r="G296" t="inlineStr">
        <is>
          <t>NYKÖPING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14930-2024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45398</v>
      </c>
      <c r="E297" s="1" t="n">
        <v>46237</v>
      </c>
      <c r="F297" t="inlineStr">
        <is>
          <t>SÖDERMANLANDS LÄN</t>
        </is>
      </c>
      <c r="G297" t="inlineStr">
        <is>
          <t>NYKÖPING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44846</v>
      </c>
      <c r="E298" s="1" t="n">
        <v>46237</v>
      </c>
      <c r="F298" t="inlineStr">
        <is>
          <t>SÖDERMANLANDS LÄN</t>
        </is>
      </c>
      <c r="G298" t="inlineStr">
        <is>
          <t>NYKÖPING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45288</v>
      </c>
      <c r="E299" s="1" t="n">
        <v>46237</v>
      </c>
      <c r="F299" t="inlineStr">
        <is>
          <t>SÖDERMANLANDS LÄN</t>
        </is>
      </c>
      <c r="G299" t="inlineStr">
        <is>
          <t>NYKÖPING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45856-2021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44433</v>
      </c>
      <c r="E300" s="1" t="n">
        <v>46237</v>
      </c>
      <c r="F300" t="inlineStr">
        <is>
          <t>SÖDERMANLANDS LÄN</t>
        </is>
      </c>
      <c r="G300" t="inlineStr">
        <is>
          <t>NYKÖPING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39368-2021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44414</v>
      </c>
      <c r="E301" s="1" t="n">
        <v>46237</v>
      </c>
      <c r="F301" t="inlineStr">
        <is>
          <t>SÖDERMANLANDS LÄN</t>
        </is>
      </c>
      <c r="G301" t="inlineStr">
        <is>
          <t>NYKÖPING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45224</v>
      </c>
      <c r="E302" s="1" t="n">
        <v>46237</v>
      </c>
      <c r="F302" t="inlineStr">
        <is>
          <t>SÖDERMANLANDS LÄN</t>
        </is>
      </c>
      <c r="G302" t="inlineStr">
        <is>
          <t>NYKÖPING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52374-2023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45224</v>
      </c>
      <c r="E303" s="1" t="n">
        <v>46237</v>
      </c>
      <c r="F303" t="inlineStr">
        <is>
          <t>SÖDERMANLANDS LÄN</t>
        </is>
      </c>
      <c r="G303" t="inlineStr">
        <is>
          <t>NYKÖPING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18510-2024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45424</v>
      </c>
      <c r="E304" s="1" t="n">
        <v>46237</v>
      </c>
      <c r="F304" t="inlineStr">
        <is>
          <t>SÖDERMANLANDS LÄN</t>
        </is>
      </c>
      <c r="G304" t="inlineStr">
        <is>
          <t>NYKÖPING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46237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51558-2024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45604</v>
      </c>
      <c r="E306" s="1" t="n">
        <v>46237</v>
      </c>
      <c r="F306" t="inlineStr">
        <is>
          <t>SÖDERMANLANDS LÄN</t>
        </is>
      </c>
      <c r="G306" t="inlineStr">
        <is>
          <t>NYKÖPING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42971-2021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44430</v>
      </c>
      <c r="E307" s="1" t="n">
        <v>46237</v>
      </c>
      <c r="F307" t="inlineStr">
        <is>
          <t>SÖDERMANLANDS LÄN</t>
        </is>
      </c>
      <c r="G307" t="inlineStr">
        <is>
          <t>NYKÖPING</t>
        </is>
      </c>
      <c r="I307" t="n">
        <v>9.4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39120-2022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44817</v>
      </c>
      <c r="E308" s="1" t="n">
        <v>46237</v>
      </c>
      <c r="F308" t="inlineStr">
        <is>
          <t>SÖDERMANLANDS LÄN</t>
        </is>
      </c>
      <c r="G308" t="inlineStr">
        <is>
          <t>NYKÖPING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44959</v>
      </c>
      <c r="E309" s="1" t="n">
        <v>46237</v>
      </c>
      <c r="F309" t="inlineStr">
        <is>
          <t>SÖDERMANLANDS LÄN</t>
        </is>
      </c>
      <c r="G309" t="inlineStr">
        <is>
          <t>NYKÖPING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13296-2023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45005</v>
      </c>
      <c r="E310" s="1" t="n">
        <v>46237</v>
      </c>
      <c r="F310" t="inlineStr">
        <is>
          <t>SÖDERMANLANDS LÄN</t>
        </is>
      </c>
      <c r="G310" t="inlineStr">
        <is>
          <t>NYKÖPING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46237</v>
      </c>
      <c r="F311" t="inlineStr">
        <is>
          <t>SÖDERMANLANDS LÄN</t>
        </is>
      </c>
      <c r="G311" t="inlineStr">
        <is>
          <t>NYKÖPING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65923-2021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44517</v>
      </c>
      <c r="E312" s="1" t="n">
        <v>46237</v>
      </c>
      <c r="F312" t="inlineStr">
        <is>
          <t>SÖDERMANLANDS LÄN</t>
        </is>
      </c>
      <c r="G312" t="inlineStr">
        <is>
          <t>NYKÖPING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10283-2024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46237</v>
      </c>
      <c r="F313" t="inlineStr">
        <is>
          <t>SÖDERMANLANDS LÄN</t>
        </is>
      </c>
      <c r="G313" t="inlineStr">
        <is>
          <t>NYKÖPING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44938</v>
      </c>
      <c r="E314" s="1" t="n">
        <v>46237</v>
      </c>
      <c r="F314" t="inlineStr">
        <is>
          <t>SÖDERMANLANDS LÄN</t>
        </is>
      </c>
      <c r="G314" t="inlineStr">
        <is>
          <t>NYKÖPING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44837</v>
      </c>
      <c r="E315" s="1" t="n">
        <v>46237</v>
      </c>
      <c r="F315" t="inlineStr">
        <is>
          <t>SÖDERMANLANDS LÄN</t>
        </is>
      </c>
      <c r="G315" t="inlineStr">
        <is>
          <t>NYKÖPING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44859</v>
      </c>
      <c r="E316" s="1" t="n">
        <v>46237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45258</v>
      </c>
      <c r="E317" s="1" t="n">
        <v>46237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46237</v>
      </c>
      <c r="F318" t="inlineStr">
        <is>
          <t>SÖDERMANLANDS LÄN</t>
        </is>
      </c>
      <c r="G318" t="inlineStr">
        <is>
          <t>NYKÖPING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9842-2022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44620</v>
      </c>
      <c r="E319" s="1" t="n">
        <v>46237</v>
      </c>
      <c r="F319" t="inlineStr">
        <is>
          <t>SÖDERMANLANDS LÄN</t>
        </is>
      </c>
      <c r="G319" t="inlineStr">
        <is>
          <t>NYKÖPING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9386-2024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46237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10955-2024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45370</v>
      </c>
      <c r="E321" s="1" t="n">
        <v>46237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Kommuner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38155-2022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46237</v>
      </c>
      <c r="F322" t="inlineStr">
        <is>
          <t>SÖDERMANLANDS LÄN</t>
        </is>
      </c>
      <c r="G322" t="inlineStr">
        <is>
          <t>NYKÖPING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46237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45854</v>
      </c>
      <c r="E324" s="1" t="n">
        <v>46237</v>
      </c>
      <c r="F324" t="inlineStr">
        <is>
          <t>SÖDERMANLANDS LÄN</t>
        </is>
      </c>
      <c r="G324" t="inlineStr">
        <is>
          <t>NYKÖPING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46237</v>
      </c>
      <c r="F325" t="inlineStr">
        <is>
          <t>SÖDERMANLANDS LÄN</t>
        </is>
      </c>
      <c r="G325" t="inlineStr">
        <is>
          <t>NYKÖPING</t>
        </is>
      </c>
      <c r="I325" t="n">
        <v>15.2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46237</v>
      </c>
      <c r="F326" t="inlineStr">
        <is>
          <t>SÖDERMANLANDS LÄN</t>
        </is>
      </c>
      <c r="G326" t="inlineStr">
        <is>
          <t>NYKÖPING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61008-2023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46237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18551-2024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45425</v>
      </c>
      <c r="E328" s="1" t="n">
        <v>46237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Kommuner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71115-2021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44537</v>
      </c>
      <c r="E329" s="1" t="n">
        <v>46237</v>
      </c>
      <c r="F329" t="inlineStr">
        <is>
          <t>SÖDERMANLANDS LÄN</t>
        </is>
      </c>
      <c r="G329" t="inlineStr">
        <is>
          <t>NYKÖPING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42858-2021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44430</v>
      </c>
      <c r="E330" s="1" t="n">
        <v>46237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46237</v>
      </c>
      <c r="F331" t="inlineStr">
        <is>
          <t>SÖDERMANLANDS LÄN</t>
        </is>
      </c>
      <c r="G331" t="inlineStr">
        <is>
          <t>NYKÖPING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60634-2022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46237</v>
      </c>
      <c r="F332" t="inlineStr">
        <is>
          <t>SÖDERMANLANDS LÄN</t>
        </is>
      </c>
      <c r="G332" t="inlineStr">
        <is>
          <t>NYKÖPING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46237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44711</v>
      </c>
      <c r="E334" s="1" t="n">
        <v>46237</v>
      </c>
      <c r="F334" t="inlineStr">
        <is>
          <t>SÖDERMANLANDS LÄN</t>
        </is>
      </c>
      <c r="G334" t="inlineStr">
        <is>
          <t>NYKÖPING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19763-2023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45051</v>
      </c>
      <c r="E335" s="1" t="n">
        <v>46237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44944</v>
      </c>
      <c r="E336" s="1" t="n">
        <v>46237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Sveaskog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55312-2021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44475</v>
      </c>
      <c r="E337" s="1" t="n">
        <v>46237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46237</v>
      </c>
      <c r="F338" t="inlineStr">
        <is>
          <t>SÖDERMANLANDS LÄN</t>
        </is>
      </c>
      <c r="G338" t="inlineStr">
        <is>
          <t>NYKÖPING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46237</v>
      </c>
      <c r="F339" t="inlineStr">
        <is>
          <t>SÖDERMANLANDS LÄN</t>
        </is>
      </c>
      <c r="G339" t="inlineStr">
        <is>
          <t>NYKÖPING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46237</v>
      </c>
      <c r="F340" t="inlineStr">
        <is>
          <t>SÖDERMANLANDS LÄN</t>
        </is>
      </c>
      <c r="G340" t="inlineStr">
        <is>
          <t>NYKÖPING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51880-2023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45216</v>
      </c>
      <c r="E341" s="1" t="n">
        <v>46237</v>
      </c>
      <c r="F341" t="inlineStr">
        <is>
          <t>SÖDERMANLANDS LÄN</t>
        </is>
      </c>
      <c r="G341" t="inlineStr">
        <is>
          <t>NYKÖPING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46237</v>
      </c>
      <c r="F342" t="inlineStr">
        <is>
          <t>SÖDERMANLANDS LÄN</t>
        </is>
      </c>
      <c r="G342" t="inlineStr">
        <is>
          <t>NYKÖPING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46237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32837-2022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44784</v>
      </c>
      <c r="E344" s="1" t="n">
        <v>46237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45218</v>
      </c>
      <c r="E345" s="1" t="n">
        <v>46237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46237</v>
      </c>
      <c r="F346" t="inlineStr">
        <is>
          <t>SÖDERMANLANDS LÄN</t>
        </is>
      </c>
      <c r="G346" t="inlineStr">
        <is>
          <t>NYKÖPING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20497-2026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46237</v>
      </c>
      <c r="F347" t="inlineStr">
        <is>
          <t>SÖDERMANLANDS LÄN</t>
        </is>
      </c>
      <c r="G347" t="inlineStr">
        <is>
          <t>NYKÖPING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44992</v>
      </c>
      <c r="E348" s="1" t="n">
        <v>46237</v>
      </c>
      <c r="F348" t="inlineStr">
        <is>
          <t>SÖDERMANLANDS LÄN</t>
        </is>
      </c>
      <c r="G348" t="inlineStr">
        <is>
          <t>NYKÖPING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46237</v>
      </c>
      <c r="F349" t="inlineStr">
        <is>
          <t>SÖDERMANLANDS LÄN</t>
        </is>
      </c>
      <c r="G349" t="inlineStr">
        <is>
          <t>NYKÖPING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53374-2021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44468</v>
      </c>
      <c r="E350" s="1" t="n">
        <v>46237</v>
      </c>
      <c r="F350" t="inlineStr">
        <is>
          <t>SÖDERMANLANDS LÄN</t>
        </is>
      </c>
      <c r="G350" t="inlineStr">
        <is>
          <t>NYKÖPING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72666-2021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44546</v>
      </c>
      <c r="E351" s="1" t="n">
        <v>46237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44968</v>
      </c>
      <c r="E352" s="1" t="n">
        <v>46237</v>
      </c>
      <c r="F352" t="inlineStr">
        <is>
          <t>SÖDERMANLANDS LÄN</t>
        </is>
      </c>
      <c r="G352" t="inlineStr">
        <is>
          <t>NYKÖPING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45603</v>
      </c>
      <c r="E353" s="1" t="n">
        <v>46237</v>
      </c>
      <c r="F353" t="inlineStr">
        <is>
          <t>SÖDERMANLANDS LÄN</t>
        </is>
      </c>
      <c r="G353" t="inlineStr">
        <is>
          <t>NYKÖPING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58857-2021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46237</v>
      </c>
      <c r="F354" t="inlineStr">
        <is>
          <t>SÖDERMANLANDS LÄN</t>
        </is>
      </c>
      <c r="G354" t="inlineStr">
        <is>
          <t>NYKÖPING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38922-2024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45547</v>
      </c>
      <c r="E355" s="1" t="n">
        <v>46237</v>
      </c>
      <c r="F355" t="inlineStr">
        <is>
          <t>SÖDERMANLANDS LÄN</t>
        </is>
      </c>
      <c r="G355" t="inlineStr">
        <is>
          <t>NYKÖPING</t>
        </is>
      </c>
      <c r="I355" t="n">
        <v>10.3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46237</v>
      </c>
      <c r="F356" t="inlineStr">
        <is>
          <t>SÖDERMANLANDS LÄN</t>
        </is>
      </c>
      <c r="G356" t="inlineStr">
        <is>
          <t>NYKÖPING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44990</v>
      </c>
      <c r="E357" s="1" t="n">
        <v>46237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Allmännings- och besparingsskogar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8688-2025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45712</v>
      </c>
      <c r="E358" s="1" t="n">
        <v>46237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32928-2022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44784</v>
      </c>
      <c r="E359" s="1" t="n">
        <v>46237</v>
      </c>
      <c r="F359" t="inlineStr">
        <is>
          <t>SÖDERMANLANDS LÄN</t>
        </is>
      </c>
      <c r="G359" t="inlineStr">
        <is>
          <t>NYKÖPING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44964</v>
      </c>
      <c r="E360" s="1" t="n">
        <v>46237</v>
      </c>
      <c r="F360" t="inlineStr">
        <is>
          <t>SÖDERMANLANDS LÄN</t>
        </is>
      </c>
      <c r="G360" t="inlineStr">
        <is>
          <t>NYKÖPING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39253-2023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45166</v>
      </c>
      <c r="E361" s="1" t="n">
        <v>46237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45343</v>
      </c>
      <c r="E362" s="1" t="n">
        <v>46237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Kommuner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27563-2024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45474</v>
      </c>
      <c r="E363" s="1" t="n">
        <v>46237</v>
      </c>
      <c r="F363" t="inlineStr">
        <is>
          <t>SÖDERMANLANDS LÄN</t>
        </is>
      </c>
      <c r="G363" t="inlineStr">
        <is>
          <t>NYKÖPING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16072-2023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45027</v>
      </c>
      <c r="E364" s="1" t="n">
        <v>46237</v>
      </c>
      <c r="F364" t="inlineStr">
        <is>
          <t>SÖDERMANLANDS LÄN</t>
        </is>
      </c>
      <c r="G364" t="inlineStr">
        <is>
          <t>NYKÖPING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46237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46237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27975-2022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44744</v>
      </c>
      <c r="E367" s="1" t="n">
        <v>46237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46237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Övriga Aktiebolag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56491-2022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44893</v>
      </c>
      <c r="E369" s="1" t="n">
        <v>46237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Övriga Aktiebolag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46237</v>
      </c>
      <c r="F370" t="inlineStr">
        <is>
          <t>SÖDERMANLANDS LÄN</t>
        </is>
      </c>
      <c r="G370" t="inlineStr">
        <is>
          <t>NYKÖPING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30859-2023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45110</v>
      </c>
      <c r="E371" s="1" t="n">
        <v>46237</v>
      </c>
      <c r="F371" t="inlineStr">
        <is>
          <t>SÖDERMANLANDS LÄN</t>
        </is>
      </c>
      <c r="G371" t="inlineStr">
        <is>
          <t>NYKÖPING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46237</v>
      </c>
      <c r="F372" t="inlineStr">
        <is>
          <t>SÖDERMANLANDS LÄN</t>
        </is>
      </c>
      <c r="G372" t="inlineStr">
        <is>
          <t>NYKÖPING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38317-2022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44812</v>
      </c>
      <c r="E373" s="1" t="n">
        <v>46237</v>
      </c>
      <c r="F373" t="inlineStr">
        <is>
          <t>SÖDERMANLANDS LÄN</t>
        </is>
      </c>
      <c r="G373" t="inlineStr">
        <is>
          <t>NYKÖPING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60104-2023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46237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Övriga Aktiebolag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51689-2021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44462</v>
      </c>
      <c r="E375" s="1" t="n">
        <v>46237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Sveaskog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72117-2021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44543</v>
      </c>
      <c r="E376" s="1" t="n">
        <v>46237</v>
      </c>
      <c r="F376" t="inlineStr">
        <is>
          <t>SÖDERMANLANDS LÄN</t>
        </is>
      </c>
      <c r="G376" t="inlineStr">
        <is>
          <t>NYKÖPING</t>
        </is>
      </c>
      <c r="I376" t="n">
        <v>14.9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56228-2024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45624</v>
      </c>
      <c r="E377" s="1" t="n">
        <v>46237</v>
      </c>
      <c r="F377" t="inlineStr">
        <is>
          <t>SÖDERMANLANDS LÄN</t>
        </is>
      </c>
      <c r="G377" t="inlineStr">
        <is>
          <t>NYKÖPING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46237</v>
      </c>
      <c r="F378" t="inlineStr">
        <is>
          <t>SÖDERMANLANDS LÄN</t>
        </is>
      </c>
      <c r="G378" t="inlineStr">
        <is>
          <t>NYKÖPING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44960</v>
      </c>
      <c r="E379" s="1" t="n">
        <v>46237</v>
      </c>
      <c r="F379" t="inlineStr">
        <is>
          <t>SÖDERMANLANDS LÄN</t>
        </is>
      </c>
      <c r="G379" t="inlineStr">
        <is>
          <t>NYKÖPING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49494-2021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44454</v>
      </c>
      <c r="E380" s="1" t="n">
        <v>46237</v>
      </c>
      <c r="F380" t="inlineStr">
        <is>
          <t>SÖDERMANLANDS LÄN</t>
        </is>
      </c>
      <c r="G380" t="inlineStr">
        <is>
          <t>NYKÖPING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35467-2025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45855</v>
      </c>
      <c r="E381" s="1" t="n">
        <v>46237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35455-2025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45855</v>
      </c>
      <c r="E382" s="1" t="n">
        <v>46237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44964</v>
      </c>
      <c r="E383" s="1" t="n">
        <v>46237</v>
      </c>
      <c r="F383" t="inlineStr">
        <is>
          <t>SÖDERMANLANDS LÄN</t>
        </is>
      </c>
      <c r="G383" t="inlineStr">
        <is>
          <t>NYKÖPING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44965</v>
      </c>
      <c r="E384" s="1" t="n">
        <v>46237</v>
      </c>
      <c r="F384" t="inlineStr">
        <is>
          <t>SÖDERMANLANDS LÄN</t>
        </is>
      </c>
      <c r="G384" t="inlineStr">
        <is>
          <t>NYKÖPING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17691-2023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45037</v>
      </c>
      <c r="E385" s="1" t="n">
        <v>46237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Sveaskog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6519-2023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44965</v>
      </c>
      <c r="E386" s="1" t="n">
        <v>46237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Kyrkan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46145</v>
      </c>
      <c r="E387" s="1" t="n">
        <v>46237</v>
      </c>
      <c r="F387" t="inlineStr">
        <is>
          <t>SÖDERMANLANDS LÄN</t>
        </is>
      </c>
      <c r="G387" t="inlineStr">
        <is>
          <t>NYKÖPING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44988</v>
      </c>
      <c r="E388" s="1" t="n">
        <v>46237</v>
      </c>
      <c r="F388" t="inlineStr">
        <is>
          <t>SÖDERMANLANDS LÄN</t>
        </is>
      </c>
      <c r="G388" t="inlineStr">
        <is>
          <t>NYKÖPING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46145</v>
      </c>
      <c r="E389" s="1" t="n">
        <v>46237</v>
      </c>
      <c r="F389" t="inlineStr">
        <is>
          <t>SÖDERMANLANDS LÄN</t>
        </is>
      </c>
      <c r="G389" t="inlineStr">
        <is>
          <t>NYKÖPING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46237</v>
      </c>
      <c r="F390" t="inlineStr">
        <is>
          <t>SÖDERMANLANDS LÄN</t>
        </is>
      </c>
      <c r="G390" t="inlineStr">
        <is>
          <t>NYKÖPING</t>
        </is>
      </c>
      <c r="I390" t="n">
        <v>13.4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9469-2022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44616</v>
      </c>
      <c r="E391" s="1" t="n">
        <v>46237</v>
      </c>
      <c r="F391" t="inlineStr">
        <is>
          <t>SÖDERMANLANDS LÄN</t>
        </is>
      </c>
      <c r="G391" t="inlineStr">
        <is>
          <t>NYKÖPING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17315-2024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45414</v>
      </c>
      <c r="E392" s="1" t="n">
        <v>46237</v>
      </c>
      <c r="F392" t="inlineStr">
        <is>
          <t>SÖDERMANLANDS LÄN</t>
        </is>
      </c>
      <c r="G392" t="inlineStr">
        <is>
          <t>NYKÖPING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45096</v>
      </c>
      <c r="E393" s="1" t="n">
        <v>46237</v>
      </c>
      <c r="F393" t="inlineStr">
        <is>
          <t>SÖDERMANLANDS LÄN</t>
        </is>
      </c>
      <c r="G393" t="inlineStr">
        <is>
          <t>NYKÖPING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35019-2023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45143</v>
      </c>
      <c r="E394" s="1" t="n">
        <v>46237</v>
      </c>
      <c r="F394" t="inlineStr">
        <is>
          <t>SÖDERMANLANDS LÄN</t>
        </is>
      </c>
      <c r="G394" t="inlineStr">
        <is>
          <t>NYKÖPING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45098</v>
      </c>
      <c r="E395" s="1" t="n">
        <v>46237</v>
      </c>
      <c r="F395" t="inlineStr">
        <is>
          <t>SÖDERMANLANDS LÄN</t>
        </is>
      </c>
      <c r="G395" t="inlineStr">
        <is>
          <t>NYKÖPING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46237</v>
      </c>
      <c r="F396" t="inlineStr">
        <is>
          <t>SÖDERMANLANDS LÄN</t>
        </is>
      </c>
      <c r="G396" t="inlineStr">
        <is>
          <t>NYKÖPING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46237</v>
      </c>
      <c r="F397" t="inlineStr">
        <is>
          <t>SÖDERMANLANDS LÄN</t>
        </is>
      </c>
      <c r="G397" t="inlineStr">
        <is>
          <t>NYKÖPING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16457-2023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45029</v>
      </c>
      <c r="E398" s="1" t="n">
        <v>46237</v>
      </c>
      <c r="F398" t="inlineStr">
        <is>
          <t>SÖDERMANLANDS LÄN</t>
        </is>
      </c>
      <c r="G398" t="inlineStr">
        <is>
          <t>NYKÖPING</t>
        </is>
      </c>
      <c r="I398" t="n">
        <v>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67736-2021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44525</v>
      </c>
      <c r="E399" s="1" t="n">
        <v>46237</v>
      </c>
      <c r="F399" t="inlineStr">
        <is>
          <t>SÖDERMANLANDS LÄN</t>
        </is>
      </c>
      <c r="G399" t="inlineStr">
        <is>
          <t>NYKÖPING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44869</v>
      </c>
      <c r="E400" s="1" t="n">
        <v>46237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46237</v>
      </c>
      <c r="F401" t="inlineStr">
        <is>
          <t>SÖDERMANLANDS LÄN</t>
        </is>
      </c>
      <c r="G401" t="inlineStr">
        <is>
          <t>NYKÖPING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49613-2025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46237</v>
      </c>
      <c r="F402" t="inlineStr">
        <is>
          <t>SÖDERMANLANDS LÄN</t>
        </is>
      </c>
      <c r="G402" t="inlineStr">
        <is>
          <t>NYKÖPING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30639-2023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45112</v>
      </c>
      <c r="E403" s="1" t="n">
        <v>46237</v>
      </c>
      <c r="F403" t="inlineStr">
        <is>
          <t>SÖDERMANLANDS LÄN</t>
        </is>
      </c>
      <c r="G403" t="inlineStr">
        <is>
          <t>NYKÖPING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45034</v>
      </c>
      <c r="E404" s="1" t="n">
        <v>46237</v>
      </c>
      <c r="F404" t="inlineStr">
        <is>
          <t>SÖDERMANLANDS LÄN</t>
        </is>
      </c>
      <c r="G404" t="inlineStr">
        <is>
          <t>NYKÖPING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44976</v>
      </c>
      <c r="E405" s="1" t="n">
        <v>46237</v>
      </c>
      <c r="F405" t="inlineStr">
        <is>
          <t>SÖDERMANLANDS LÄN</t>
        </is>
      </c>
      <c r="G405" t="inlineStr">
        <is>
          <t>NYKÖPING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46237</v>
      </c>
      <c r="F406" t="inlineStr">
        <is>
          <t>SÖDERMANLANDS LÄN</t>
        </is>
      </c>
      <c r="G406" t="inlineStr">
        <is>
          <t>NYKÖPING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44998</v>
      </c>
      <c r="E407" s="1" t="n">
        <v>46237</v>
      </c>
      <c r="F407" t="inlineStr">
        <is>
          <t>SÖDERMANLANDS LÄN</t>
        </is>
      </c>
      <c r="G407" t="inlineStr">
        <is>
          <t>NYKÖPING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46237</v>
      </c>
      <c r="F408" t="inlineStr">
        <is>
          <t>SÖDERMANLANDS LÄN</t>
        </is>
      </c>
      <c r="G408" t="inlineStr">
        <is>
          <t>NYKÖPING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46237</v>
      </c>
      <c r="F409" t="inlineStr">
        <is>
          <t>SÖDERMANLANDS LÄN</t>
        </is>
      </c>
      <c r="G409" t="inlineStr">
        <is>
          <t>NYKÖPING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50688-2025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45945</v>
      </c>
      <c r="E410" s="1" t="n">
        <v>46237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Kyrkan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46069</v>
      </c>
      <c r="E411" s="1" t="n">
        <v>46237</v>
      </c>
      <c r="F411" t="inlineStr">
        <is>
          <t>SÖDERMANLANDS LÄN</t>
        </is>
      </c>
      <c r="G411" t="inlineStr">
        <is>
          <t>NYKÖPING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50691-2025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46237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Kyrkan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17234-2022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44678</v>
      </c>
      <c r="E413" s="1" t="n">
        <v>46237</v>
      </c>
      <c r="F413" t="inlineStr">
        <is>
          <t>SÖDERMANLANDS LÄN</t>
        </is>
      </c>
      <c r="G413" t="inlineStr">
        <is>
          <t>NYKÖPING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46237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45033</v>
      </c>
      <c r="E415" s="1" t="n">
        <v>46237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64159-2021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44510</v>
      </c>
      <c r="E416" s="1" t="n">
        <v>46237</v>
      </c>
      <c r="F416" t="inlineStr">
        <is>
          <t>SÖDERMANLANDS LÄN</t>
        </is>
      </c>
      <c r="G416" t="inlineStr">
        <is>
          <t>NYKÖPING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13027-2024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45385</v>
      </c>
      <c r="E417" s="1" t="n">
        <v>46237</v>
      </c>
      <c r="F417" t="inlineStr">
        <is>
          <t>SÖDERMANLANDS LÄN</t>
        </is>
      </c>
      <c r="G417" t="inlineStr">
        <is>
          <t>NYKÖPING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59613-2021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44491</v>
      </c>
      <c r="E418" s="1" t="n">
        <v>46237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Övriga Aktiebolag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45602</v>
      </c>
      <c r="E419" s="1" t="n">
        <v>46237</v>
      </c>
      <c r="F419" t="inlineStr">
        <is>
          <t>SÖDERMANLANDS LÄN</t>
        </is>
      </c>
      <c r="G419" t="inlineStr">
        <is>
          <t>NYKÖPING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45062</v>
      </c>
      <c r="E420" s="1" t="n">
        <v>46237</v>
      </c>
      <c r="F420" t="inlineStr">
        <is>
          <t>SÖDERMANLANDS LÄN</t>
        </is>
      </c>
      <c r="G420" t="inlineStr">
        <is>
          <t>NYKÖPING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45160</v>
      </c>
      <c r="E421" s="1" t="n">
        <v>46237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45160</v>
      </c>
      <c r="E422" s="1" t="n">
        <v>46237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46237</v>
      </c>
      <c r="F423" t="inlineStr">
        <is>
          <t>SÖDERMANLANDS LÄN</t>
        </is>
      </c>
      <c r="G423" t="inlineStr">
        <is>
          <t>NYKÖPING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45443</v>
      </c>
      <c r="E424" s="1" t="n">
        <v>46237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43657-2022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44837</v>
      </c>
      <c r="E425" s="1" t="n">
        <v>46237</v>
      </c>
      <c r="F425" t="inlineStr">
        <is>
          <t>SÖDERMANLANDS LÄN</t>
        </is>
      </c>
      <c r="G425" t="inlineStr">
        <is>
          <t>NYKÖPING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45900</v>
      </c>
      <c r="E426" s="1" t="n">
        <v>46237</v>
      </c>
      <c r="F426" t="inlineStr">
        <is>
          <t>SÖDERMANLANDS LÄN</t>
        </is>
      </c>
      <c r="G426" t="inlineStr">
        <is>
          <t>NYKÖPING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25796-2022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44733</v>
      </c>
      <c r="E427" s="1" t="n">
        <v>46237</v>
      </c>
      <c r="F427" t="inlineStr">
        <is>
          <t>SÖDERMANLANDS LÄN</t>
        </is>
      </c>
      <c r="G427" t="inlineStr">
        <is>
          <t>NYKÖPING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42368-2024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45564</v>
      </c>
      <c r="E428" s="1" t="n">
        <v>46237</v>
      </c>
      <c r="F428" t="inlineStr">
        <is>
          <t>SÖDERMANLANDS LÄN</t>
        </is>
      </c>
      <c r="G428" t="inlineStr">
        <is>
          <t>NYKÖPING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52572-2025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45954</v>
      </c>
      <c r="E429" s="1" t="n">
        <v>46237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49291-2023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45210</v>
      </c>
      <c r="E430" s="1" t="n">
        <v>46237</v>
      </c>
      <c r="F430" t="inlineStr">
        <is>
          <t>SÖDERMANLANDS LÄN</t>
        </is>
      </c>
      <c r="G430" t="inlineStr">
        <is>
          <t>NYKÖPING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45954</v>
      </c>
      <c r="E431" s="1" t="n">
        <v>46237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46237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24631-2022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44727</v>
      </c>
      <c r="E433" s="1" t="n">
        <v>46237</v>
      </c>
      <c r="F433" t="inlineStr">
        <is>
          <t>SÖDERMANLANDS LÄN</t>
        </is>
      </c>
      <c r="G433" t="inlineStr">
        <is>
          <t>NYKÖPING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46237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11554-2025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46237</v>
      </c>
      <c r="F435" t="inlineStr">
        <is>
          <t>SÖDERMANLANDS LÄN</t>
        </is>
      </c>
      <c r="G435" t="inlineStr">
        <is>
          <t>NYKÖPING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26993-2022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44740</v>
      </c>
      <c r="E436" s="1" t="n">
        <v>46237</v>
      </c>
      <c r="F436" t="inlineStr">
        <is>
          <t>SÖDERMANLANDS LÄN</t>
        </is>
      </c>
      <c r="G436" t="inlineStr">
        <is>
          <t>NYKÖPING</t>
        </is>
      </c>
      <c r="I436" t="n">
        <v>13.1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46237</v>
      </c>
      <c r="F437" t="inlineStr">
        <is>
          <t>SÖDERMANLANDS LÄN</t>
        </is>
      </c>
      <c r="G437" t="inlineStr">
        <is>
          <t>NYKÖPING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22475-2026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46155</v>
      </c>
      <c r="E438" s="1" t="n">
        <v>46237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1804-2023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44938</v>
      </c>
      <c r="E439" s="1" t="n">
        <v>46237</v>
      </c>
      <c r="F439" t="inlineStr">
        <is>
          <t>SÖDERMANLANDS LÄN</t>
        </is>
      </c>
      <c r="G439" t="inlineStr">
        <is>
          <t>NYKÖPING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49902-2025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45940</v>
      </c>
      <c r="E440" s="1" t="n">
        <v>46237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8378-2024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45351</v>
      </c>
      <c r="E441" s="1" t="n">
        <v>46237</v>
      </c>
      <c r="F441" t="inlineStr">
        <is>
          <t>SÖDERMANLANDS LÄN</t>
        </is>
      </c>
      <c r="G441" t="inlineStr">
        <is>
          <t>NYKÖPING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8415-2023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46237</v>
      </c>
      <c r="F442" t="inlineStr">
        <is>
          <t>SÖDERMANLANDS LÄN</t>
        </is>
      </c>
      <c r="G442" t="inlineStr">
        <is>
          <t>NYKÖPING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44676</v>
      </c>
      <c r="E443" s="1" t="n">
        <v>46237</v>
      </c>
      <c r="F443" t="inlineStr">
        <is>
          <t>SÖDERMANLANDS LÄN</t>
        </is>
      </c>
      <c r="G443" t="inlineStr">
        <is>
          <t>NYKÖPING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24891-2023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45085</v>
      </c>
      <c r="E444" s="1" t="n">
        <v>46237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44582</v>
      </c>
      <c r="E445" s="1" t="n">
        <v>46237</v>
      </c>
      <c r="F445" t="inlineStr">
        <is>
          <t>SÖDERMANLANDS LÄN</t>
        </is>
      </c>
      <c r="G445" t="inlineStr">
        <is>
          <t>NYKÖPING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45216</v>
      </c>
      <c r="E446" s="1" t="n">
        <v>46237</v>
      </c>
      <c r="F446" t="inlineStr">
        <is>
          <t>SÖDERMANLANDS LÄN</t>
        </is>
      </c>
      <c r="G446" t="inlineStr">
        <is>
          <t>NYKÖPING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38149-2024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45545</v>
      </c>
      <c r="E447" s="1" t="n">
        <v>46237</v>
      </c>
      <c r="F447" t="inlineStr">
        <is>
          <t>SÖDERMANLANDS LÄN</t>
        </is>
      </c>
      <c r="G447" t="inlineStr">
        <is>
          <t>NYKÖPING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48484-2022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44858</v>
      </c>
      <c r="E448" s="1" t="n">
        <v>46237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55311-2025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45970</v>
      </c>
      <c r="E449" s="1" t="n">
        <v>46237</v>
      </c>
      <c r="F449" t="inlineStr">
        <is>
          <t>SÖDERMANLANDS LÄN</t>
        </is>
      </c>
      <c r="G449" t="inlineStr">
        <is>
          <t>NYKÖPING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44757</v>
      </c>
      <c r="E450" s="1" t="n">
        <v>46237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46237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52258-2023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45224</v>
      </c>
      <c r="E452" s="1" t="n">
        <v>46237</v>
      </c>
      <c r="F452" t="inlineStr">
        <is>
          <t>SÖDERMANLANDS LÄN</t>
        </is>
      </c>
      <c r="G452" t="inlineStr">
        <is>
          <t>NYKÖPING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56342-2025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45974</v>
      </c>
      <c r="E453" s="1" t="n">
        <v>46237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41719-2021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44425</v>
      </c>
      <c r="E454" s="1" t="n">
        <v>46237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44977</v>
      </c>
      <c r="E455" s="1" t="n">
        <v>46237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Övriga Aktiebolag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46237</v>
      </c>
      <c r="F456" t="inlineStr">
        <is>
          <t>SÖDERMANLANDS LÄN</t>
        </is>
      </c>
      <c r="G456" t="inlineStr">
        <is>
          <t>NYKÖPING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64099-2021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46237</v>
      </c>
      <c r="F457" t="inlineStr">
        <is>
          <t>SÖDERMANLANDS LÄN</t>
        </is>
      </c>
      <c r="G457" t="inlineStr">
        <is>
          <t>NYKÖPING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57836-2023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45247</v>
      </c>
      <c r="E458" s="1" t="n">
        <v>46237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Övriga Aktiebolag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44473-2021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44435</v>
      </c>
      <c r="E459" s="1" t="n">
        <v>46237</v>
      </c>
      <c r="F459" t="inlineStr">
        <is>
          <t>SÖDERMANLANDS LÄN</t>
        </is>
      </c>
      <c r="G459" t="inlineStr">
        <is>
          <t>NYKÖPING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44575</v>
      </c>
      <c r="E460" s="1" t="n">
        <v>46237</v>
      </c>
      <c r="F460" t="inlineStr">
        <is>
          <t>SÖDERMANLANDS LÄN</t>
        </is>
      </c>
      <c r="G460" t="inlineStr">
        <is>
          <t>NYKÖPING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45729</v>
      </c>
      <c r="E461" s="1" t="n">
        <v>46237</v>
      </c>
      <c r="F461" t="inlineStr">
        <is>
          <t>SÖDERMANLANDS LÄN</t>
        </is>
      </c>
      <c r="G461" t="inlineStr">
        <is>
          <t>NYKÖPING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45210</v>
      </c>
      <c r="E462" s="1" t="n">
        <v>46237</v>
      </c>
      <c r="F462" t="inlineStr">
        <is>
          <t>SÖDERMANLANDS LÄN</t>
        </is>
      </c>
      <c r="G462" t="inlineStr">
        <is>
          <t>NYKÖPING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45761</v>
      </c>
      <c r="E463" s="1" t="n">
        <v>46237</v>
      </c>
      <c r="F463" t="inlineStr">
        <is>
          <t>SÖDERMANLANDS LÄN</t>
        </is>
      </c>
      <c r="G463" t="inlineStr">
        <is>
          <t>NYKÖPING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30855-2023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45110</v>
      </c>
      <c r="E464" s="1" t="n">
        <v>46237</v>
      </c>
      <c r="F464" t="inlineStr">
        <is>
          <t>SÖDERMANLANDS LÄN</t>
        </is>
      </c>
      <c r="G464" t="inlineStr">
        <is>
          <t>NYKÖPING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46237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46237</v>
      </c>
      <c r="F466" t="inlineStr">
        <is>
          <t>SÖDERMANLANDS LÄN</t>
        </is>
      </c>
      <c r="G466" t="inlineStr">
        <is>
          <t>NYKÖPING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45061</v>
      </c>
      <c r="E467" s="1" t="n">
        <v>46237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1945-2025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45672</v>
      </c>
      <c r="E468" s="1" t="n">
        <v>46237</v>
      </c>
      <c r="F468" t="inlineStr">
        <is>
          <t>SÖDERMANLANDS LÄN</t>
        </is>
      </c>
      <c r="G468" t="inlineStr">
        <is>
          <t>NYKÖPING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50156-2021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44456</v>
      </c>
      <c r="E469" s="1" t="n">
        <v>46237</v>
      </c>
      <c r="F469" t="inlineStr">
        <is>
          <t>SÖDERMANLANDS LÄN</t>
        </is>
      </c>
      <c r="G469" t="inlineStr">
        <is>
          <t>NYKÖPING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41735-2021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44425</v>
      </c>
      <c r="E470" s="1" t="n">
        <v>46237</v>
      </c>
      <c r="F470" t="inlineStr">
        <is>
          <t>SÖDERMANLANDS LÄN</t>
        </is>
      </c>
      <c r="G470" t="inlineStr">
        <is>
          <t>NYKÖPING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45980</v>
      </c>
      <c r="E471" s="1" t="n">
        <v>46237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56845-2025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46237</v>
      </c>
      <c r="F472" t="inlineStr">
        <is>
          <t>SÖDERMANLANDS LÄN</t>
        </is>
      </c>
      <c r="G472" t="inlineStr">
        <is>
          <t>NYKÖPING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45979</v>
      </c>
      <c r="E473" s="1" t="n">
        <v>46237</v>
      </c>
      <c r="F473" t="inlineStr">
        <is>
          <t>SÖDERMANLANDS LÄN</t>
        </is>
      </c>
      <c r="G473" t="inlineStr">
        <is>
          <t>NYKÖPING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46237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57937-2025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45982</v>
      </c>
      <c r="E475" s="1" t="n">
        <v>46237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43306-2023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46237</v>
      </c>
      <c r="F476" t="inlineStr">
        <is>
          <t>SÖDERMANLANDS LÄN</t>
        </is>
      </c>
      <c r="G476" t="inlineStr">
        <is>
          <t>NYKÖPING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46237</v>
      </c>
      <c r="F477" t="inlineStr">
        <is>
          <t>SÖDERMANLANDS LÄN</t>
        </is>
      </c>
      <c r="G477" t="inlineStr">
        <is>
          <t>NYKÖPING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23063-2026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46161</v>
      </c>
      <c r="E478" s="1" t="n">
        <v>46237</v>
      </c>
      <c r="F478" t="inlineStr">
        <is>
          <t>SÖDERMANLANDS LÄN</t>
        </is>
      </c>
      <c r="G478" t="inlineStr">
        <is>
          <t>NYKÖPING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46237</v>
      </c>
      <c r="F479" t="inlineStr">
        <is>
          <t>SÖDERMANLANDS LÄN</t>
        </is>
      </c>
      <c r="G479" t="inlineStr">
        <is>
          <t>NYKÖPING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45069</v>
      </c>
      <c r="E480" s="1" t="n">
        <v>46237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46237</v>
      </c>
      <c r="F481" t="inlineStr">
        <is>
          <t>SÖDERMANLANDS LÄN</t>
        </is>
      </c>
      <c r="G481" t="inlineStr">
        <is>
          <t>NYKÖPING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58786-2025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46237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Sveaskog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9836-2026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46237</v>
      </c>
      <c r="F483" t="inlineStr">
        <is>
          <t>SÖDERMANLANDS LÄN</t>
        </is>
      </c>
      <c r="G483" t="inlineStr">
        <is>
          <t>NYKÖPING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58788-2025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45986</v>
      </c>
      <c r="E484" s="1" t="n">
        <v>46237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Sveaskog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60210-2022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44910</v>
      </c>
      <c r="E485" s="1" t="n">
        <v>46237</v>
      </c>
      <c r="F485" t="inlineStr">
        <is>
          <t>SÖDERMANLANDS LÄN</t>
        </is>
      </c>
      <c r="G485" t="inlineStr">
        <is>
          <t>NYKÖPING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46237</v>
      </c>
      <c r="F486" t="inlineStr">
        <is>
          <t>SÖDERMANLANDS LÄN</t>
        </is>
      </c>
      <c r="G486" t="inlineStr">
        <is>
          <t>NYKÖPING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12812-2025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46237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41099-2022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44825</v>
      </c>
      <c r="E488" s="1" t="n">
        <v>46237</v>
      </c>
      <c r="F488" t="inlineStr">
        <is>
          <t>SÖDERMANLANDS LÄN</t>
        </is>
      </c>
      <c r="G488" t="inlineStr">
        <is>
          <t>NYKÖPING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44579</v>
      </c>
      <c r="E489" s="1" t="n">
        <v>46237</v>
      </c>
      <c r="F489" t="inlineStr">
        <is>
          <t>SÖDERMANLANDS LÄN</t>
        </is>
      </c>
      <c r="G489" t="inlineStr">
        <is>
          <t>NYKÖPING</t>
        </is>
      </c>
      <c r="I489" t="n">
        <v>10.8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44579</v>
      </c>
      <c r="E490" s="1" t="n">
        <v>46237</v>
      </c>
      <c r="F490" t="inlineStr">
        <is>
          <t>SÖDERMANLANDS LÄN</t>
        </is>
      </c>
      <c r="G490" t="inlineStr">
        <is>
          <t>NYKÖPING</t>
        </is>
      </c>
      <c r="I490" t="n">
        <v>6.7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10981-2024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46237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44579</v>
      </c>
      <c r="E492" s="1" t="n">
        <v>46237</v>
      </c>
      <c r="F492" t="inlineStr">
        <is>
          <t>SÖDERMANLANDS LÄN</t>
        </is>
      </c>
      <c r="G492" t="inlineStr">
        <is>
          <t>NYKÖPING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38846-2023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46237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2255-2022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44578</v>
      </c>
      <c r="E494" s="1" t="n">
        <v>46237</v>
      </c>
      <c r="F494" t="inlineStr">
        <is>
          <t>SÖDERMANLANDS LÄN</t>
        </is>
      </c>
      <c r="G494" t="inlineStr">
        <is>
          <t>NYKÖPING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44943</v>
      </c>
      <c r="E495" s="1" t="n">
        <v>46237</v>
      </c>
      <c r="F495" t="inlineStr">
        <is>
          <t>SÖDERMANLANDS LÄN</t>
        </is>
      </c>
      <c r="G495" t="inlineStr">
        <is>
          <t>NYKÖPING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46237</v>
      </c>
      <c r="F496" t="inlineStr">
        <is>
          <t>SÖDERMANLANDS LÄN</t>
        </is>
      </c>
      <c r="G496" t="inlineStr">
        <is>
          <t>NYKÖPING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23637-2026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46163</v>
      </c>
      <c r="E497" s="1" t="n">
        <v>46237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45076</v>
      </c>
      <c r="E498" s="1" t="n">
        <v>46237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Övriga Aktiebolag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33653-2024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46237</v>
      </c>
      <c r="F499" t="inlineStr">
        <is>
          <t>SÖDERMANLANDS LÄN</t>
        </is>
      </c>
      <c r="G499" t="inlineStr">
        <is>
          <t>NYKÖPING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59906-2025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46237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59995-2025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45993</v>
      </c>
      <c r="E501" s="1" t="n">
        <v>46237</v>
      </c>
      <c r="F501" t="inlineStr">
        <is>
          <t>SÖDERMANLANDS LÄN</t>
        </is>
      </c>
      <c r="G501" t="inlineStr">
        <is>
          <t>NYKÖPING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59991-2025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45993</v>
      </c>
      <c r="E502" s="1" t="n">
        <v>46237</v>
      </c>
      <c r="F502" t="inlineStr">
        <is>
          <t>SÖDERMANLANDS LÄN</t>
        </is>
      </c>
      <c r="G502" t="inlineStr">
        <is>
          <t>NYKÖPING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59992-2025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45993</v>
      </c>
      <c r="E503" s="1" t="n">
        <v>46237</v>
      </c>
      <c r="F503" t="inlineStr">
        <is>
          <t>SÖDERMANLANDS LÄN</t>
        </is>
      </c>
      <c r="G503" t="inlineStr">
        <is>
          <t>NYKÖPING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59998-2025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45993</v>
      </c>
      <c r="E504" s="1" t="n">
        <v>46237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46237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Holmen skog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53335-2023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45229</v>
      </c>
      <c r="E506" s="1" t="n">
        <v>46237</v>
      </c>
      <c r="F506" t="inlineStr">
        <is>
          <t>SÖDERMANLANDS LÄN</t>
        </is>
      </c>
      <c r="G506" t="inlineStr">
        <is>
          <t>NYKÖPING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52045-2021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44463</v>
      </c>
      <c r="E507" s="1" t="n">
        <v>46237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Sveaskog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52055-2021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44462</v>
      </c>
      <c r="E508" s="1" t="n">
        <v>46237</v>
      </c>
      <c r="F508" t="inlineStr">
        <is>
          <t>SÖDERMANLANDS LÄN</t>
        </is>
      </c>
      <c r="G508" t="inlineStr">
        <is>
          <t>NYKÖPING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46237</v>
      </c>
      <c r="F509" t="inlineStr">
        <is>
          <t>SÖDERMANLANDS LÄN</t>
        </is>
      </c>
      <c r="G509" t="inlineStr">
        <is>
          <t>NYKÖPING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61253-2025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45999</v>
      </c>
      <c r="E510" s="1" t="n">
        <v>46237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Allmännings- och besparingsskogar</t>
        </is>
      </c>
      <c r="I510" t="n">
        <v>13.5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45999</v>
      </c>
      <c r="E511" s="1" t="n">
        <v>46237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Allmännings- och besparingsskogar</t>
        </is>
      </c>
      <c r="I511" t="n">
        <v>10.6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51725-2021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44462</v>
      </c>
      <c r="E512" s="1" t="n">
        <v>46237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46086</v>
      </c>
      <c r="E513" s="1" t="n">
        <v>46237</v>
      </c>
      <c r="F513" t="inlineStr">
        <is>
          <t>SÖDERMANLANDS LÄN</t>
        </is>
      </c>
      <c r="G513" t="inlineStr">
        <is>
          <t>NYKÖPING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61357-2025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46237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Holmen skog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21249-2023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45062</v>
      </c>
      <c r="E515" s="1" t="n">
        <v>46237</v>
      </c>
      <c r="F515" t="inlineStr">
        <is>
          <t>SÖDERMANLANDS LÄN</t>
        </is>
      </c>
      <c r="G515" t="inlineStr">
        <is>
          <t>NYKÖPING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62323-2025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46237</v>
      </c>
      <c r="F516" t="inlineStr">
        <is>
          <t>SÖDERMANLANDS LÄN</t>
        </is>
      </c>
      <c r="G516" t="inlineStr">
        <is>
          <t>NYKÖPING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46237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45282-2022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44844</v>
      </c>
      <c r="E518" s="1" t="n">
        <v>46237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Holmen skog AB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35020-2023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45143</v>
      </c>
      <c r="E519" s="1" t="n">
        <v>46237</v>
      </c>
      <c r="F519" t="inlineStr">
        <is>
          <t>SÖDERMANLANDS LÄN</t>
        </is>
      </c>
      <c r="G519" t="inlineStr">
        <is>
          <t>NYKÖPING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46237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46237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46237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44725</v>
      </c>
      <c r="E523" s="1" t="n">
        <v>46237</v>
      </c>
      <c r="F523" t="inlineStr">
        <is>
          <t>SÖDERMANLANDS LÄN</t>
        </is>
      </c>
      <c r="G523" t="inlineStr">
        <is>
          <t>NYKÖPING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24285-2026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46237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Kyrkan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46007</v>
      </c>
      <c r="E525" s="1" t="n">
        <v>46237</v>
      </c>
      <c r="F525" t="inlineStr">
        <is>
          <t>SÖDERMANLANDS LÄN</t>
        </is>
      </c>
      <c r="G525" t="inlineStr">
        <is>
          <t>NYKÖPING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10622-2025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45721</v>
      </c>
      <c r="E526" s="1" t="n">
        <v>46237</v>
      </c>
      <c r="F526" t="inlineStr">
        <is>
          <t>SÖDERMANLANDS LÄN</t>
        </is>
      </c>
      <c r="G526" t="inlineStr">
        <is>
          <t>NYKÖPING</t>
        </is>
      </c>
      <c r="I526" t="n">
        <v>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30695-2026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46211</v>
      </c>
      <c r="E527" s="1" t="n">
        <v>46237</v>
      </c>
      <c r="F527" t="inlineStr">
        <is>
          <t>SÖDERMANLANDS LÄN</t>
        </is>
      </c>
      <c r="G527" t="inlineStr">
        <is>
          <t>NYKÖPING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62492-2025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46007</v>
      </c>
      <c r="E528" s="1" t="n">
        <v>46237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45686</v>
      </c>
      <c r="E529" s="1" t="n">
        <v>46237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62491-2025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46007</v>
      </c>
      <c r="E530" s="1" t="n">
        <v>46237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14848-2024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45398</v>
      </c>
      <c r="E531" s="1" t="n">
        <v>46237</v>
      </c>
      <c r="F531" t="inlineStr">
        <is>
          <t>SÖDERMANLANDS LÄN</t>
        </is>
      </c>
      <c r="G531" t="inlineStr">
        <is>
          <t>NYKÖPING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45667</v>
      </c>
      <c r="E532" s="1" t="n">
        <v>46237</v>
      </c>
      <c r="F532" t="inlineStr">
        <is>
          <t>SÖDERMANLANDS LÄN</t>
        </is>
      </c>
      <c r="G532" t="inlineStr">
        <is>
          <t>NYKÖPING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45058</v>
      </c>
      <c r="E533" s="1" t="n">
        <v>46237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Holmen skog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45410</v>
      </c>
      <c r="E534" s="1" t="n">
        <v>46237</v>
      </c>
      <c r="F534" t="inlineStr">
        <is>
          <t>SÖDERMANLANDS LÄN</t>
        </is>
      </c>
      <c r="G534" t="inlineStr">
        <is>
          <t>NYKÖPING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46237</v>
      </c>
      <c r="F535" t="inlineStr">
        <is>
          <t>SÖDERMANLANDS LÄN</t>
        </is>
      </c>
      <c r="G535" t="inlineStr">
        <is>
          <t>NYKÖPING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63293-2025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46237</v>
      </c>
      <c r="F536" t="inlineStr">
        <is>
          <t>SÖDERMANLANDS LÄN</t>
        </is>
      </c>
      <c r="G536" t="inlineStr">
        <is>
          <t>NYKÖPING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12887-2025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45733</v>
      </c>
      <c r="E537" s="1" t="n">
        <v>46237</v>
      </c>
      <c r="F537" t="inlineStr">
        <is>
          <t>SÖDERMANLANDS LÄN</t>
        </is>
      </c>
      <c r="G537" t="inlineStr">
        <is>
          <t>NYKÖPING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63246-2025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46010</v>
      </c>
      <c r="E538" s="1" t="n">
        <v>46237</v>
      </c>
      <c r="F538" t="inlineStr">
        <is>
          <t>SÖDERMANLANDS LÄN</t>
        </is>
      </c>
      <c r="G538" t="inlineStr">
        <is>
          <t>NYKÖPING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62917-2025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46237</v>
      </c>
      <c r="F539" t="inlineStr">
        <is>
          <t>SÖDERMANLANDS LÄN</t>
        </is>
      </c>
      <c r="G539" t="inlineStr">
        <is>
          <t>NYKÖPING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46237</v>
      </c>
      <c r="F540" t="inlineStr">
        <is>
          <t>SÖDERMANLANDS LÄN</t>
        </is>
      </c>
      <c r="G540" t="inlineStr">
        <is>
          <t>NYKÖPING</t>
        </is>
      </c>
      <c r="I540" t="n">
        <v>21.2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41222-2023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45170</v>
      </c>
      <c r="E541" s="1" t="n">
        <v>46237</v>
      </c>
      <c r="F541" t="inlineStr">
        <is>
          <t>SÖDERMANLANDS LÄN</t>
        </is>
      </c>
      <c r="G541" t="inlineStr">
        <is>
          <t>NYKÖPING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45630</v>
      </c>
      <c r="E542" s="1" t="n">
        <v>46237</v>
      </c>
      <c r="F542" t="inlineStr">
        <is>
          <t>SÖDERMANLANDS LÄN</t>
        </is>
      </c>
      <c r="G542" t="inlineStr">
        <is>
          <t>NYKÖPING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45310</v>
      </c>
      <c r="E543" s="1" t="n">
        <v>46237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31401-2022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44774</v>
      </c>
      <c r="E544" s="1" t="n">
        <v>46237</v>
      </c>
      <c r="F544" t="inlineStr">
        <is>
          <t>SÖDERMANLANDS LÄN</t>
        </is>
      </c>
      <c r="G544" t="inlineStr">
        <is>
          <t>NYKÖPING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38607-2023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46237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Kommuner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58281-2022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44901</v>
      </c>
      <c r="E546" s="1" t="n">
        <v>46237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7036-2023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44968</v>
      </c>
      <c r="E547" s="1" t="n">
        <v>46237</v>
      </c>
      <c r="F547" t="inlineStr">
        <is>
          <t>SÖDERMANLANDS LÄN</t>
        </is>
      </c>
      <c r="G547" t="inlineStr">
        <is>
          <t>NYKÖPING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18604-2023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45043</v>
      </c>
      <c r="E548" s="1" t="n">
        <v>46237</v>
      </c>
      <c r="F548" t="inlineStr">
        <is>
          <t>SÖDERMANLANDS LÄN</t>
        </is>
      </c>
      <c r="G548" t="inlineStr">
        <is>
          <t>NYKÖPING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53800-2022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44880</v>
      </c>
      <c r="E549" s="1" t="n">
        <v>46237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Övriga Aktiebolag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46237</v>
      </c>
      <c r="F550" t="inlineStr">
        <is>
          <t>SÖDERMANLANDS LÄN</t>
        </is>
      </c>
      <c r="G550" t="inlineStr">
        <is>
          <t>NYKÖPING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46237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Kommuner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31868-2023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46237</v>
      </c>
      <c r="F552" t="inlineStr">
        <is>
          <t>SÖDERMANLANDS LÄN</t>
        </is>
      </c>
      <c r="G552" t="inlineStr">
        <is>
          <t>NYKÖPING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12529-2024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46237</v>
      </c>
      <c r="F553" t="inlineStr">
        <is>
          <t>SÖDERMANLANDS LÄN</t>
        </is>
      </c>
      <c r="G553" t="inlineStr">
        <is>
          <t>NYKÖPING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10211-2024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45364</v>
      </c>
      <c r="E554" s="1" t="n">
        <v>46237</v>
      </c>
      <c r="F554" t="inlineStr">
        <is>
          <t>SÖDERMANLANDS LÄN</t>
        </is>
      </c>
      <c r="G554" t="inlineStr">
        <is>
          <t>NYKÖPING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44960</v>
      </c>
      <c r="E555" s="1" t="n">
        <v>46237</v>
      </c>
      <c r="F555" t="inlineStr">
        <is>
          <t>SÖDERMANLANDS LÄN</t>
        </is>
      </c>
      <c r="G555" t="inlineStr">
        <is>
          <t>NYKÖPING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45756</v>
      </c>
      <c r="E556" s="1" t="n">
        <v>46237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Holmen skog AB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46237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54183-2022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44881</v>
      </c>
      <c r="E558" s="1" t="n">
        <v>46237</v>
      </c>
      <c r="F558" t="inlineStr">
        <is>
          <t>SÖDERMANLANDS LÄN</t>
        </is>
      </c>
      <c r="G558" t="inlineStr">
        <is>
          <t>NYKÖPING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45082</v>
      </c>
      <c r="E559" s="1" t="n">
        <v>46237</v>
      </c>
      <c r="F559" t="inlineStr">
        <is>
          <t>SÖDERMANLANDS LÄN</t>
        </is>
      </c>
      <c r="G559" t="inlineStr">
        <is>
          <t>NYKÖPING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46027</v>
      </c>
      <c r="E560" s="1" t="n">
        <v>46237</v>
      </c>
      <c r="F560" t="inlineStr">
        <is>
          <t>SÖDERMANLANDS LÄN</t>
        </is>
      </c>
      <c r="G560" t="inlineStr">
        <is>
          <t>NYKÖPING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18123-2023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45040</v>
      </c>
      <c r="E561" s="1" t="n">
        <v>46237</v>
      </c>
      <c r="F561" t="inlineStr">
        <is>
          <t>SÖDERMANLANDS LÄN</t>
        </is>
      </c>
      <c r="G561" t="inlineStr">
        <is>
          <t>NYKÖPING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46237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46237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46237</v>
      </c>
      <c r="F564" t="inlineStr">
        <is>
          <t>SÖDERMANLANDS LÄN</t>
        </is>
      </c>
      <c r="G564" t="inlineStr">
        <is>
          <t>NYKÖPING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8299-2024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45350</v>
      </c>
      <c r="E565" s="1" t="n">
        <v>46237</v>
      </c>
      <c r="F565" t="inlineStr">
        <is>
          <t>SÖDERMANLANDS LÄN</t>
        </is>
      </c>
      <c r="G565" t="inlineStr">
        <is>
          <t>NYKÖPING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18478-2025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46237</v>
      </c>
      <c r="F566" t="inlineStr">
        <is>
          <t>SÖDERMANLANDS LÄN</t>
        </is>
      </c>
      <c r="G566" t="inlineStr">
        <is>
          <t>NYKÖPING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45855</v>
      </c>
      <c r="E567" s="1" t="n">
        <v>46237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69244-2021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44530</v>
      </c>
      <c r="E568" s="1" t="n">
        <v>46237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45132</v>
      </c>
      <c r="E569" s="1" t="n">
        <v>46237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60512-2021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44496</v>
      </c>
      <c r="E570" s="1" t="n">
        <v>46237</v>
      </c>
      <c r="F570" t="inlineStr">
        <is>
          <t>SÖDERMANLANDS LÄN</t>
        </is>
      </c>
      <c r="G570" t="inlineStr">
        <is>
          <t>NYKÖPING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36000-2023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45148</v>
      </c>
      <c r="E571" s="1" t="n">
        <v>46237</v>
      </c>
      <c r="F571" t="inlineStr">
        <is>
          <t>SÖDERMANLANDS LÄN</t>
        </is>
      </c>
      <c r="G571" t="inlineStr">
        <is>
          <t>NYKÖPING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10435-2022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44623</v>
      </c>
      <c r="E572" s="1" t="n">
        <v>46237</v>
      </c>
      <c r="F572" t="inlineStr">
        <is>
          <t>SÖDERMANLANDS LÄN</t>
        </is>
      </c>
      <c r="G572" t="inlineStr">
        <is>
          <t>NYKÖPING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27894-2023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45098</v>
      </c>
      <c r="E573" s="1" t="n">
        <v>46237</v>
      </c>
      <c r="F573" t="inlineStr">
        <is>
          <t>SÖDERMANLANDS LÄN</t>
        </is>
      </c>
      <c r="G573" t="inlineStr">
        <is>
          <t>NYKÖPING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46237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Holmen skog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32875-2022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44784</v>
      </c>
      <c r="E575" s="1" t="n">
        <v>46237</v>
      </c>
      <c r="F575" t="inlineStr">
        <is>
          <t>SÖDERMANLANDS LÄN</t>
        </is>
      </c>
      <c r="G575" t="inlineStr">
        <is>
          <t>NYKÖPING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46098</v>
      </c>
      <c r="E576" s="1" t="n">
        <v>46237</v>
      </c>
      <c r="F576" t="inlineStr">
        <is>
          <t>SÖDERMANLANDS LÄN</t>
        </is>
      </c>
      <c r="G576" t="inlineStr">
        <is>
          <t>NYKÖPING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46237</v>
      </c>
      <c r="F577" t="inlineStr">
        <is>
          <t>SÖDERMANLANDS LÄN</t>
        </is>
      </c>
      <c r="G577" t="inlineStr">
        <is>
          <t>NYKÖPING</t>
        </is>
      </c>
      <c r="I577" t="n">
        <v>10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44579</v>
      </c>
      <c r="E578" s="1" t="n">
        <v>46237</v>
      </c>
      <c r="F578" t="inlineStr">
        <is>
          <t>SÖDERMANLANDS LÄN</t>
        </is>
      </c>
      <c r="G578" t="inlineStr">
        <is>
          <t>NYKÖPING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2223-2026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46237</v>
      </c>
      <c r="F579" t="inlineStr">
        <is>
          <t>SÖDERMANLANDS LÄN</t>
        </is>
      </c>
      <c r="G579" t="inlineStr">
        <is>
          <t>NYKÖPING</t>
        </is>
      </c>
      <c r="I579" t="n">
        <v>11.7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45335</v>
      </c>
      <c r="E580" s="1" t="n">
        <v>46237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64081-2023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45279</v>
      </c>
      <c r="E581" s="1" t="n">
        <v>46237</v>
      </c>
      <c r="F581" t="inlineStr">
        <is>
          <t>SÖDERMANLANDS LÄN</t>
        </is>
      </c>
      <c r="G581" t="inlineStr">
        <is>
          <t>NYKÖPING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46237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45419</v>
      </c>
      <c r="E583" s="1" t="n">
        <v>46237</v>
      </c>
      <c r="F583" t="inlineStr">
        <is>
          <t>SÖDERMANLANDS LÄN</t>
        </is>
      </c>
      <c r="G583" t="inlineStr">
        <is>
          <t>NYKÖPING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17900-2024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45419</v>
      </c>
      <c r="E584" s="1" t="n">
        <v>46237</v>
      </c>
      <c r="F584" t="inlineStr">
        <is>
          <t>SÖDERMANLANDS LÄN</t>
        </is>
      </c>
      <c r="G584" t="inlineStr">
        <is>
          <t>NYKÖPING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45159</v>
      </c>
      <c r="E585" s="1" t="n">
        <v>46237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Kommuner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25334-2026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46176</v>
      </c>
      <c r="E586" s="1" t="n">
        <v>46237</v>
      </c>
      <c r="F586" t="inlineStr">
        <is>
          <t>SÖDERMANLANDS LÄN</t>
        </is>
      </c>
      <c r="G586" t="inlineStr">
        <is>
          <t>NYKÖPING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46036</v>
      </c>
      <c r="E587" s="1" t="n">
        <v>46237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25336-2026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46176</v>
      </c>
      <c r="E588" s="1" t="n">
        <v>46237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73877-2021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44553</v>
      </c>
      <c r="E589" s="1" t="n">
        <v>46237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9167-2023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44980</v>
      </c>
      <c r="E590" s="1" t="n">
        <v>46237</v>
      </c>
      <c r="F590" t="inlineStr">
        <is>
          <t>SÖDERMANLANDS LÄN</t>
        </is>
      </c>
      <c r="G590" t="inlineStr">
        <is>
          <t>NYKÖPING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44995</v>
      </c>
      <c r="E591" s="1" t="n">
        <v>46237</v>
      </c>
      <c r="F591" t="inlineStr">
        <is>
          <t>SÖDERMANLANDS LÄN</t>
        </is>
      </c>
      <c r="G591" t="inlineStr">
        <is>
          <t>NYKÖPING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46237</v>
      </c>
      <c r="F592" t="inlineStr">
        <is>
          <t>SÖDERMANLANDS LÄN</t>
        </is>
      </c>
      <c r="G592" t="inlineStr">
        <is>
          <t>NYKÖPING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9200-2023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44976</v>
      </c>
      <c r="E593" s="1" t="n">
        <v>46237</v>
      </c>
      <c r="F593" t="inlineStr">
        <is>
          <t>SÖDERMANLANDS LÄN</t>
        </is>
      </c>
      <c r="G593" t="inlineStr">
        <is>
          <t>NYKÖPING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46237</v>
      </c>
      <c r="F594" t="inlineStr">
        <is>
          <t>SÖDERMANLANDS LÄN</t>
        </is>
      </c>
      <c r="G594" t="inlineStr">
        <is>
          <t>NYKÖPING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44582</v>
      </c>
      <c r="E595" s="1" t="n">
        <v>46237</v>
      </c>
      <c r="F595" t="inlineStr">
        <is>
          <t>SÖDERMANLANDS LÄN</t>
        </is>
      </c>
      <c r="G595" t="inlineStr">
        <is>
          <t>NYKÖPING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46237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47138-2023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45201</v>
      </c>
      <c r="E597" s="1" t="n">
        <v>46237</v>
      </c>
      <c r="F597" t="inlineStr">
        <is>
          <t>SÖDERMANLANDS LÄN</t>
        </is>
      </c>
      <c r="G597" t="inlineStr">
        <is>
          <t>NYKÖPING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45029</v>
      </c>
      <c r="E598" s="1" t="n">
        <v>46237</v>
      </c>
      <c r="F598" t="inlineStr">
        <is>
          <t>SÖDERMANLANDS LÄN</t>
        </is>
      </c>
      <c r="G598" t="inlineStr">
        <is>
          <t>NYKÖPING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46041</v>
      </c>
      <c r="E599" s="1" t="n">
        <v>46237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2513-2022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44579</v>
      </c>
      <c r="E600" s="1" t="n">
        <v>46237</v>
      </c>
      <c r="F600" t="inlineStr">
        <is>
          <t>SÖDERMANLANDS LÄN</t>
        </is>
      </c>
      <c r="G600" t="inlineStr">
        <is>
          <t>NYKÖPING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67857-2021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44525</v>
      </c>
      <c r="E601" s="1" t="n">
        <v>46237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Sveaskog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17832-2024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45418</v>
      </c>
      <c r="E602" s="1" t="n">
        <v>46237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Kommuner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46237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1742-2023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46237</v>
      </c>
      <c r="F604" t="inlineStr">
        <is>
          <t>SÖDERMANLANDS LÄN</t>
        </is>
      </c>
      <c r="G604" t="inlineStr">
        <is>
          <t>NYKÖPING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10639-2025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45721</v>
      </c>
      <c r="E605" s="1" t="n">
        <v>46237</v>
      </c>
      <c r="F605" t="inlineStr">
        <is>
          <t>SÖDERMANLANDS LÄN</t>
        </is>
      </c>
      <c r="G605" t="inlineStr">
        <is>
          <t>NYKÖPING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46237</v>
      </c>
      <c r="F606" t="inlineStr">
        <is>
          <t>SÖDERMANLANDS LÄN</t>
        </is>
      </c>
      <c r="G606" t="inlineStr">
        <is>
          <t>NYKÖPING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36015-2023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45148</v>
      </c>
      <c r="E607" s="1" t="n">
        <v>46237</v>
      </c>
      <c r="F607" t="inlineStr">
        <is>
          <t>SÖDERMANLANDS LÄN</t>
        </is>
      </c>
      <c r="G607" t="inlineStr">
        <is>
          <t>NYKÖPING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46222</v>
      </c>
      <c r="E608" s="1" t="n">
        <v>46237</v>
      </c>
      <c r="F608" t="inlineStr">
        <is>
          <t>SÖDERMANLANDS LÄN</t>
        </is>
      </c>
      <c r="G608" t="inlineStr">
        <is>
          <t>NYKÖPING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72679-2021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44546</v>
      </c>
      <c r="E609" s="1" t="n">
        <v>46237</v>
      </c>
      <c r="F609" t="inlineStr">
        <is>
          <t>SÖDERMANLANDS LÄN</t>
        </is>
      </c>
      <c r="G609" t="inlineStr">
        <is>
          <t>NYKÖPING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45096</v>
      </c>
      <c r="E610" s="1" t="n">
        <v>46237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Övriga Aktiebolag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45630</v>
      </c>
      <c r="E611" s="1" t="n">
        <v>46237</v>
      </c>
      <c r="F611" t="inlineStr">
        <is>
          <t>SÖDERMANLANDS LÄN</t>
        </is>
      </c>
      <c r="G611" t="inlineStr">
        <is>
          <t>NYKÖPING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1638-2024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45306</v>
      </c>
      <c r="E612" s="1" t="n">
        <v>46237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Kommuner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46237</v>
      </c>
      <c r="F613" t="inlineStr">
        <is>
          <t>SÖDERMANLANDS LÄN</t>
        </is>
      </c>
      <c r="G613" t="inlineStr">
        <is>
          <t>NYKÖPING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5205-2026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46237</v>
      </c>
      <c r="F614" t="inlineStr">
        <is>
          <t>SÖDERMANLANDS LÄN</t>
        </is>
      </c>
      <c r="G614" t="inlineStr">
        <is>
          <t>NYKÖPING</t>
        </is>
      </c>
      <c r="I614" t="n">
        <v>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46237</v>
      </c>
      <c r="F615" t="inlineStr">
        <is>
          <t>SÖDERMANLANDS LÄN</t>
        </is>
      </c>
      <c r="G615" t="inlineStr">
        <is>
          <t>NYKÖPING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45452</v>
      </c>
      <c r="E616" s="1" t="n">
        <v>46237</v>
      </c>
      <c r="F616" t="inlineStr">
        <is>
          <t>SÖDERMANLANDS LÄN</t>
        </is>
      </c>
      <c r="G616" t="inlineStr">
        <is>
          <t>NYKÖPING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46237</v>
      </c>
      <c r="F617" t="inlineStr">
        <is>
          <t>SÖDERMANLANDS LÄN</t>
        </is>
      </c>
      <c r="G617" t="inlineStr">
        <is>
          <t>NYKÖPING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5198-2026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46049</v>
      </c>
      <c r="E618" s="1" t="n">
        <v>46237</v>
      </c>
      <c r="F618" t="inlineStr">
        <is>
          <t>SÖDERMANLANDS LÄN</t>
        </is>
      </c>
      <c r="G618" t="inlineStr">
        <is>
          <t>NYKÖPING</t>
        </is>
      </c>
      <c r="I618" t="n">
        <v>9.5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5206-2026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46049</v>
      </c>
      <c r="E619" s="1" t="n">
        <v>46237</v>
      </c>
      <c r="F619" t="inlineStr">
        <is>
          <t>SÖDERMANLANDS LÄN</t>
        </is>
      </c>
      <c r="G619" t="inlineStr">
        <is>
          <t>NYKÖPING</t>
        </is>
      </c>
      <c r="I619" t="n">
        <v>6.9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36163-2023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45149</v>
      </c>
      <c r="E620" s="1" t="n">
        <v>46237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Kommuner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41241-2023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45173</v>
      </c>
      <c r="E621" s="1" t="n">
        <v>46237</v>
      </c>
      <c r="F621" t="inlineStr">
        <is>
          <t>SÖDERMANLANDS LÄN</t>
        </is>
      </c>
      <c r="G621" t="inlineStr">
        <is>
          <t>NYKÖPING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70092-2021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44536</v>
      </c>
      <c r="E622" s="1" t="n">
        <v>46237</v>
      </c>
      <c r="F622" t="inlineStr">
        <is>
          <t>SÖDERMANLANDS LÄN</t>
        </is>
      </c>
      <c r="G622" t="inlineStr">
        <is>
          <t>NYKÖPING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19027-2026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46131</v>
      </c>
      <c r="E623" s="1" t="n">
        <v>46237</v>
      </c>
      <c r="F623" t="inlineStr">
        <is>
          <t>SÖDERMANLANDS LÄN</t>
        </is>
      </c>
      <c r="G623" t="inlineStr">
        <is>
          <t>NYKÖPING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33669-2023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45132</v>
      </c>
      <c r="E624" s="1" t="n">
        <v>46237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33670-2023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45132</v>
      </c>
      <c r="E625" s="1" t="n">
        <v>46237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44932</v>
      </c>
      <c r="E626" s="1" t="n">
        <v>46237</v>
      </c>
      <c r="F626" t="inlineStr">
        <is>
          <t>SÖDERMANLANDS LÄN</t>
        </is>
      </c>
      <c r="G626" t="inlineStr">
        <is>
          <t>NYKÖPING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44932</v>
      </c>
      <c r="E627" s="1" t="n">
        <v>46237</v>
      </c>
      <c r="F627" t="inlineStr">
        <is>
          <t>SÖDERMANLANDS LÄN</t>
        </is>
      </c>
      <c r="G627" t="inlineStr">
        <is>
          <t>NYKÖPING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46237</v>
      </c>
      <c r="F628" t="inlineStr">
        <is>
          <t>SÖDERMANLANDS LÄN</t>
        </is>
      </c>
      <c r="G628" t="inlineStr">
        <is>
          <t>NYKÖPING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46237</v>
      </c>
      <c r="F629" t="inlineStr">
        <is>
          <t>SÖDERMANLANDS LÄN</t>
        </is>
      </c>
      <c r="G629" t="inlineStr">
        <is>
          <t>NYKÖPING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35951-2023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45148</v>
      </c>
      <c r="E630" s="1" t="n">
        <v>46237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38472-2023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45162</v>
      </c>
      <c r="E631" s="1" t="n">
        <v>46237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Kommuner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38512-2023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45162</v>
      </c>
      <c r="E632" s="1" t="n">
        <v>46237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Kommuner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56322-2023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45243</v>
      </c>
      <c r="E633" s="1" t="n">
        <v>46237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Kommuner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46237</v>
      </c>
      <c r="F634" t="inlineStr">
        <is>
          <t>SÖDERMANLANDS LÄN</t>
        </is>
      </c>
      <c r="G634" t="inlineStr">
        <is>
          <t>NYKÖPING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46184</v>
      </c>
      <c r="E635" s="1" t="n">
        <v>46237</v>
      </c>
      <c r="F635" t="inlineStr">
        <is>
          <t>SÖDERMANLANDS LÄN</t>
        </is>
      </c>
      <c r="G635" t="inlineStr">
        <is>
          <t>NYKÖPING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44942</v>
      </c>
      <c r="E636" s="1" t="n">
        <v>46237</v>
      </c>
      <c r="F636" t="inlineStr">
        <is>
          <t>SÖDERMANLANDS LÄN</t>
        </is>
      </c>
      <c r="G636" t="inlineStr">
        <is>
          <t>NYKÖPING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2041-2022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44575</v>
      </c>
      <c r="E637" s="1" t="n">
        <v>46237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26224-2026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46182</v>
      </c>
      <c r="E638" s="1" t="n">
        <v>46237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Sveaskog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46237</v>
      </c>
      <c r="F639" t="inlineStr">
        <is>
          <t>SÖDERMANLANDS LÄN</t>
        </is>
      </c>
      <c r="G639" t="inlineStr">
        <is>
          <t>NYKÖPING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42525-2023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45181</v>
      </c>
      <c r="E640" s="1" t="n">
        <v>46237</v>
      </c>
      <c r="F640" t="inlineStr">
        <is>
          <t>SÖDERMANLANDS LÄN</t>
        </is>
      </c>
      <c r="G640" t="inlineStr">
        <is>
          <t>NYKÖPING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44581</v>
      </c>
      <c r="E641" s="1" t="n">
        <v>46237</v>
      </c>
      <c r="F641" t="inlineStr">
        <is>
          <t>SÖDERMANLANDS LÄN</t>
        </is>
      </c>
      <c r="G641" t="inlineStr">
        <is>
          <t>NYKÖPING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46185</v>
      </c>
      <c r="E642" s="1" t="n">
        <v>46237</v>
      </c>
      <c r="F642" t="inlineStr">
        <is>
          <t>SÖDERMANLANDS LÄN</t>
        </is>
      </c>
      <c r="G642" t="inlineStr">
        <is>
          <t>NYKÖPING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46237</v>
      </c>
      <c r="F643" t="inlineStr">
        <is>
          <t>SÖDERMANLANDS LÄN</t>
        </is>
      </c>
      <c r="G643" t="inlineStr">
        <is>
          <t>NYKÖPING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35469-2023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45146</v>
      </c>
      <c r="E644" s="1" t="n">
        <v>46237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26643-2026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46184</v>
      </c>
      <c r="E645" s="1" t="n">
        <v>46237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58653-2025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45986</v>
      </c>
      <c r="E646" s="1" t="n">
        <v>46237</v>
      </c>
      <c r="F646" t="inlineStr">
        <is>
          <t>SÖDERMANLANDS LÄN</t>
        </is>
      </c>
      <c r="G646" t="inlineStr">
        <is>
          <t>NYKÖPING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58650-2025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45986</v>
      </c>
      <c r="E647" s="1" t="n">
        <v>46237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38034-2023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45160</v>
      </c>
      <c r="E648" s="1" t="n">
        <v>46237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Kommuner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11908-2023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44995</v>
      </c>
      <c r="E649" s="1" t="n">
        <v>46237</v>
      </c>
      <c r="F649" t="inlineStr">
        <is>
          <t>SÖDERMANLANDS LÄN</t>
        </is>
      </c>
      <c r="G649" t="inlineStr">
        <is>
          <t>NYKÖPING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65109-2021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44515</v>
      </c>
      <c r="E650" s="1" t="n">
        <v>46237</v>
      </c>
      <c r="F650" t="inlineStr">
        <is>
          <t>SÖDERMANLANDS LÄN</t>
        </is>
      </c>
      <c r="G650" t="inlineStr">
        <is>
          <t>NYKÖPING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41288-2023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46237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10616-2025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45721</v>
      </c>
      <c r="E652" s="1" t="n">
        <v>46237</v>
      </c>
      <c r="F652" t="inlineStr">
        <is>
          <t>SÖDERMANLANDS LÄN</t>
        </is>
      </c>
      <c r="G652" t="inlineStr">
        <is>
          <t>NYKÖPING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31760-2026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46228</v>
      </c>
      <c r="E653" s="1" t="n">
        <v>46237</v>
      </c>
      <c r="F653" t="inlineStr">
        <is>
          <t>SÖDERMANLANDS LÄN</t>
        </is>
      </c>
      <c r="G653" t="inlineStr">
        <is>
          <t>NYKÖPING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4885-2024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45329</v>
      </c>
      <c r="E654" s="1" t="n">
        <v>46237</v>
      </c>
      <c r="F654" t="inlineStr">
        <is>
          <t>SÖDERMANLANDS LÄN</t>
        </is>
      </c>
      <c r="G654" t="inlineStr">
        <is>
          <t>NYKÖPING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45329</v>
      </c>
      <c r="E655" s="1" t="n">
        <v>46237</v>
      </c>
      <c r="F655" t="inlineStr">
        <is>
          <t>SÖDERMANLANDS LÄN</t>
        </is>
      </c>
      <c r="G655" t="inlineStr">
        <is>
          <t>NYKÖPING</t>
        </is>
      </c>
      <c r="I655" t="n">
        <v>17.8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58676-2025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45986</v>
      </c>
      <c r="E656" s="1" t="n">
        <v>46237</v>
      </c>
      <c r="F656" t="inlineStr">
        <is>
          <t>SÖDERMANLANDS LÄN</t>
        </is>
      </c>
      <c r="G656" t="inlineStr">
        <is>
          <t>NYKÖPING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46232</v>
      </c>
      <c r="E657" s="1" t="n">
        <v>46237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12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44585</v>
      </c>
      <c r="E658" s="1" t="n">
        <v>46237</v>
      </c>
      <c r="F658" t="inlineStr">
        <is>
          <t>SÖDERMANLANDS LÄN</t>
        </is>
      </c>
      <c r="G658" t="inlineStr">
        <is>
          <t>NYKÖPING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33126-2023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46237</v>
      </c>
      <c r="F659" t="inlineStr">
        <is>
          <t>SÖDERMANLANDS LÄN</t>
        </is>
      </c>
      <c r="G659" t="inlineStr">
        <is>
          <t>NYKÖPING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13863-2022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44649</v>
      </c>
      <c r="E660" s="1" t="n">
        <v>46237</v>
      </c>
      <c r="F660" t="inlineStr">
        <is>
          <t>SÖDERMANLANDS LÄN</t>
        </is>
      </c>
      <c r="G660" t="inlineStr">
        <is>
          <t>NYKÖPING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31392-2022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44774</v>
      </c>
      <c r="E661" s="1" t="n">
        <v>46237</v>
      </c>
      <c r="F661" t="inlineStr">
        <is>
          <t>SÖDERMANLANDS LÄN</t>
        </is>
      </c>
      <c r="G661" t="inlineStr">
        <is>
          <t>NYKÖPING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9453-2026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46237</v>
      </c>
      <c r="F662" t="inlineStr">
        <is>
          <t>SÖDERMANLANDS LÄN</t>
        </is>
      </c>
      <c r="G662" t="inlineStr">
        <is>
          <t>NYKÖPING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42251-2022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44830</v>
      </c>
      <c r="E663" s="1" t="n">
        <v>46237</v>
      </c>
      <c r="F663" t="inlineStr">
        <is>
          <t>SÖDERMANLANDS LÄN</t>
        </is>
      </c>
      <c r="G663" t="inlineStr">
        <is>
          <t>NYKÖPING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40635-2023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45170</v>
      </c>
      <c r="E664" s="1" t="n">
        <v>46237</v>
      </c>
      <c r="F664" t="inlineStr">
        <is>
          <t>SÖDERMANLANDS LÄN</t>
        </is>
      </c>
      <c r="G664" t="inlineStr">
        <is>
          <t>NYKÖPING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9434-2026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46071</v>
      </c>
      <c r="E665" s="1" t="n">
        <v>46237</v>
      </c>
      <c r="F665" t="inlineStr">
        <is>
          <t>SÖDERMANLANDS LÄN</t>
        </is>
      </c>
      <c r="G665" t="inlineStr">
        <is>
          <t>NYKÖPING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46071</v>
      </c>
      <c r="E666" s="1" t="n">
        <v>46237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32120-2026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46234</v>
      </c>
      <c r="E667" s="1" t="n">
        <v>46237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51241-2024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45603</v>
      </c>
      <c r="E668" s="1" t="n">
        <v>46237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7253-2022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44606</v>
      </c>
      <c r="E669" s="1" t="n">
        <v>46237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Allmännings- och besparingsskogar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44965</v>
      </c>
      <c r="E670" s="1" t="n">
        <v>46237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Kyrkan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10689-2023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44988</v>
      </c>
      <c r="E671" s="1" t="n">
        <v>46237</v>
      </c>
      <c r="F671" t="inlineStr">
        <is>
          <t>SÖDERMANLANDS LÄN</t>
        </is>
      </c>
      <c r="G671" t="inlineStr">
        <is>
          <t>NYKÖPING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52551-2023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46237</v>
      </c>
      <c r="F672" t="inlineStr">
        <is>
          <t>SÖDERMANLANDS LÄN</t>
        </is>
      </c>
      <c r="G672" t="inlineStr">
        <is>
          <t>NYKÖPING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37361-2024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45540</v>
      </c>
      <c r="E673" s="1" t="n">
        <v>46237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44820-2022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44839</v>
      </c>
      <c r="E674" s="1" t="n">
        <v>46237</v>
      </c>
      <c r="F674" t="inlineStr">
        <is>
          <t>SÖDERMANLANDS LÄN</t>
        </is>
      </c>
      <c r="G674" t="inlineStr">
        <is>
          <t>NYKÖPING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44908-2022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44840</v>
      </c>
      <c r="E675" s="1" t="n">
        <v>46237</v>
      </c>
      <c r="F675" t="inlineStr">
        <is>
          <t>SÖDERMANLANDS LÄN</t>
        </is>
      </c>
      <c r="G675" t="inlineStr">
        <is>
          <t>NYKÖPING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58493-2025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46237</v>
      </c>
      <c r="F676" t="inlineStr">
        <is>
          <t>SÖDERMANLANDS LÄN</t>
        </is>
      </c>
      <c r="G676" t="inlineStr">
        <is>
          <t>NYKÖPING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39149-2023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45166</v>
      </c>
      <c r="E677" s="1" t="n">
        <v>46237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12139-2025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45729</v>
      </c>
      <c r="E678" s="1" t="n">
        <v>46237</v>
      </c>
      <c r="F678" t="inlineStr">
        <is>
          <t>SÖDERMANLANDS LÄN</t>
        </is>
      </c>
      <c r="G678" t="inlineStr">
        <is>
          <t>NYKÖPING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12140-2025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45729</v>
      </c>
      <c r="E679" s="1" t="n">
        <v>46237</v>
      </c>
      <c r="F679" t="inlineStr">
        <is>
          <t>SÖDERMANLANDS LÄN</t>
        </is>
      </c>
      <c r="G679" t="inlineStr">
        <is>
          <t>NYKÖPING</t>
        </is>
      </c>
      <c r="I679" t="n">
        <v>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62432-2023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45268</v>
      </c>
      <c r="E680" s="1" t="n">
        <v>46237</v>
      </c>
      <c r="F680" t="inlineStr">
        <is>
          <t>SÖDERMANLANDS LÄN</t>
        </is>
      </c>
      <c r="G680" t="inlineStr">
        <is>
          <t>NYKÖPING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45350</v>
      </c>
      <c r="E681" s="1" t="n">
        <v>46237</v>
      </c>
      <c r="F681" t="inlineStr">
        <is>
          <t>SÖDERMANLANDS LÄN</t>
        </is>
      </c>
      <c r="G681" t="inlineStr">
        <is>
          <t>NYKÖPING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36714-2023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45153</v>
      </c>
      <c r="E682" s="1" t="n">
        <v>46237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Kommuner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14370-2022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44652</v>
      </c>
      <c r="E683" s="1" t="n">
        <v>46237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65174-2023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45288</v>
      </c>
      <c r="E684" s="1" t="n">
        <v>46237</v>
      </c>
      <c r="F684" t="inlineStr">
        <is>
          <t>SÖDERMANLANDS LÄN</t>
        </is>
      </c>
      <c r="G684" t="inlineStr">
        <is>
          <t>NYKÖPING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18918-2023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45044</v>
      </c>
      <c r="E685" s="1" t="n">
        <v>46237</v>
      </c>
      <c r="F685" t="inlineStr">
        <is>
          <t>SÖDERMANLANDS LÄN</t>
        </is>
      </c>
      <c r="G685" t="inlineStr">
        <is>
          <t>NYKÖPING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18926-2023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45044</v>
      </c>
      <c r="E686" s="1" t="n">
        <v>46237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12538-2025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45730</v>
      </c>
      <c r="E687" s="1" t="n">
        <v>46237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68500-2021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44529</v>
      </c>
      <c r="E688" s="1" t="n">
        <v>46237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13.1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39429-2021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44414</v>
      </c>
      <c r="E689" s="1" t="n">
        <v>46237</v>
      </c>
      <c r="F689" t="inlineStr">
        <is>
          <t>SÖDERMANLANDS LÄN</t>
        </is>
      </c>
      <c r="G689" t="inlineStr">
        <is>
          <t>NYKÖPING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42856-2021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44430</v>
      </c>
      <c r="E690" s="1" t="n">
        <v>46237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12826-2024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45384</v>
      </c>
      <c r="E691" s="1" t="n">
        <v>46237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11728-2022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44634</v>
      </c>
      <c r="E692" s="1" t="n">
        <v>46237</v>
      </c>
      <c r="F692" t="inlineStr">
        <is>
          <t>SÖDERMANLANDS LÄN</t>
        </is>
      </c>
      <c r="G692" t="inlineStr">
        <is>
          <t>NYKÖPING</t>
        </is>
      </c>
      <c r="I692" t="n">
        <v>11.4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21062-2023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45061</v>
      </c>
      <c r="E693" s="1" t="n">
        <v>46237</v>
      </c>
      <c r="F693" t="inlineStr">
        <is>
          <t>SÖDERMANLANDS LÄN</t>
        </is>
      </c>
      <c r="G693" t="inlineStr">
        <is>
          <t>NYKÖPING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43880-2023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45187</v>
      </c>
      <c r="E694" s="1" t="n">
        <v>46237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13254-2026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46237</v>
      </c>
      <c r="F695" t="inlineStr">
        <is>
          <t>SÖDERMANLANDS LÄN</t>
        </is>
      </c>
      <c r="G695" t="inlineStr">
        <is>
          <t>NYKÖPING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46237</v>
      </c>
      <c r="F696" t="inlineStr">
        <is>
          <t>SÖDERMANLANDS LÄN</t>
        </is>
      </c>
      <c r="G696" t="inlineStr">
        <is>
          <t>NYKÖPING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29551-2023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45106</v>
      </c>
      <c r="E697" s="1" t="n">
        <v>46237</v>
      </c>
      <c r="F697" t="inlineStr">
        <is>
          <t>SÖDERMANLANDS LÄN</t>
        </is>
      </c>
      <c r="G697" t="inlineStr">
        <is>
          <t>NYKÖPING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2598-2025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45674</v>
      </c>
      <c r="E698" s="1" t="n">
        <v>46237</v>
      </c>
      <c r="F698" t="inlineStr">
        <is>
          <t>SÖDERMANLANDS LÄN</t>
        </is>
      </c>
      <c r="G698" t="inlineStr">
        <is>
          <t>NYKÖPING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1558-2024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45306</v>
      </c>
      <c r="E699" s="1" t="n">
        <v>46237</v>
      </c>
      <c r="F699" t="inlineStr">
        <is>
          <t>SÖDERMANLANDS LÄN</t>
        </is>
      </c>
      <c r="G699" t="inlineStr">
        <is>
          <t>NYKÖPING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51259-2024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45603</v>
      </c>
      <c r="E700" s="1" t="n">
        <v>46237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Sveaskog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38745-2023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45161</v>
      </c>
      <c r="E701" s="1" t="n">
        <v>46237</v>
      </c>
      <c r="F701" t="inlineStr">
        <is>
          <t>SÖDERMANLANDS LÄN</t>
        </is>
      </c>
      <c r="G701" t="inlineStr">
        <is>
          <t>NYKÖPING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35458-2023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45146</v>
      </c>
      <c r="E702" s="1" t="n">
        <v>46237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46100</v>
      </c>
      <c r="E703" s="1" t="n">
        <v>46237</v>
      </c>
      <c r="F703" t="inlineStr">
        <is>
          <t>SÖDERMANLANDS LÄN</t>
        </is>
      </c>
      <c r="G703" t="inlineStr">
        <is>
          <t>NYKÖPING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14363-2026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46237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21984-2024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45443</v>
      </c>
      <c r="E705" s="1" t="n">
        <v>46237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46237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18525-2024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45424</v>
      </c>
      <c r="E707" s="1" t="n">
        <v>46237</v>
      </c>
      <c r="F707" t="inlineStr">
        <is>
          <t>SÖDERMANLANDS LÄN</t>
        </is>
      </c>
      <c r="G707" t="inlineStr">
        <is>
          <t>NYKÖPING</t>
        </is>
      </c>
      <c r="I707" t="n">
        <v>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3571-2023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44950</v>
      </c>
      <c r="E708" s="1" t="n">
        <v>46237</v>
      </c>
      <c r="F708" t="inlineStr">
        <is>
          <t>SÖDERMANLANDS LÄN</t>
        </is>
      </c>
      <c r="G708" t="inlineStr">
        <is>
          <t>NYKÖPING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39356-2023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45166</v>
      </c>
      <c r="E709" s="1" t="n">
        <v>46237</v>
      </c>
      <c r="F709" t="inlineStr">
        <is>
          <t>SÖDERMANLANDS LÄN</t>
        </is>
      </c>
      <c r="G709" t="inlineStr">
        <is>
          <t>NYKÖPING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8324-2024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45350</v>
      </c>
      <c r="E710" s="1" t="n">
        <v>46237</v>
      </c>
      <c r="F710" t="inlineStr">
        <is>
          <t>SÖDERMANLANDS LÄN</t>
        </is>
      </c>
      <c r="G710" t="inlineStr">
        <is>
          <t>NYKÖPING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21925-2022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44711</v>
      </c>
      <c r="E711" s="1" t="n">
        <v>46237</v>
      </c>
      <c r="F711" t="inlineStr">
        <is>
          <t>SÖDERMANLANDS LÄN</t>
        </is>
      </c>
      <c r="G711" t="inlineStr">
        <is>
          <t>NYKÖPING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13858-2022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44649</v>
      </c>
      <c r="E712" s="1" t="n">
        <v>46237</v>
      </c>
      <c r="F712" t="inlineStr">
        <is>
          <t>SÖDERMANLANDS LÄN</t>
        </is>
      </c>
      <c r="G712" t="inlineStr">
        <is>
          <t>NYKÖPING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37907-2022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44811</v>
      </c>
      <c r="E713" s="1" t="n">
        <v>46237</v>
      </c>
      <c r="F713" t="inlineStr">
        <is>
          <t>SÖDERMANLANDS LÄN</t>
        </is>
      </c>
      <c r="G713" t="inlineStr">
        <is>
          <t>NYKÖPING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37911-2022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44810</v>
      </c>
      <c r="E714" s="1" t="n">
        <v>46237</v>
      </c>
      <c r="F714" t="inlineStr">
        <is>
          <t>SÖDERMANLANDS LÄN</t>
        </is>
      </c>
      <c r="G714" t="inlineStr">
        <is>
          <t>NYKÖPING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43952-2022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44838</v>
      </c>
      <c r="E715" s="1" t="n">
        <v>46237</v>
      </c>
      <c r="F715" t="inlineStr">
        <is>
          <t>SÖDERMANLANDS LÄN</t>
        </is>
      </c>
      <c r="G715" t="inlineStr">
        <is>
          <t>NYKÖPING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44191-2022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44839</v>
      </c>
      <c r="E716" s="1" t="n">
        <v>46237</v>
      </c>
      <c r="F716" t="inlineStr">
        <is>
          <t>SÖDERMANLANDS LÄN</t>
        </is>
      </c>
      <c r="G716" t="inlineStr">
        <is>
          <t>NYKÖPING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45315</v>
      </c>
      <c r="E717" s="1" t="n">
        <v>46237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Kyrkan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24798-2022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44728</v>
      </c>
      <c r="E718" s="1" t="n">
        <v>46237</v>
      </c>
      <c r="F718" t="inlineStr">
        <is>
          <t>SÖDERMANLANDS LÄN</t>
        </is>
      </c>
      <c r="G718" t="inlineStr">
        <is>
          <t>NYKÖPING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45166</v>
      </c>
      <c r="E719" s="1" t="n">
        <v>46237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45685</v>
      </c>
      <c r="E720" s="1" t="n">
        <v>46237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46022-2025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45924</v>
      </c>
      <c r="E721" s="1" t="n">
        <v>46237</v>
      </c>
      <c r="F721" t="inlineStr">
        <is>
          <t>SÖDERMANLANDS LÄN</t>
        </is>
      </c>
      <c r="G721" t="inlineStr">
        <is>
          <t>NYKÖPING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17074-2026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46114</v>
      </c>
      <c r="E722" s="1" t="n">
        <v>46237</v>
      </c>
      <c r="F722" t="inlineStr">
        <is>
          <t>SÖDERMANLANDS LÄN</t>
        </is>
      </c>
      <c r="G722" t="inlineStr">
        <is>
          <t>NYKÖPING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45190</v>
      </c>
      <c r="E723" s="1" t="n">
        <v>46237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4182-2025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45685</v>
      </c>
      <c r="E724" s="1" t="n">
        <v>46237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44968</v>
      </c>
      <c r="E725" s="1" t="n">
        <v>46237</v>
      </c>
      <c r="F725" t="inlineStr">
        <is>
          <t>SÖDERMANLANDS LÄN</t>
        </is>
      </c>
      <c r="G725" t="inlineStr">
        <is>
          <t>NYKÖPING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24280-2022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44725</v>
      </c>
      <c r="E726" s="1" t="n">
        <v>46237</v>
      </c>
      <c r="F726" t="inlineStr">
        <is>
          <t>SÖDERMANLANDS LÄN</t>
        </is>
      </c>
      <c r="G726" t="inlineStr">
        <is>
          <t>NYKÖPING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20482-2025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46237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31424-2022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44774</v>
      </c>
      <c r="E728" s="1" t="n">
        <v>46237</v>
      </c>
      <c r="F728" t="inlineStr">
        <is>
          <t>SÖDERMANLANDS LÄN</t>
        </is>
      </c>
      <c r="G728" t="inlineStr">
        <is>
          <t>NYKÖPING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46737-2025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45926</v>
      </c>
      <c r="E729" s="1" t="n">
        <v>46237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9.4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47370-2022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44853</v>
      </c>
      <c r="E730" s="1" t="n">
        <v>46237</v>
      </c>
      <c r="F730" t="inlineStr">
        <is>
          <t>SÖDERMANLANDS LÄN</t>
        </is>
      </c>
      <c r="G730" t="inlineStr">
        <is>
          <t>NYKÖPING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46237</v>
      </c>
      <c r="F731" t="inlineStr">
        <is>
          <t>SÖDERMANLANDS LÄN</t>
        </is>
      </c>
      <c r="G731" t="inlineStr">
        <is>
          <t>NYKÖPING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18080-2026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46125</v>
      </c>
      <c r="E732" s="1" t="n">
        <v>46237</v>
      </c>
      <c r="F732" t="inlineStr">
        <is>
          <t>SÖDERMANLANDS LÄN</t>
        </is>
      </c>
      <c r="G732" t="inlineStr">
        <is>
          <t>NYKÖPING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13455-2022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44645</v>
      </c>
      <c r="E733" s="1" t="n">
        <v>46237</v>
      </c>
      <c r="F733" t="inlineStr">
        <is>
          <t>SÖDERMANLANDS LÄN</t>
        </is>
      </c>
      <c r="G733" t="inlineStr">
        <is>
          <t>NYKÖPING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49223-2022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44858</v>
      </c>
      <c r="E734" s="1" t="n">
        <v>46237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statliga verk och myndigheter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51699-2023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45222</v>
      </c>
      <c r="E735" s="1" t="n">
        <v>46237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24829-2024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45461</v>
      </c>
      <c r="E736" s="1" t="n">
        <v>46237</v>
      </c>
      <c r="F736" t="inlineStr">
        <is>
          <t>SÖDERMANLANDS LÄN</t>
        </is>
      </c>
      <c r="G736" t="inlineStr">
        <is>
          <t>NYKÖPING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35532-2022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44799</v>
      </c>
      <c r="E737" s="1" t="n">
        <v>46237</v>
      </c>
      <c r="F737" t="inlineStr">
        <is>
          <t>SÖDERMANLANDS LÄN</t>
        </is>
      </c>
      <c r="G737" t="inlineStr">
        <is>
          <t>NYKÖPING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7428-2025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45705</v>
      </c>
      <c r="E738" s="1" t="n">
        <v>46237</v>
      </c>
      <c r="F738" t="inlineStr">
        <is>
          <t>SÖDERMANLANDS LÄN</t>
        </is>
      </c>
      <c r="G738" t="inlineStr">
        <is>
          <t>NYKÖPING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8787-2025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45712</v>
      </c>
      <c r="E739" s="1" t="n">
        <v>46237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24197-2022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44725</v>
      </c>
      <c r="E740" s="1" t="n">
        <v>46237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65231-2023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45289</v>
      </c>
      <c r="E741" s="1" t="n">
        <v>46237</v>
      </c>
      <c r="F741" t="inlineStr">
        <is>
          <t>SÖDERMANLANDS LÄN</t>
        </is>
      </c>
      <c r="G741" t="inlineStr">
        <is>
          <t>NYKÖPING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35252-2022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44798</v>
      </c>
      <c r="E742" s="1" t="n">
        <v>46237</v>
      </c>
      <c r="F742" t="inlineStr">
        <is>
          <t>SÖDERMANLANDS LÄN</t>
        </is>
      </c>
      <c r="G742" t="inlineStr">
        <is>
          <t>NYKÖPING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30907-2022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44767</v>
      </c>
      <c r="E743" s="1" t="n">
        <v>46237</v>
      </c>
      <c r="F743" t="inlineStr">
        <is>
          <t>SÖDERMANLANDS LÄN</t>
        </is>
      </c>
      <c r="G743" t="inlineStr">
        <is>
          <t>NYKÖPING</t>
        </is>
      </c>
      <c r="I743" t="n">
        <v>9.1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45926-2022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44846</v>
      </c>
      <c r="E744" s="1" t="n">
        <v>46237</v>
      </c>
      <c r="F744" t="inlineStr">
        <is>
          <t>SÖDERMANLANDS LÄN</t>
        </is>
      </c>
      <c r="G744" t="inlineStr">
        <is>
          <t>NYKÖPING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7756-2024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45348</v>
      </c>
      <c r="E745" s="1" t="n">
        <v>46237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45635</v>
      </c>
      <c r="E746" s="1" t="n">
        <v>46237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7824-2024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45349</v>
      </c>
      <c r="E747" s="1" t="n">
        <v>46237</v>
      </c>
      <c r="F747" t="inlineStr">
        <is>
          <t>SÖDERMANLANDS LÄN</t>
        </is>
      </c>
      <c r="G747" t="inlineStr">
        <is>
          <t>NYKÖPING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7496-2022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44607</v>
      </c>
      <c r="E748" s="1" t="n">
        <v>46237</v>
      </c>
      <c r="F748" t="inlineStr">
        <is>
          <t>SÖDERMANLANDS LÄN</t>
        </is>
      </c>
      <c r="G748" t="inlineStr">
        <is>
          <t>NYKÖPING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58654-2025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46237</v>
      </c>
      <c r="F749" t="inlineStr">
        <is>
          <t>SÖDERMANLANDS LÄN</t>
        </is>
      </c>
      <c r="G749" t="inlineStr">
        <is>
          <t>NYKÖPING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28644-2025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45819</v>
      </c>
      <c r="E750" s="1" t="n">
        <v>46237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37941-2022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44810</v>
      </c>
      <c r="E751" s="1" t="n">
        <v>46237</v>
      </c>
      <c r="F751" t="inlineStr">
        <is>
          <t>SÖDERMANLANDS LÄN</t>
        </is>
      </c>
      <c r="G751" t="inlineStr">
        <is>
          <t>NYKÖPING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41165-2024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45559</v>
      </c>
      <c r="E752" s="1" t="n">
        <v>46237</v>
      </c>
      <c r="F752" t="inlineStr">
        <is>
          <t>SÖDERMANLANDS LÄN</t>
        </is>
      </c>
      <c r="G752" t="inlineStr">
        <is>
          <t>NYKÖPING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19807-2026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46135</v>
      </c>
      <c r="E753" s="1" t="n">
        <v>46237</v>
      </c>
      <c r="F753" t="inlineStr">
        <is>
          <t>SÖDERMANLANDS LÄN</t>
        </is>
      </c>
      <c r="G753" t="inlineStr">
        <is>
          <t>NYKÖPING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54065-2025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45964</v>
      </c>
      <c r="E754" s="1" t="n">
        <v>46237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48459-2021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44452</v>
      </c>
      <c r="E755" s="1" t="n">
        <v>46237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34203-2024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45524</v>
      </c>
      <c r="E756" s="1" t="n">
        <v>46237</v>
      </c>
      <c r="F756" t="inlineStr">
        <is>
          <t>SÖDERMANLANDS LÄN</t>
        </is>
      </c>
      <c r="G756" t="inlineStr">
        <is>
          <t>NYKÖPING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41132-2024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45559</v>
      </c>
      <c r="E757" s="1" t="n">
        <v>46237</v>
      </c>
      <c r="F757" t="inlineStr">
        <is>
          <t>SÖDERMANLANDS LÄN</t>
        </is>
      </c>
      <c r="G757" t="inlineStr">
        <is>
          <t>NYKÖPING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47390-2025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45930</v>
      </c>
      <c r="E758" s="1" t="n">
        <v>46237</v>
      </c>
      <c r="F758" t="inlineStr">
        <is>
          <t>SÖDERMANLANDS LÄN</t>
        </is>
      </c>
      <c r="G758" t="inlineStr">
        <is>
          <t>NYKÖPING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8140-2023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44974</v>
      </c>
      <c r="E759" s="1" t="n">
        <v>46237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26561-2023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46237</v>
      </c>
      <c r="F760" t="inlineStr">
        <is>
          <t>SÖDERMANLANDS LÄN</t>
        </is>
      </c>
      <c r="G760" t="inlineStr">
        <is>
          <t>NYKÖPING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28664-2025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45819</v>
      </c>
      <c r="E761" s="1" t="n">
        <v>46237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29846-2025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45826</v>
      </c>
      <c r="E762" s="1" t="n">
        <v>46237</v>
      </c>
      <c r="F762" t="inlineStr">
        <is>
          <t>SÖDERMANLANDS LÄN</t>
        </is>
      </c>
      <c r="G762" t="inlineStr">
        <is>
          <t>NYKÖPING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41748-2021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44425</v>
      </c>
      <c r="E763" s="1" t="n">
        <v>46237</v>
      </c>
      <c r="F763" t="inlineStr">
        <is>
          <t>SÖDERMANLANDS LÄN</t>
        </is>
      </c>
      <c r="G763" t="inlineStr">
        <is>
          <t>NYKÖPING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44575</v>
      </c>
      <c r="E764" s="1" t="n">
        <v>46237</v>
      </c>
      <c r="F764" t="inlineStr">
        <is>
          <t>SÖDERMANLANDS LÄN</t>
        </is>
      </c>
      <c r="G764" t="inlineStr">
        <is>
          <t>NYKÖPING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7807-2025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46237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20179-2026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46139</v>
      </c>
      <c r="E766" s="1" t="n">
        <v>46237</v>
      </c>
      <c r="F766" t="inlineStr">
        <is>
          <t>SÖDERMANLANDS LÄN</t>
        </is>
      </c>
      <c r="G766" t="inlineStr">
        <is>
          <t>NYKÖPING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62948-2023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45271</v>
      </c>
      <c r="E767" s="1" t="n">
        <v>46237</v>
      </c>
      <c r="F767" t="inlineStr">
        <is>
          <t>SÖDERMANLANDS LÄN</t>
        </is>
      </c>
      <c r="G767" t="inlineStr">
        <is>
          <t>NYKÖPING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15047-2025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45743</v>
      </c>
      <c r="E768" s="1" t="n">
        <v>46237</v>
      </c>
      <c r="F768" t="inlineStr">
        <is>
          <t>SÖDERMANLANDS LÄN</t>
        </is>
      </c>
      <c r="G768" t="inlineStr">
        <is>
          <t>NYKÖPING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32594-2022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44783</v>
      </c>
      <c r="E769" s="1" t="n">
        <v>46237</v>
      </c>
      <c r="F769" t="inlineStr">
        <is>
          <t>SÖDERMANLANDS LÄN</t>
        </is>
      </c>
      <c r="G769" t="inlineStr">
        <is>
          <t>NYKÖPING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59148-2024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45637</v>
      </c>
      <c r="E770" s="1" t="n">
        <v>46237</v>
      </c>
      <c r="F770" t="inlineStr">
        <is>
          <t>SÖDERMANLANDS LÄN</t>
        </is>
      </c>
      <c r="G770" t="inlineStr">
        <is>
          <t>NYKÖPING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42977-2021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44430</v>
      </c>
      <c r="E771" s="1" t="n">
        <v>46237</v>
      </c>
      <c r="F771" t="inlineStr">
        <is>
          <t>SÖDERMANLANDS LÄN</t>
        </is>
      </c>
      <c r="G771" t="inlineStr">
        <is>
          <t>NYKÖPING</t>
        </is>
      </c>
      <c r="I771" t="n">
        <v>25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63882-2023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45278</v>
      </c>
      <c r="E772" s="1" t="n">
        <v>46237</v>
      </c>
      <c r="F772" t="inlineStr">
        <is>
          <t>SÖDERMANLANDS LÄN</t>
        </is>
      </c>
      <c r="G772" t="inlineStr">
        <is>
          <t>NYKÖPING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9913-2022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44620</v>
      </c>
      <c r="E773" s="1" t="n">
        <v>46237</v>
      </c>
      <c r="F773" t="inlineStr">
        <is>
          <t>SÖDERMANLANDS LÄN</t>
        </is>
      </c>
      <c r="G773" t="inlineStr">
        <is>
          <t>NYKÖPING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45301</v>
      </c>
      <c r="E774" s="1" t="n">
        <v>46237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Övriga Aktiebolag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57028-2024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46237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20131-2022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44698</v>
      </c>
      <c r="E776" s="1" t="n">
        <v>46237</v>
      </c>
      <c r="F776" t="inlineStr">
        <is>
          <t>SÖDERMANLANDS LÄN</t>
        </is>
      </c>
      <c r="G776" t="inlineStr">
        <is>
          <t>NYKÖPING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71555-2021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44540</v>
      </c>
      <c r="E777" s="1" t="n">
        <v>46237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6976-2023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44967</v>
      </c>
      <c r="E778" s="1" t="n">
        <v>46237</v>
      </c>
      <c r="F778" t="inlineStr">
        <is>
          <t>SÖDERMANLANDS LÄN</t>
        </is>
      </c>
      <c r="G778" t="inlineStr">
        <is>
          <t>NYKÖPING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53071-2024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45611</v>
      </c>
      <c r="E779" s="1" t="n">
        <v>46237</v>
      </c>
      <c r="F779" t="inlineStr">
        <is>
          <t>SÖDERMANLANDS LÄN</t>
        </is>
      </c>
      <c r="G779" t="inlineStr">
        <is>
          <t>NYKÖPING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42246-2022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44830</v>
      </c>
      <c r="E780" s="1" t="n">
        <v>46237</v>
      </c>
      <c r="F780" t="inlineStr">
        <is>
          <t>SÖDERMANLANDS LÄN</t>
        </is>
      </c>
      <c r="G780" t="inlineStr">
        <is>
          <t>NYKÖPING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34218-2024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45524</v>
      </c>
      <c r="E781" s="1" t="n">
        <v>46237</v>
      </c>
      <c r="F781" t="inlineStr">
        <is>
          <t>SÖDERMANLANDS LÄN</t>
        </is>
      </c>
      <c r="G781" t="inlineStr">
        <is>
          <t>NYKÖPING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55506-2021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44475</v>
      </c>
      <c r="E782" s="1" t="n">
        <v>46237</v>
      </c>
      <c r="F782" t="inlineStr">
        <is>
          <t>SÖDERMANLANDS LÄN</t>
        </is>
      </c>
      <c r="G782" t="inlineStr">
        <is>
          <t>NYKÖPING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4406-2024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45327</v>
      </c>
      <c r="E783" s="1" t="n">
        <v>46237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44960</v>
      </c>
      <c r="E784" s="1" t="n">
        <v>46237</v>
      </c>
      <c r="F784" t="inlineStr">
        <is>
          <t>SÖDERMANLANDS LÄN</t>
        </is>
      </c>
      <c r="G784" t="inlineStr">
        <is>
          <t>NYKÖPING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7223-2023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44970</v>
      </c>
      <c r="E785" s="1" t="n">
        <v>46237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Holmen skog AB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55865-2023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45239</v>
      </c>
      <c r="E786" s="1" t="n">
        <v>46237</v>
      </c>
      <c r="F786" t="inlineStr">
        <is>
          <t>SÖDERMANLANDS LÄN</t>
        </is>
      </c>
      <c r="G786" t="inlineStr">
        <is>
          <t>NYKÖPING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2059-2025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45672</v>
      </c>
      <c r="E787" s="1" t="n">
        <v>46237</v>
      </c>
      <c r="F787" t="inlineStr">
        <is>
          <t>SÖDERMANLANDS LÄN</t>
        </is>
      </c>
      <c r="G787" t="inlineStr">
        <is>
          <t>NYKÖPING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12844-2025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45733</v>
      </c>
      <c r="E788" s="1" t="n">
        <v>46237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Holmen skog AB</t>
        </is>
      </c>
      <c r="I788" t="n">
        <v>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27947-2025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45817</v>
      </c>
      <c r="E789" s="1" t="n">
        <v>46237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Holmen skog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27874-2025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45817</v>
      </c>
      <c r="E790" s="1" t="n">
        <v>46237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Holmen skog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27805-2025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45817</v>
      </c>
      <c r="E791" s="1" t="n">
        <v>46237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Holmen skog AB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28646-2025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46237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Sveaskog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15056-2025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45743</v>
      </c>
      <c r="E793" s="1" t="n">
        <v>46237</v>
      </c>
      <c r="F793" t="inlineStr">
        <is>
          <t>SÖDERMANLANDS LÄN</t>
        </is>
      </c>
      <c r="G793" t="inlineStr">
        <is>
          <t>NYKÖPING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30034-2025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45826</v>
      </c>
      <c r="E794" s="1" t="n">
        <v>46237</v>
      </c>
      <c r="F794" t="inlineStr">
        <is>
          <t>SÖDERMANLANDS LÄN</t>
        </is>
      </c>
      <c r="G794" t="inlineStr">
        <is>
          <t>NYKÖPING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31034-2025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45831</v>
      </c>
      <c r="E795" s="1" t="n">
        <v>46237</v>
      </c>
      <c r="F795" t="inlineStr">
        <is>
          <t>SÖDERMANLANDS LÄN</t>
        </is>
      </c>
      <c r="G795" t="inlineStr">
        <is>
          <t>NYKÖPING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30706-2025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46237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31923-2025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45834</v>
      </c>
      <c r="E797" s="1" t="n">
        <v>46237</v>
      </c>
      <c r="F797" t="inlineStr">
        <is>
          <t>SÖDERMANLANDS LÄN</t>
        </is>
      </c>
      <c r="G797" t="inlineStr">
        <is>
          <t>NYKÖPING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31929-2025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45834</v>
      </c>
      <c r="E798" s="1" t="n">
        <v>46237</v>
      </c>
      <c r="F798" t="inlineStr">
        <is>
          <t>SÖDERMANLANDS LÄN</t>
        </is>
      </c>
      <c r="G798" t="inlineStr">
        <is>
          <t>NYKÖPING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31922-2025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45834</v>
      </c>
      <c r="E799" s="1" t="n">
        <v>46237</v>
      </c>
      <c r="F799" t="inlineStr">
        <is>
          <t>SÖDERMANLANDS LÄN</t>
        </is>
      </c>
      <c r="G799" t="inlineStr">
        <is>
          <t>NYKÖPING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31928-2025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45834</v>
      </c>
      <c r="E800" s="1" t="n">
        <v>46237</v>
      </c>
      <c r="F800" t="inlineStr">
        <is>
          <t>SÖDERMANLANDS LÄN</t>
        </is>
      </c>
      <c r="G800" t="inlineStr">
        <is>
          <t>NYKÖPING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33767-2025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46237</v>
      </c>
      <c r="F801" t="inlineStr">
        <is>
          <t>SÖDERMANLANDS LÄN</t>
        </is>
      </c>
      <c r="G801" t="inlineStr">
        <is>
          <t>NYKÖPING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33773-2025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45842</v>
      </c>
      <c r="E802" s="1" t="n">
        <v>46237</v>
      </c>
      <c r="F802" t="inlineStr">
        <is>
          <t>SÖDERMANLANDS LÄN</t>
        </is>
      </c>
      <c r="G802" t="inlineStr">
        <is>
          <t>NYKÖPING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33382-2025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45841</v>
      </c>
      <c r="E803" s="1" t="n">
        <v>46237</v>
      </c>
      <c r="F803" t="inlineStr">
        <is>
          <t>SÖDERMANLANDS LÄN</t>
        </is>
      </c>
      <c r="G803" t="inlineStr">
        <is>
          <t>NYKÖPING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33762-2025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45842</v>
      </c>
      <c r="E804" s="1" t="n">
        <v>46237</v>
      </c>
      <c r="F804" t="inlineStr">
        <is>
          <t>SÖDERMANLANDS LÄN</t>
        </is>
      </c>
      <c r="G804" t="inlineStr">
        <is>
          <t>NYKÖPING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33764-2025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45842</v>
      </c>
      <c r="E805" s="1" t="n">
        <v>46237</v>
      </c>
      <c r="F805" t="inlineStr">
        <is>
          <t>SÖDERMANLANDS LÄN</t>
        </is>
      </c>
      <c r="G805" t="inlineStr">
        <is>
          <t>NYKÖPING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34012-2025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45844</v>
      </c>
      <c r="E806" s="1" t="n">
        <v>46237</v>
      </c>
      <c r="F806" t="inlineStr">
        <is>
          <t>SÖDERMANLANDS LÄN</t>
        </is>
      </c>
      <c r="G806" t="inlineStr">
        <is>
          <t>NYKÖPING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13763-2025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45737</v>
      </c>
      <c r="E807" s="1" t="n">
        <v>46237</v>
      </c>
      <c r="F807" t="inlineStr">
        <is>
          <t>SÖDERMANLANDS LÄN</t>
        </is>
      </c>
      <c r="G807" t="inlineStr">
        <is>
          <t>NYKÖPING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35732-2025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45860</v>
      </c>
      <c r="E808" s="1" t="n">
        <v>46237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2687-2023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44944</v>
      </c>
      <c r="E809" s="1" t="n">
        <v>46237</v>
      </c>
      <c r="F809" t="inlineStr">
        <is>
          <t>SÖDERMANLANDS LÄN</t>
        </is>
      </c>
      <c r="G809" t="inlineStr">
        <is>
          <t>NYKÖPING</t>
        </is>
      </c>
      <c r="I809" t="n">
        <v>14.9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1999-2020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44092</v>
      </c>
      <c r="E810" s="1" t="n">
        <v>46237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Kommuner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1573-2020</t>
        </is>
      </c>
      <c r="B811" t="inlineStr">
        <is>
          <t>samrådsanmälan</t>
        </is>
      </c>
      <c r="C811" t="inlineStr">
        <is>
          <t>Åtgärd i nyckelbiotop</t>
        </is>
      </c>
      <c r="D811" s="1" t="n">
        <v>44013</v>
      </c>
      <c r="E811" s="1" t="n">
        <v>46237</v>
      </c>
      <c r="F811" t="inlineStr">
        <is>
          <t>SÖDERMANLANDS LÄN</t>
        </is>
      </c>
      <c r="G811" t="inlineStr">
        <is>
          <t>NYKÖPING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2311-2022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44684</v>
      </c>
      <c r="E812" s="1" t="n">
        <v>46237</v>
      </c>
      <c r="F812" t="inlineStr">
        <is>
          <t>SÖDERMANLANDS LÄN</t>
        </is>
      </c>
      <c r="G812" t="inlineStr">
        <is>
          <t>NYKÖPING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3579-2022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44735</v>
      </c>
      <c r="E813" s="1" t="n">
        <v>46237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Sveaskog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3783-2023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45223</v>
      </c>
      <c r="E814" s="1" t="n">
        <v>46237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Sveaskog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220-2023</t>
        </is>
      </c>
      <c r="B815" t="inlineStr">
        <is>
          <t>samrådsanmälan</t>
        </is>
      </c>
      <c r="C815" t="inlineStr">
        <is>
          <t>Stubbskörd</t>
        </is>
      </c>
      <c r="D815" s="1" t="n">
        <v>44949</v>
      </c>
      <c r="E815" s="1" t="n">
        <v>46237</v>
      </c>
      <c r="F815" t="inlineStr">
        <is>
          <t>SÖDERMANLANDS LÄN</t>
        </is>
      </c>
      <c r="G815" t="inlineStr">
        <is>
          <t>NYKÖPING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1224-2023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45029</v>
      </c>
      <c r="E816" s="1" t="n">
        <v>46237</v>
      </c>
      <c r="F816" t="inlineStr">
        <is>
          <t>SÖDERMANLANDS LÄN</t>
        </is>
      </c>
      <c r="G816" t="inlineStr">
        <is>
          <t>NYKÖPING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633-2025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45714</v>
      </c>
      <c r="E817" s="1" t="n">
        <v>46237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Holmen skog AB</t>
        </is>
      </c>
      <c r="I817" t="n">
        <v>39.6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3071-2024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45517</v>
      </c>
      <c r="E818" s="1" t="n">
        <v>46237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2818-2025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45939</v>
      </c>
      <c r="E819" s="1" t="n">
        <v>46237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248-2026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46050</v>
      </c>
      <c r="E820" s="1" t="n">
        <v>46237</v>
      </c>
      <c r="F820" t="inlineStr">
        <is>
          <t>SÖDERMANLANDS LÄN</t>
        </is>
      </c>
      <c r="G820" t="inlineStr">
        <is>
          <t>NYKÖPING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641-2026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46090</v>
      </c>
      <c r="E821" s="1" t="n">
        <v>46237</v>
      </c>
      <c r="F821" t="inlineStr">
        <is>
          <t>SÖDERMANLANDS LÄN</t>
        </is>
      </c>
      <c r="G821" t="inlineStr">
        <is>
          <t>NYKÖPING</t>
        </is>
      </c>
      <c r="I821" t="n">
        <v>46.2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2026-08-03T01:58:38Z</dcterms:created>
  <dcterms:modified xmlns:dcterms="http://purl.org/dc/terms/" xmlns:xsi="http://www.w3.org/2001/XMLSchema-instance" xsi:type="dcterms:W3CDTF">2026-08-03T01:58:39Z</dcterms:modified>
</cp:coreProperties>
</file>