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46239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46239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46239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46239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46239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46239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46239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46239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46239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46239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46239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46239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7</v>
      </c>
      <c r="U16" t="n">
        <v>2</v>
      </c>
      <c r="V16" s="2" t="inlineStr">
        <is>
          <t>Jungfrulin
Spillkråka
Citronfläckad kärrtrollslända
Större vattensalamander
Trana
Revlummer</t>
        </is>
      </c>
      <c r="W16">
        <f>HYPERLINK("https://klasma.github.io/Logging_0480/artfynd/A 29797-2024 artfynd.xlsx", "A 29797-2024")</f>
        <v/>
      </c>
      <c r="X16">
        <f>HYPERLINK("https://klasma.github.io/Logging_0480/kartor/A 29797-2024 karta.png", "A 29797-2024")</f>
        <v/>
      </c>
      <c r="Y16">
        <f>HYPERLINK("https://klasma.github.io/Logging_0480/kartor_geotiff/A 29797-2024 georefererad karta.tif", "A 29797-2024")</f>
        <v/>
      </c>
      <c r="AA16">
        <f>HYPERLINK("https://klasma.github.io/Logging_0480/klagomål/A 29797-2024 FSC-klagomål.docx", "A 29797-2024")</f>
        <v/>
      </c>
      <c r="AB16">
        <f>HYPERLINK("https://klasma.github.io/Logging_0480/klagomålsmail/A 29797-2024 FSC-klagomål mail.docx", "A 29797-2024")</f>
        <v/>
      </c>
      <c r="AC16">
        <f>HYPERLINK("https://klasma.github.io/Logging_0480/tillsyn/A 29797-2024 tillsynsbegäran.docx", "A 29797-2024")</f>
        <v/>
      </c>
      <c r="AD16">
        <f>HYPERLINK("https://klasma.github.io/Logging_0480/tillsynsmail/A 29797-2024 tillsynsbegäran mail.docx", "A 29797-2024")</f>
        <v/>
      </c>
      <c r="AE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46239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46239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46239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46239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46239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46239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46239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46239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46239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46239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46239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46239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46239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46239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46239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46239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46239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46239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46239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22417-2023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45070</v>
      </c>
      <c r="E36" s="1" t="n">
        <v>46239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Backstarr
Sjöhjortron
Vanlig snok</t>
        </is>
      </c>
      <c r="W36">
        <f>HYPERLINK("https://klasma.github.io/Logging_0480/artfynd/A 22417-2023 artfynd.xlsx", "A 22417-2023")</f>
        <v/>
      </c>
      <c r="X36">
        <f>HYPERLINK("https://klasma.github.io/Logging_0480/kartor/A 22417-2023 karta.png", "A 22417-2023")</f>
        <v/>
      </c>
      <c r="Y36">
        <f>HYPERLINK("https://klasma.github.io/Logging_0480/kartor_geotiff/A 22417-2023 georefererad karta.tif", "A 22417-2023")</f>
        <v/>
      </c>
      <c r="AA36">
        <f>HYPERLINK("https://klasma.github.io/Logging_0480/klagomål/A 22417-2023 FSC-klagomål.docx", "A 22417-2023")</f>
        <v/>
      </c>
      <c r="AB36">
        <f>HYPERLINK("https://klasma.github.io/Logging_0480/klagomålsmail/A 22417-2023 FSC-klagomål mail.docx", "A 22417-2023")</f>
        <v/>
      </c>
      <c r="AC36">
        <f>HYPERLINK("https://klasma.github.io/Logging_0480/tillsyn/A 22417-2023 tillsynsbegäran.docx", "A 22417-2023")</f>
        <v/>
      </c>
      <c r="AD36">
        <f>HYPERLINK("https://klasma.github.io/Logging_0480/tillsynsmail/A 22417-2023 tillsynsbegäran mail.docx", "A 22417-2023")</f>
        <v/>
      </c>
    </row>
    <row r="37" ht="15" customHeight="1">
      <c r="A37" t="inlineStr">
        <is>
          <t>A 54498-2023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45226</v>
      </c>
      <c r="E37" s="1" t="n">
        <v>46239</v>
      </c>
      <c r="F37" t="inlineStr">
        <is>
          <t>SÖDERMANLANDS LÄN</t>
        </is>
      </c>
      <c r="G37" t="inlineStr">
        <is>
          <t>NYKÖPING</t>
        </is>
      </c>
      <c r="I37" t="n">
        <v>4.7</v>
      </c>
      <c r="J37" t="n">
        <v>3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1</v>
      </c>
      <c r="V37" s="2" t="inlineStr">
        <is>
          <t>Brun glada
Trana
Utter</t>
        </is>
      </c>
      <c r="W37">
        <f>HYPERLINK("https://klasma.github.io/Logging_0480/artfynd/A 54498-2023 artfynd.xlsx", "A 54498-2023")</f>
        <v/>
      </c>
      <c r="X37">
        <f>HYPERLINK("https://klasma.github.io/Logging_0480/kartor/A 54498-2023 karta.png", "A 54498-2023")</f>
        <v/>
      </c>
      <c r="Y37">
        <f>HYPERLINK("https://klasma.github.io/Logging_0480/kartor_geotiff/A 54498-2023 georefererad karta.tif", "A 54498-2023")</f>
        <v/>
      </c>
      <c r="AA37">
        <f>HYPERLINK("https://klasma.github.io/Logging_0480/klagomål/A 54498-2023 FSC-klagomål.docx", "A 54498-2023")</f>
        <v/>
      </c>
      <c r="AB37">
        <f>HYPERLINK("https://klasma.github.io/Logging_0480/klagomålsmail/A 54498-2023 FSC-klagomål mail.docx", "A 54498-2023")</f>
        <v/>
      </c>
      <c r="AC37">
        <f>HYPERLINK("https://klasma.github.io/Logging_0480/tillsyn/A 54498-2023 tillsynsbegäran.docx", "A 54498-2023")</f>
        <v/>
      </c>
      <c r="AD37">
        <f>HYPERLINK("https://klasma.github.io/Logging_0480/tillsynsmail/A 54498-2023 tillsynsbegäran mail.docx", "A 54498-2023")</f>
        <v/>
      </c>
      <c r="AE37">
        <f>HYPERLINK("https://klasma.github.io/Logging_0480/fåglar/A 54498-2023 prioriterade fågelarter.docx", "A 54498-2023")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46239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46239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Gulsparv
Kösa
Linmåra/småsnärjmåra</t>
        </is>
      </c>
      <c r="W39">
        <f>HYPERLINK("https://klasma.github.io/Logging_0480/artfynd/A 38203-2022 artfynd.xlsx", "A 38203-2022")</f>
        <v/>
      </c>
      <c r="X39">
        <f>HYPERLINK("https://klasma.github.io/Logging_0480/kartor/A 38203-2022 karta.png", "A 38203-2022")</f>
        <v/>
      </c>
      <c r="Y39">
        <f>HYPERLINK("https://klasma.github.io/Logging_0480/kartor_geotiff/A 38203-2022 georefererad karta.tif", "A 38203-2022")</f>
        <v/>
      </c>
      <c r="AA39">
        <f>HYPERLINK("https://klasma.github.io/Logging_0480/klagomål/A 38203-2022 FSC-klagomål.docx", "A 38203-2022")</f>
        <v/>
      </c>
      <c r="AB39">
        <f>HYPERLINK("https://klasma.github.io/Logging_0480/klagomålsmail/A 38203-2022 FSC-klagomål mail.docx", "A 38203-2022")</f>
        <v/>
      </c>
      <c r="AC39">
        <f>HYPERLINK("https://klasma.github.io/Logging_0480/tillsyn/A 38203-2022 tillsynsbegäran.docx", "A 38203-2022")</f>
        <v/>
      </c>
      <c r="AD39">
        <f>HYPERLINK("https://klasma.github.io/Logging_0480/tillsynsmail/A 38203-2022 tillsynsbegäran mail.docx", "A 38203-2022")</f>
        <v/>
      </c>
      <c r="AE39">
        <f>HYPERLINK("https://klasma.github.io/Logging_0480/fåglar/A 38203-2022 prioriterade fågelarter.docx", "A 38203-2022")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46239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Grantaggsvamp
Skarp dropptaggsvamp
Zontaggsvamp</t>
        </is>
      </c>
      <c r="W40">
        <f>HYPERLINK("https://klasma.github.io/Logging_0480/artfynd/A 54227-2025 artfynd.xlsx", "A 54227-2025")</f>
        <v/>
      </c>
      <c r="X40">
        <f>HYPERLINK("https://klasma.github.io/Logging_0480/kartor/A 54227-2025 karta.png", "A 54227-2025")</f>
        <v/>
      </c>
      <c r="Y40">
        <f>HYPERLINK("https://klasma.github.io/Logging_0480/kartor_geotiff/A 54227-2025 georefererad karta.tif", "A 54227-2025")</f>
        <v/>
      </c>
      <c r="AA40">
        <f>HYPERLINK("https://klasma.github.io/Logging_0480/klagomål/A 54227-2025 FSC-klagomål.docx", "A 54227-2025")</f>
        <v/>
      </c>
      <c r="AB40">
        <f>HYPERLINK("https://klasma.github.io/Logging_0480/klagomålsmail/A 54227-2025 FSC-klagomål mail.docx", "A 54227-2025")</f>
        <v/>
      </c>
      <c r="AC40">
        <f>HYPERLINK("https://klasma.github.io/Logging_0480/tillsyn/A 54227-2025 tillsynsbegäran.docx", "A 54227-2025")</f>
        <v/>
      </c>
      <c r="AD40">
        <f>HYPERLINK("https://klasma.github.io/Logging_0480/tillsynsmail/A 54227-2025 tillsynsbegäran mail.docx", "A 54227-2025")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46239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46239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Skogshare
Nattskärra
Revlummer</t>
        </is>
      </c>
      <c r="W42">
        <f>HYPERLINK("https://klasma.github.io/Logging_0480/artfynd/A 58783-2025 artfynd.xlsx", "A 58783-2025")</f>
        <v/>
      </c>
      <c r="X42">
        <f>HYPERLINK("https://klasma.github.io/Logging_0480/kartor/A 58783-2025 karta.png", "A 58783-2025")</f>
        <v/>
      </c>
      <c r="Y42">
        <f>HYPERLINK("https://klasma.github.io/Logging_0480/kartor_geotiff/A 58783-2025 georefererad karta.tif", "A 58783-2025")</f>
        <v/>
      </c>
      <c r="AA42">
        <f>HYPERLINK("https://klasma.github.io/Logging_0480/klagomål/A 58783-2025 FSC-klagomål.docx", "A 58783-2025")</f>
        <v/>
      </c>
      <c r="AB42">
        <f>HYPERLINK("https://klasma.github.io/Logging_0480/klagomålsmail/A 58783-2025 FSC-klagomål mail.docx", "A 58783-2025")</f>
        <v/>
      </c>
      <c r="AC42">
        <f>HYPERLINK("https://klasma.github.io/Logging_0480/tillsyn/A 58783-2025 tillsynsbegäran.docx", "A 58783-2025")</f>
        <v/>
      </c>
      <c r="AD42">
        <f>HYPERLINK("https://klasma.github.io/Logging_0480/tillsynsmail/A 58783-2025 tillsynsbegäran mail.docx", "A 58783-2025")</f>
        <v/>
      </c>
      <c r="AE42">
        <f>HYPERLINK("https://klasma.github.io/Logging_0480/fåglar/A 58783-2025 prioriterade fågelarter.docx", "A 58783-2025")</f>
        <v/>
      </c>
    </row>
    <row r="43" ht="15" customHeight="1">
      <c r="A43" t="inlineStr">
        <is>
          <t>A 24092-2026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46166</v>
      </c>
      <c r="E43" s="1" t="n">
        <v>46239</v>
      </c>
      <c r="F43" t="inlineStr">
        <is>
          <t>SÖDERMANLANDS LÄN</t>
        </is>
      </c>
      <c r="G43" t="inlineStr">
        <is>
          <t>NYKÖPING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Vildkaprifol
Ängskovall</t>
        </is>
      </c>
      <c r="W43">
        <f>HYPERLINK("https://klasma.github.io/Logging_0480/artfynd/A 24092-2026 artfynd.xlsx", "A 24092-2026")</f>
        <v/>
      </c>
      <c r="X43">
        <f>HYPERLINK("https://klasma.github.io/Logging_0480/kartor/A 24092-2026 karta.png", "A 24092-2026")</f>
        <v/>
      </c>
      <c r="Y43">
        <f>HYPERLINK("https://klasma.github.io/Logging_0480/kartor_geotiff/A 24092-2026 georefererad karta.tif", "A 24092-2026")</f>
        <v/>
      </c>
      <c r="AA43">
        <f>HYPERLINK("https://klasma.github.io/Logging_0480/klagomål/A 24092-2026 FSC-klagomål.docx", "A 24092-2026")</f>
        <v/>
      </c>
      <c r="AB43">
        <f>HYPERLINK("https://klasma.github.io/Logging_0480/klagomålsmail/A 24092-2026 FSC-klagomål mail.docx", "A 24092-2026")</f>
        <v/>
      </c>
      <c r="AC43">
        <f>HYPERLINK("https://klasma.github.io/Logging_0480/tillsyn/A 24092-2026 tillsynsbegäran.docx", "A 24092-2026")</f>
        <v/>
      </c>
      <c r="AD43">
        <f>HYPERLINK("https://klasma.github.io/Logging_0480/tillsynsmail/A 24092-2026 tillsynsbegäran mail.docx", "A 24092-2026")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46239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46239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Tallticka
Vågbandad barkbock
Blåsippa</t>
        </is>
      </c>
      <c r="W45">
        <f>HYPERLINK("https://klasma.github.io/Logging_0480/artfynd/A 39740-2022 artfynd.xlsx", "A 39740-2022")</f>
        <v/>
      </c>
      <c r="X45">
        <f>HYPERLINK("https://klasma.github.io/Logging_0480/kartor/A 39740-2022 karta.png", "A 39740-2022")</f>
        <v/>
      </c>
      <c r="Y45">
        <f>HYPERLINK("https://klasma.github.io/Logging_0480/kartor_geotiff/A 39740-2022 georefererad karta.tif", "A 39740-2022")</f>
        <v/>
      </c>
      <c r="AA45">
        <f>HYPERLINK("https://klasma.github.io/Logging_0480/klagomål/A 39740-2022 FSC-klagomål.docx", "A 39740-2022")</f>
        <v/>
      </c>
      <c r="AB45">
        <f>HYPERLINK("https://klasma.github.io/Logging_0480/klagomålsmail/A 39740-2022 FSC-klagomål mail.docx", "A 39740-2022")</f>
        <v/>
      </c>
      <c r="AC45">
        <f>HYPERLINK("https://klasma.github.io/Logging_0480/tillsyn/A 39740-2022 tillsynsbegäran.docx", "A 39740-2022")</f>
        <v/>
      </c>
      <c r="AD45">
        <f>HYPERLINK("https://klasma.github.io/Logging_0480/tillsynsmail/A 39740-2022 tillsynsbegäran mail.docx", "A 39740-2022")</f>
        <v/>
      </c>
    </row>
    <row r="46" ht="15" customHeight="1">
      <c r="A46" t="inlineStr">
        <is>
          <t>A 4710-2024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46239</v>
      </c>
      <c r="F46" t="inlineStr">
        <is>
          <t>SÖDERMANLANDS LÄN</t>
        </is>
      </c>
      <c r="G46" t="inlineStr">
        <is>
          <t>NYKÖPING</t>
        </is>
      </c>
      <c r="I46" t="n">
        <v>8.699999999999999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Blåsippa
Grönvit nattviol</t>
        </is>
      </c>
      <c r="W46">
        <f>HYPERLINK("https://klasma.github.io/Logging_0480/artfynd/A 4710-2024 artfynd.xlsx", "A 4710-2024")</f>
        <v/>
      </c>
      <c r="X46">
        <f>HYPERLINK("https://klasma.github.io/Logging_0480/kartor/A 4710-2024 karta.png", "A 4710-2024")</f>
        <v/>
      </c>
      <c r="Y46">
        <f>HYPERLINK("https://klasma.github.io/Logging_0480/kartor_geotiff/A 4710-2024 georefererad karta.tif", "A 4710-2024")</f>
        <v/>
      </c>
      <c r="AA46">
        <f>HYPERLINK("https://klasma.github.io/Logging_0480/klagomål/A 4710-2024 FSC-klagomål.docx", "A 4710-2024")</f>
        <v/>
      </c>
      <c r="AB46">
        <f>HYPERLINK("https://klasma.github.io/Logging_0480/klagomålsmail/A 4710-2024 FSC-klagomål mail.docx", "A 4710-2024")</f>
        <v/>
      </c>
      <c r="AC46">
        <f>HYPERLINK("https://klasma.github.io/Logging_0480/tillsyn/A 4710-2024 tillsynsbegäran.docx", "A 4710-2024")</f>
        <v/>
      </c>
      <c r="AD46">
        <f>HYPERLINK("https://klasma.github.io/Logging_0480/tillsynsmail/A 4710-2024 tillsynsbegäran mail.docx", "A 4710-2024")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46239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16078-2023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46239</v>
      </c>
      <c r="F48" t="inlineStr">
        <is>
          <t>SÖDERMANLANDS LÄN</t>
        </is>
      </c>
      <c r="G48" t="inlineStr">
        <is>
          <t>NYKÖPING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Rödlånke
Fläcknycklar</t>
        </is>
      </c>
      <c r="W48">
        <f>HYPERLINK("https://klasma.github.io/Logging_0480/artfynd/A 16078-2023 artfynd.xlsx", "A 16078-2023")</f>
        <v/>
      </c>
      <c r="X48">
        <f>HYPERLINK("https://klasma.github.io/Logging_0480/kartor/A 16078-2023 karta.png", "A 16078-2023")</f>
        <v/>
      </c>
      <c r="Y48">
        <f>HYPERLINK("https://klasma.github.io/Logging_0480/kartor_geotiff/A 16078-2023 georefererad karta.tif", "A 16078-2023")</f>
        <v/>
      </c>
      <c r="AA48">
        <f>HYPERLINK("https://klasma.github.io/Logging_0480/klagomål/A 16078-2023 FSC-klagomål.docx", "A 16078-2023")</f>
        <v/>
      </c>
      <c r="AB48">
        <f>HYPERLINK("https://klasma.github.io/Logging_0480/klagomålsmail/A 16078-2023 FSC-klagomål mail.docx", "A 16078-2023")</f>
        <v/>
      </c>
      <c r="AC48">
        <f>HYPERLINK("https://klasma.github.io/Logging_0480/tillsyn/A 16078-2023 tillsynsbegäran.docx", "A 16078-2023")</f>
        <v/>
      </c>
      <c r="AD48">
        <f>HYPERLINK("https://klasma.github.io/Logging_0480/tillsynsmail/A 16078-2023 tillsynsbegäran mail.docx", "A 16078-2023")</f>
        <v/>
      </c>
    </row>
    <row r="49" ht="15" customHeight="1">
      <c r="A49" t="inlineStr">
        <is>
          <t>A 55497-2021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46239</v>
      </c>
      <c r="F49" t="inlineStr">
        <is>
          <t>SÖDERMANLANDS LÄN</t>
        </is>
      </c>
      <c r="G49" t="inlineStr">
        <is>
          <t>NYKÖPING</t>
        </is>
      </c>
      <c r="I49" t="n">
        <v>7.7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Älg
Nattskärra</t>
        </is>
      </c>
      <c r="W49">
        <f>HYPERLINK("https://klasma.github.io/Logging_0480/artfynd/A 55497-2021 artfynd.xlsx", "A 55497-2021")</f>
        <v/>
      </c>
      <c r="X49">
        <f>HYPERLINK("https://klasma.github.io/Logging_0480/kartor/A 55497-2021 karta.png", "A 55497-2021")</f>
        <v/>
      </c>
      <c r="Y49">
        <f>HYPERLINK("https://klasma.github.io/Logging_0480/kartor_geotiff/A 55497-2021 georefererad karta.tif", "A 55497-2021")</f>
        <v/>
      </c>
      <c r="AA49">
        <f>HYPERLINK("https://klasma.github.io/Logging_0480/klagomål/A 55497-2021 FSC-klagomål.docx", "A 55497-2021")</f>
        <v/>
      </c>
      <c r="AB49">
        <f>HYPERLINK("https://klasma.github.io/Logging_0480/klagomålsmail/A 55497-2021 FSC-klagomål mail.docx", "A 55497-2021")</f>
        <v/>
      </c>
      <c r="AC49">
        <f>HYPERLINK("https://klasma.github.io/Logging_0480/tillsyn/A 55497-2021 tillsynsbegäran.docx", "A 55497-2021")</f>
        <v/>
      </c>
      <c r="AD49">
        <f>HYPERLINK("https://klasma.github.io/Logging_0480/tillsynsmail/A 55497-2021 tillsynsbegäran mail.docx", "A 55497-2021")</f>
        <v/>
      </c>
      <c r="AE49">
        <f>HYPERLINK("https://klasma.github.io/Logging_0480/fåglar/A 55497-2021 prioriterade fågelarter.docx", "A 55497-2021")</f>
        <v/>
      </c>
    </row>
    <row r="50" ht="15" customHeight="1">
      <c r="A50" t="inlineStr">
        <is>
          <t>A 60460-2022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44911</v>
      </c>
      <c r="E50" s="1" t="n">
        <v>46239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1.7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Barkticka
Blåsippa</t>
        </is>
      </c>
      <c r="W50">
        <f>HYPERLINK("https://klasma.github.io/Logging_0480/artfynd/A 60460-2022 artfynd.xlsx", "A 60460-2022")</f>
        <v/>
      </c>
      <c r="X50">
        <f>HYPERLINK("https://klasma.github.io/Logging_0480/kartor/A 60460-2022 karta.png", "A 60460-2022")</f>
        <v/>
      </c>
      <c r="Y50">
        <f>HYPERLINK("https://klasma.github.io/Logging_0480/kartor_geotiff/A 60460-2022 georefererad karta.tif", "A 60460-2022")</f>
        <v/>
      </c>
      <c r="AA50">
        <f>HYPERLINK("https://klasma.github.io/Logging_0480/klagomål/A 60460-2022 FSC-klagomål.docx", "A 60460-2022")</f>
        <v/>
      </c>
      <c r="AB50">
        <f>HYPERLINK("https://klasma.github.io/Logging_0480/klagomålsmail/A 60460-2022 FSC-klagomål mail.docx", "A 60460-2022")</f>
        <v/>
      </c>
      <c r="AC50">
        <f>HYPERLINK("https://klasma.github.io/Logging_0480/tillsyn/A 60460-2022 tillsynsbegäran.docx", "A 60460-2022")</f>
        <v/>
      </c>
      <c r="AD50">
        <f>HYPERLINK("https://klasma.github.io/Logging_0480/tillsynsmail/A 60460-2022 tillsynsbegäran mail.docx", "A 60460-2022")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46239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Stor aspticka
Vätteros</t>
        </is>
      </c>
      <c r="W51">
        <f>HYPERLINK("https://klasma.github.io/Logging_0480/artfynd/A 10977-2024 artfynd.xlsx", "A 10977-2024")</f>
        <v/>
      </c>
      <c r="X51">
        <f>HYPERLINK("https://klasma.github.io/Logging_0480/kartor/A 10977-2024 karta.png", "A 10977-2024")</f>
        <v/>
      </c>
      <c r="Y51">
        <f>HYPERLINK("https://klasma.github.io/Logging_0480/kartor_geotiff/A 10977-2024 georefererad karta.tif", "A 10977-2024")</f>
        <v/>
      </c>
      <c r="AA51">
        <f>HYPERLINK("https://klasma.github.io/Logging_0480/klagomål/A 10977-2024 FSC-klagomål.docx", "A 10977-2024")</f>
        <v/>
      </c>
      <c r="AB51">
        <f>HYPERLINK("https://klasma.github.io/Logging_0480/klagomålsmail/A 10977-2024 FSC-klagomål mail.docx", "A 10977-2024")</f>
        <v/>
      </c>
      <c r="AC51">
        <f>HYPERLINK("https://klasma.github.io/Logging_0480/tillsyn/A 10977-2024 tillsynsbegäran.docx", "A 10977-2024")</f>
        <v/>
      </c>
      <c r="AD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46239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Björktrast
Kungsörn</t>
        </is>
      </c>
      <c r="W52">
        <f>HYPERLINK("https://klasma.github.io/Logging_0480/artfynd/A 56420-2021 artfynd.xlsx", "A 56420-2021")</f>
        <v/>
      </c>
      <c r="X52">
        <f>HYPERLINK("https://klasma.github.io/Logging_0480/kartor/A 56420-2021 karta.png", "A 56420-2021")</f>
        <v/>
      </c>
      <c r="Y52">
        <f>HYPERLINK("https://klasma.github.io/Logging_0480/kartor_geotiff/A 56420-2021 georefererad karta.tif", "A 56420-2021")</f>
        <v/>
      </c>
      <c r="AA52">
        <f>HYPERLINK("https://klasma.github.io/Logging_0480/klagomål/A 56420-2021 FSC-klagomål.docx", "A 56420-2021")</f>
        <v/>
      </c>
      <c r="AB52">
        <f>HYPERLINK("https://klasma.github.io/Logging_0480/klagomålsmail/A 56420-2021 FSC-klagomål mail.docx", "A 56420-2021")</f>
        <v/>
      </c>
      <c r="AC52">
        <f>HYPERLINK("https://klasma.github.io/Logging_0480/tillsyn/A 56420-2021 tillsynsbegäran.docx", "A 56420-2021")</f>
        <v/>
      </c>
      <c r="AD52">
        <f>HYPERLINK("https://klasma.github.io/Logging_0480/tillsynsmail/A 56420-2021 tillsynsbegäran mail.docx", "A 56420-2021")</f>
        <v/>
      </c>
      <c r="AE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46239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Gullklöver
Gullviva</t>
        </is>
      </c>
      <c r="W53">
        <f>HYPERLINK("https://klasma.github.io/Logging_0480/artfynd/A 60518-2022 artfynd.xlsx", "A 60518-2022")</f>
        <v/>
      </c>
      <c r="X53">
        <f>HYPERLINK("https://klasma.github.io/Logging_0480/kartor/A 60518-2022 karta.png", "A 60518-2022")</f>
        <v/>
      </c>
      <c r="Y53">
        <f>HYPERLINK("https://klasma.github.io/Logging_0480/kartor_geotiff/A 60518-2022 georefererad karta.tif", "A 60518-2022")</f>
        <v/>
      </c>
      <c r="AA53">
        <f>HYPERLINK("https://klasma.github.io/Logging_0480/klagomål/A 60518-2022 FSC-klagomål.docx", "A 60518-2022")</f>
        <v/>
      </c>
      <c r="AB53">
        <f>HYPERLINK("https://klasma.github.io/Logging_0480/klagomålsmail/A 60518-2022 FSC-klagomål mail.docx", "A 60518-2022")</f>
        <v/>
      </c>
      <c r="AC53">
        <f>HYPERLINK("https://klasma.github.io/Logging_0480/tillsyn/A 60518-2022 tillsynsbegäran.docx", "A 60518-2022")</f>
        <v/>
      </c>
      <c r="AD53">
        <f>HYPERLINK("https://klasma.github.io/Logging_0480/tillsynsmail/A 60518-2022 tillsynsbegäran mail.docx", "A 60518-2022")</f>
        <v/>
      </c>
    </row>
    <row r="54" ht="15" customHeight="1">
      <c r="A54" t="inlineStr">
        <is>
          <t>A 56560-2022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46239</v>
      </c>
      <c r="F54" t="inlineStr">
        <is>
          <t>SÖDERMANLANDS LÄN</t>
        </is>
      </c>
      <c r="G54" t="inlineStr">
        <is>
          <t>NYKÖPING</t>
        </is>
      </c>
      <c r="H54" t="inlineStr">
        <is>
          <t>Övriga Aktiebolag</t>
        </is>
      </c>
      <c r="I54" t="n">
        <v>1.1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Fjällvråk
Kråka</t>
        </is>
      </c>
      <c r="W54">
        <f>HYPERLINK("https://klasma.github.io/Logging_0480/artfynd/A 56560-2022 artfynd.xlsx", "A 56560-2022")</f>
        <v/>
      </c>
      <c r="X54">
        <f>HYPERLINK("https://klasma.github.io/Logging_0480/kartor/A 56560-2022 karta.png", "A 56560-2022")</f>
        <v/>
      </c>
      <c r="Y54">
        <f>HYPERLINK("https://klasma.github.io/Logging_0480/kartor_geotiff/A 56560-2022 georefererad karta.tif", "A 56560-2022")</f>
        <v/>
      </c>
      <c r="AA54">
        <f>HYPERLINK("https://klasma.github.io/Logging_0480/klagomål/A 56560-2022 FSC-klagomål.docx", "A 56560-2022")</f>
        <v/>
      </c>
      <c r="AB54">
        <f>HYPERLINK("https://klasma.github.io/Logging_0480/klagomålsmail/A 56560-2022 FSC-klagomål mail.docx", "A 56560-2022")</f>
        <v/>
      </c>
      <c r="AC54">
        <f>HYPERLINK("https://klasma.github.io/Logging_0480/tillsyn/A 56560-2022 tillsynsbegäran.docx", "A 56560-2022")</f>
        <v/>
      </c>
      <c r="AD54">
        <f>HYPERLINK("https://klasma.github.io/Logging_0480/tillsynsmail/A 56560-2022 tillsynsbegäran mail.docx", "A 56560-2022")</f>
        <v/>
      </c>
      <c r="AE54">
        <f>HYPERLINK("https://klasma.github.io/Logging_0480/fåglar/A 56560-2022 prioriterade fågelarter.docx", "A 56560-2022")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46239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Bombmurkla
Blåmossa</t>
        </is>
      </c>
      <c r="W55">
        <f>HYPERLINK("https://klasma.github.io/Logging_0480/artfynd/A 49231-2023 artfynd.xlsx", "A 49231-2023")</f>
        <v/>
      </c>
      <c r="X55">
        <f>HYPERLINK("https://klasma.github.io/Logging_0480/kartor/A 49231-2023 karta.png", "A 49231-2023")</f>
        <v/>
      </c>
      <c r="Y55">
        <f>HYPERLINK("https://klasma.github.io/Logging_0480/kartor_geotiff/A 49231-2023 georefererad karta.tif", "A 49231-2023")</f>
        <v/>
      </c>
      <c r="AA55">
        <f>HYPERLINK("https://klasma.github.io/Logging_0480/klagomål/A 49231-2023 FSC-klagomål.docx", "A 49231-2023")</f>
        <v/>
      </c>
      <c r="AB55">
        <f>HYPERLINK("https://klasma.github.io/Logging_0480/klagomålsmail/A 49231-2023 FSC-klagomål mail.docx", "A 49231-2023")</f>
        <v/>
      </c>
      <c r="AC55">
        <f>HYPERLINK("https://klasma.github.io/Logging_0480/tillsyn/A 49231-2023 tillsynsbegäran.docx", "A 49231-2023")</f>
        <v/>
      </c>
      <c r="AD55">
        <f>HYPERLINK("https://klasma.github.io/Logging_0480/tillsynsmail/A 49231-2023 tillsynsbegäran mail.docx", "A 49231-2023")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46239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46239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38923-2024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45547</v>
      </c>
      <c r="E58" s="1" t="n">
        <v>46239</v>
      </c>
      <c r="F58" t="inlineStr">
        <is>
          <t>SÖDERMANLANDS LÄN</t>
        </is>
      </c>
      <c r="G58" t="inlineStr">
        <is>
          <t>NYKÖPING</t>
        </is>
      </c>
      <c r="I58" t="n">
        <v>18.9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1</v>
      </c>
      <c r="V58" s="2" t="inlineStr">
        <is>
          <t>Tallticka
Blodticka</t>
        </is>
      </c>
      <c r="W58">
        <f>HYPERLINK("https://klasma.github.io/Logging_0480/artfynd/A 38923-2024 artfynd.xlsx", "A 38923-2024")</f>
        <v/>
      </c>
      <c r="X58">
        <f>HYPERLINK("https://klasma.github.io/Logging_0480/kartor/A 38923-2024 karta.png", "A 38923-2024")</f>
        <v/>
      </c>
      <c r="Y58">
        <f>HYPERLINK("https://klasma.github.io/Logging_0480/kartor_geotiff/A 38923-2024 georefererad karta.tif", "A 38923-2024")</f>
        <v/>
      </c>
      <c r="AA58">
        <f>HYPERLINK("https://klasma.github.io/Logging_0480/klagomål/A 38923-2024 FSC-klagomål.docx", "A 38923-2024")</f>
        <v/>
      </c>
      <c r="AB58">
        <f>HYPERLINK("https://klasma.github.io/Logging_0480/klagomålsmail/A 38923-2024 FSC-klagomål mail.docx", "A 38923-2024")</f>
        <v/>
      </c>
      <c r="AC58">
        <f>HYPERLINK("https://klasma.github.io/Logging_0480/tillsyn/A 38923-2024 tillsynsbegäran.docx", "A 38923-2024")</f>
        <v/>
      </c>
      <c r="AD58">
        <f>HYPERLINK("https://klasma.github.io/Logging_0480/tillsynsmail/A 38923-2024 tillsynsbegäran mail.docx", "A 38923-2024")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46239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55945-2025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46239</v>
      </c>
      <c r="F60" t="inlineStr">
        <is>
          <t>SÖDERMANLANDS LÄN</t>
        </is>
      </c>
      <c r="G60" t="inlineStr">
        <is>
          <t>NYKÖPING</t>
        </is>
      </c>
      <c r="I60" t="n">
        <v>9.1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Blanksvart spiklav
Motaggsvamp</t>
        </is>
      </c>
      <c r="W60">
        <f>HYPERLINK("https://klasma.github.io/Logging_0480/artfynd/A 55945-2025 artfynd.xlsx", "A 55945-2025")</f>
        <v/>
      </c>
      <c r="X60">
        <f>HYPERLINK("https://klasma.github.io/Logging_0480/kartor/A 55945-2025 karta.png", "A 55945-2025")</f>
        <v/>
      </c>
      <c r="Y60">
        <f>HYPERLINK("https://klasma.github.io/Logging_0480/kartor_geotiff/A 55945-2025 georefererad karta.tif", "A 55945-2025")</f>
        <v/>
      </c>
      <c r="AA60">
        <f>HYPERLINK("https://klasma.github.io/Logging_0480/klagomål/A 55945-2025 FSC-klagomål.docx", "A 55945-2025")</f>
        <v/>
      </c>
      <c r="AB60">
        <f>HYPERLINK("https://klasma.github.io/Logging_0480/klagomålsmail/A 55945-2025 FSC-klagomål mail.docx", "A 55945-2025")</f>
        <v/>
      </c>
      <c r="AC60">
        <f>HYPERLINK("https://klasma.github.io/Logging_0480/tillsyn/A 55945-2025 tillsynsbegäran.docx", "A 55945-2025")</f>
        <v/>
      </c>
      <c r="AD60">
        <f>HYPERLINK("https://klasma.github.io/Logging_0480/tillsynsmail/A 55945-2025 tillsynsbegäran mail.docx", "A 55945-2025")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46239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Grönpyrola
Mattlummer</t>
        </is>
      </c>
      <c r="W61">
        <f>HYPERLINK("https://klasma.github.io/Logging_0480/artfynd/A 58167-2025 artfynd.xlsx", "A 58167-2025")</f>
        <v/>
      </c>
      <c r="X61">
        <f>HYPERLINK("https://klasma.github.io/Logging_0480/kartor/A 58167-2025 karta.png", "A 58167-2025")</f>
        <v/>
      </c>
      <c r="Y61">
        <f>HYPERLINK("https://klasma.github.io/Logging_0480/kartor_geotiff/A 58167-2025 georefererad karta.tif", "A 58167-2025")</f>
        <v/>
      </c>
      <c r="AA61">
        <f>HYPERLINK("https://klasma.github.io/Logging_0480/klagomål/A 58167-2025 FSC-klagomål.docx", "A 58167-2025")</f>
        <v/>
      </c>
      <c r="AB61">
        <f>HYPERLINK("https://klasma.github.io/Logging_0480/klagomålsmail/A 58167-2025 FSC-klagomål mail.docx", "A 58167-2025")</f>
        <v/>
      </c>
      <c r="AC61">
        <f>HYPERLINK("https://klasma.github.io/Logging_0480/tillsyn/A 58167-2025 tillsynsbegäran.docx", "A 58167-2025")</f>
        <v/>
      </c>
      <c r="AD61">
        <f>HYPERLINK("https://klasma.github.io/Logging_0480/tillsynsmail/A 58167-2025 tillsynsbegäran mail.docx", "A 58167-2025")</f>
        <v/>
      </c>
    </row>
    <row r="62" ht="15" customHeight="1">
      <c r="A62" t="inlineStr">
        <is>
          <t>A 48153-2023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45205</v>
      </c>
      <c r="E62" s="1" t="n">
        <v>46239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2.7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Nötkråka
Havsörn</t>
        </is>
      </c>
      <c r="W62">
        <f>HYPERLINK("https://klasma.github.io/Logging_0480/artfynd/A 48153-2023 artfynd.xlsx", "A 48153-2023")</f>
        <v/>
      </c>
      <c r="X62">
        <f>HYPERLINK("https://klasma.github.io/Logging_0480/kartor/A 48153-2023 karta.png", "A 48153-2023")</f>
        <v/>
      </c>
      <c r="Y62">
        <f>HYPERLINK("https://klasma.github.io/Logging_0480/kartor_geotiff/A 48153-2023 georefererad karta.tif", "A 48153-2023")</f>
        <v/>
      </c>
      <c r="AA62">
        <f>HYPERLINK("https://klasma.github.io/Logging_0480/klagomål/A 48153-2023 FSC-klagomål.docx", "A 48153-2023")</f>
        <v/>
      </c>
      <c r="AB62">
        <f>HYPERLINK("https://klasma.github.io/Logging_0480/klagomålsmail/A 48153-2023 FSC-klagomål mail.docx", "A 48153-2023")</f>
        <v/>
      </c>
      <c r="AC62">
        <f>HYPERLINK("https://klasma.github.io/Logging_0480/tillsyn/A 48153-2023 tillsynsbegäran.docx", "A 48153-2023")</f>
        <v/>
      </c>
      <c r="AD62">
        <f>HYPERLINK("https://klasma.github.io/Logging_0480/tillsynsmail/A 48153-2023 tillsynsbegäran mail.docx", "A 48153-2023")</f>
        <v/>
      </c>
      <c r="AE62">
        <f>HYPERLINK("https://klasma.github.io/Logging_0480/fåglar/A 48153-2023 prioriterade fågelarter.docx", "A 48153-2023")</f>
        <v/>
      </c>
    </row>
    <row r="63" ht="15" customHeight="1">
      <c r="A63" t="inlineStr">
        <is>
          <t>A 6276-2026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46239</v>
      </c>
      <c r="F63" t="inlineStr">
        <is>
          <t>SÖDERMANLANDS LÄN</t>
        </is>
      </c>
      <c r="G63" t="inlineStr">
        <is>
          <t>NYKÖPING</t>
        </is>
      </c>
      <c r="I63" t="n">
        <v>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Granbarkgnagare</t>
        </is>
      </c>
      <c r="W63">
        <f>HYPERLINK("https://klasma.github.io/Logging_0480/artfynd/A 6276-2026 artfynd.xlsx", "A 6276-2026")</f>
        <v/>
      </c>
      <c r="X63">
        <f>HYPERLINK("https://klasma.github.io/Logging_0480/kartor/A 6276-2026 karta.png", "A 6276-2026")</f>
        <v/>
      </c>
      <c r="Y63">
        <f>HYPERLINK("https://klasma.github.io/Logging_0480/kartor_geotiff/A 6276-2026 georefererad karta.tif", "A 6276-2026")</f>
        <v/>
      </c>
      <c r="AA63">
        <f>HYPERLINK("https://klasma.github.io/Logging_0480/klagomål/A 6276-2026 FSC-klagomål.docx", "A 6276-2026")</f>
        <v/>
      </c>
      <c r="AB63">
        <f>HYPERLINK("https://klasma.github.io/Logging_0480/klagomålsmail/A 6276-2026 FSC-klagomål mail.docx", "A 6276-2026")</f>
        <v/>
      </c>
      <c r="AC63">
        <f>HYPERLINK("https://klasma.github.io/Logging_0480/tillsyn/A 6276-2026 tillsynsbegäran.docx", "A 6276-2026")</f>
        <v/>
      </c>
      <c r="AD63">
        <f>HYPERLINK("https://klasma.github.io/Logging_0480/tillsynsmail/A 6276-2026 tillsynsbegäran mail.docx", "A 6276-2026")</f>
        <v/>
      </c>
      <c r="AE63">
        <f>HYPERLINK("https://klasma.github.io/Logging_0480/fåglar/A 6276-2026 prioriterade fågelarter.docx", "A 6276-2026")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46239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14862-2026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46104</v>
      </c>
      <c r="E65" s="1" t="n">
        <v>46239</v>
      </c>
      <c r="F65" t="inlineStr">
        <is>
          <t>SÖDERMANLANDS LÄN</t>
        </is>
      </c>
      <c r="G65" t="inlineStr">
        <is>
          <t>NYKÖPING</t>
        </is>
      </c>
      <c r="I65" t="n">
        <v>10.8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Dropptaggsvamp
Blåbär</t>
        </is>
      </c>
      <c r="W65">
        <f>HYPERLINK("https://klasma.github.io/Logging_0480/artfynd/A 14862-2026 artfynd.xlsx", "A 14862-2026")</f>
        <v/>
      </c>
      <c r="X65">
        <f>HYPERLINK("https://klasma.github.io/Logging_0480/kartor/A 14862-2026 karta.png", "A 14862-2026")</f>
        <v/>
      </c>
      <c r="Y65">
        <f>HYPERLINK("https://klasma.github.io/Logging_0480/kartor_geotiff/A 14862-2026 georefererad karta.tif", "A 14862-2026")</f>
        <v/>
      </c>
      <c r="AA65">
        <f>HYPERLINK("https://klasma.github.io/Logging_0480/klagomål/A 14862-2026 FSC-klagomål.docx", "A 14862-2026")</f>
        <v/>
      </c>
      <c r="AB65">
        <f>HYPERLINK("https://klasma.github.io/Logging_0480/klagomålsmail/A 14862-2026 FSC-klagomål mail.docx", "A 14862-2026")</f>
        <v/>
      </c>
      <c r="AC65">
        <f>HYPERLINK("https://klasma.github.io/Logging_0480/tillsyn/A 14862-2026 tillsynsbegäran.docx", "A 14862-2026")</f>
        <v/>
      </c>
      <c r="AD65">
        <f>HYPERLINK("https://klasma.github.io/Logging_0480/tillsynsmail/A 14862-2026 tillsynsbegäran mail.docx", "A 14862-2026")</f>
        <v/>
      </c>
    </row>
    <row r="66" ht="15" customHeight="1">
      <c r="A66" t="inlineStr">
        <is>
          <t>A 5865-2024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45335</v>
      </c>
      <c r="E66" s="1" t="n">
        <v>46239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4.9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Entita
Fläcknycklar</t>
        </is>
      </c>
      <c r="W66">
        <f>HYPERLINK("https://klasma.github.io/Logging_0480/artfynd/A 5865-2024 artfynd.xlsx", "A 5865-2024")</f>
        <v/>
      </c>
      <c r="X66">
        <f>HYPERLINK("https://klasma.github.io/Logging_0480/kartor/A 5865-2024 karta.png", "A 5865-2024")</f>
        <v/>
      </c>
      <c r="Y66">
        <f>HYPERLINK("https://klasma.github.io/Logging_0480/kartor_geotiff/A 5865-2024 georefererad karta.tif", "A 5865-2024")</f>
        <v/>
      </c>
      <c r="AA66">
        <f>HYPERLINK("https://klasma.github.io/Logging_0480/klagomål/A 5865-2024 FSC-klagomål.docx", "A 5865-2024")</f>
        <v/>
      </c>
      <c r="AB66">
        <f>HYPERLINK("https://klasma.github.io/Logging_0480/klagomålsmail/A 5865-2024 FSC-klagomål mail.docx", "A 5865-2024")</f>
        <v/>
      </c>
      <c r="AC66">
        <f>HYPERLINK("https://klasma.github.io/Logging_0480/tillsyn/A 5865-2024 tillsynsbegäran.docx", "A 5865-2024")</f>
        <v/>
      </c>
      <c r="AD66">
        <f>HYPERLINK("https://klasma.github.io/Logging_0480/tillsynsmail/A 5865-2024 tillsynsbegäran mail.docx", "A 5865-2024")</f>
        <v/>
      </c>
      <c r="AE66">
        <f>HYPERLINK("https://klasma.github.io/Logging_0480/fåglar/A 5865-2024 prioriterade fågelarter.docx", "A 5865-2024")</f>
        <v/>
      </c>
    </row>
    <row r="67" ht="15" customHeight="1">
      <c r="A67" t="inlineStr">
        <is>
          <t>A 34310-2022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46239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7</v>
      </c>
      <c r="U67" t="n">
        <v>0</v>
      </c>
      <c r="V67" s="2" t="inlineStr">
        <is>
          <t>Bombmurkla
Grönpyrola</t>
        </is>
      </c>
      <c r="W67">
        <f>HYPERLINK("https://klasma.github.io/Logging_0480/artfynd/A 34310-2022 artfynd.xlsx", "A 34310-2022")</f>
        <v/>
      </c>
      <c r="X67">
        <f>HYPERLINK("https://klasma.github.io/Logging_0480/kartor/A 34310-2022 karta.png", "A 34310-2022")</f>
        <v/>
      </c>
      <c r="Y67">
        <f>HYPERLINK("https://klasma.github.io/Logging_0480/kartor_geotiff/A 34310-2022 georefererad karta.tif", "A 34310-2022")</f>
        <v/>
      </c>
      <c r="AA67">
        <f>HYPERLINK("https://klasma.github.io/Logging_0480/klagomål/A 34310-2022 FSC-klagomål.docx", "A 34310-2022")</f>
        <v/>
      </c>
      <c r="AB67">
        <f>HYPERLINK("https://klasma.github.io/Logging_0480/klagomålsmail/A 34310-2022 FSC-klagomål mail.docx", "A 34310-2022")</f>
        <v/>
      </c>
      <c r="AC67">
        <f>HYPERLINK("https://klasma.github.io/Logging_0480/tillsyn/A 34310-2022 tillsynsbegäran.docx", "A 34310-2022")</f>
        <v/>
      </c>
      <c r="AD67">
        <f>HYPERLINK("https://klasma.github.io/Logging_0480/tillsynsmail/A 34310-2022 tillsynsbegäran mail.docx", "A 34310-2022")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46239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46239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46239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46239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46239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46239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51720-2021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46239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HYPERLINK("https://klasma.github.io/Logging_0480/artfynd/A 51720-2021 artfynd.xlsx", "A 51720-2021")</f>
        <v/>
      </c>
      <c r="X74">
        <f>HYPERLINK("https://klasma.github.io/Logging_0480/kartor/A 51720-2021 karta.png", "A 51720-2021")</f>
        <v/>
      </c>
      <c r="Y74">
        <f>HYPERLINK("https://klasma.github.io/Logging_0480/kartor_geotiff/A 51720-2021 georefererad karta.tif", "A 51720-2021")</f>
        <v/>
      </c>
      <c r="AA74">
        <f>HYPERLINK("https://klasma.github.io/Logging_0480/klagomål/A 51720-2021 FSC-klagomål.docx", "A 51720-2021")</f>
        <v/>
      </c>
      <c r="AB74">
        <f>HYPERLINK("https://klasma.github.io/Logging_0480/klagomålsmail/A 51720-2021 FSC-klagomål mail.docx", "A 51720-2021")</f>
        <v/>
      </c>
      <c r="AC74">
        <f>HYPERLINK("https://klasma.github.io/Logging_0480/tillsyn/A 51720-2021 tillsynsbegäran.docx", "A 51720-2021")</f>
        <v/>
      </c>
      <c r="AD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46239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HYPERLINK("https://klasma.github.io/Logging_0480/artfynd/A 54897-2021 artfynd.xlsx", "A 54897-2021")</f>
        <v/>
      </c>
      <c r="X75">
        <f>HYPERLINK("https://klasma.github.io/Logging_0480/kartor/A 54897-2021 karta.png", "A 54897-2021")</f>
        <v/>
      </c>
      <c r="Y75">
        <f>HYPERLINK("https://klasma.github.io/Logging_0480/kartor_geotiff/A 54897-2021 georefererad karta.tif", "A 54897-2021")</f>
        <v/>
      </c>
      <c r="AA75">
        <f>HYPERLINK("https://klasma.github.io/Logging_0480/klagomål/A 54897-2021 FSC-klagomål.docx", "A 54897-2021")</f>
        <v/>
      </c>
      <c r="AB75">
        <f>HYPERLINK("https://klasma.github.io/Logging_0480/klagomålsmail/A 54897-2021 FSC-klagomål mail.docx", "A 54897-2021")</f>
        <v/>
      </c>
      <c r="AC75">
        <f>HYPERLINK("https://klasma.github.io/Logging_0480/tillsyn/A 54897-2021 tillsynsbegäran.docx", "A 54897-2021")</f>
        <v/>
      </c>
      <c r="AD75">
        <f>HYPERLINK("https://klasma.github.io/Logging_0480/tillsynsmail/A 54897-2021 tillsynsbegäran mail.docx", "A 54897-2021")</f>
        <v/>
      </c>
    </row>
    <row r="76" ht="15" customHeight="1">
      <c r="A76" t="inlineStr">
        <is>
          <t>A 45569-2021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44440</v>
      </c>
      <c r="E76" s="1" t="n">
        <v>46239</v>
      </c>
      <c r="F76" t="inlineStr">
        <is>
          <t>SÖDERMANLANDS LÄN</t>
        </is>
      </c>
      <c r="G76" t="inlineStr">
        <is>
          <t>NYKÖPING</t>
        </is>
      </c>
      <c r="I76" t="n">
        <v>1.4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Hornuggla</t>
        </is>
      </c>
      <c r="W76">
        <f>HYPERLINK("https://klasma.github.io/Logging_0480/artfynd/A 45569-2021 artfynd.xlsx", "A 45569-2021")</f>
        <v/>
      </c>
      <c r="X76">
        <f>HYPERLINK("https://klasma.github.io/Logging_0480/kartor/A 45569-2021 karta.png", "A 45569-2021")</f>
        <v/>
      </c>
      <c r="Y76">
        <f>HYPERLINK("https://klasma.github.io/Logging_0480/kartor_geotiff/A 45569-2021 georefererad karta.tif", "A 45569-2021")</f>
        <v/>
      </c>
      <c r="AA76">
        <f>HYPERLINK("https://klasma.github.io/Logging_0480/klagomål/A 45569-2021 FSC-klagomål.docx", "A 45569-2021")</f>
        <v/>
      </c>
      <c r="AB76">
        <f>HYPERLINK("https://klasma.github.io/Logging_0480/klagomålsmail/A 45569-2021 FSC-klagomål mail.docx", "A 45569-2021")</f>
        <v/>
      </c>
      <c r="AC76">
        <f>HYPERLINK("https://klasma.github.io/Logging_0480/tillsyn/A 45569-2021 tillsynsbegäran.docx", "A 45569-2021")</f>
        <v/>
      </c>
      <c r="AD76">
        <f>HYPERLINK("https://klasma.github.io/Logging_0480/tillsynsmail/A 45569-2021 tillsynsbegäran mail.docx", "A 45569-2021")</f>
        <v/>
      </c>
      <c r="AE76">
        <f>HYPERLINK("https://klasma.github.io/Logging_0480/fåglar/A 45569-2021 prioriterade fågelarter.docx", "A 45569-2021")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46239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46239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13038-2024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46239</v>
      </c>
      <c r="F79" t="inlineStr">
        <is>
          <t>SÖDERMANLANDS LÄN</t>
        </is>
      </c>
      <c r="G79" t="inlineStr">
        <is>
          <t>NYKÖPING</t>
        </is>
      </c>
      <c r="I79" t="n">
        <v>3.8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HYPERLINK("https://klasma.github.io/Logging_0480/artfynd/A 13038-2024 artfynd.xlsx", "A 13038-2024")</f>
        <v/>
      </c>
      <c r="X79">
        <f>HYPERLINK("https://klasma.github.io/Logging_0480/kartor/A 13038-2024 karta.png", "A 13038-2024")</f>
        <v/>
      </c>
      <c r="Y79">
        <f>HYPERLINK("https://klasma.github.io/Logging_0480/kartor_geotiff/A 13038-2024 georefererad karta.tif", "A 13038-2024")</f>
        <v/>
      </c>
      <c r="Z79">
        <f>HYPERLINK("https://klasma.github.io/Logging_0480/knärot/A 13038-2024 karta knärot.png", "A 13038-2024")</f>
        <v/>
      </c>
      <c r="AA79">
        <f>HYPERLINK("https://klasma.github.io/Logging_0480/klagomål/A 13038-2024 FSC-klagomål.docx", "A 13038-2024")</f>
        <v/>
      </c>
      <c r="AB79">
        <f>HYPERLINK("https://klasma.github.io/Logging_0480/klagomålsmail/A 13038-2024 FSC-klagomål mail.docx", "A 13038-2024")</f>
        <v/>
      </c>
      <c r="AC79">
        <f>HYPERLINK("https://klasma.github.io/Logging_0480/tillsyn/A 13038-2024 tillsynsbegäran.docx", "A 13038-2024")</f>
        <v/>
      </c>
      <c r="AD79">
        <f>HYPERLINK("https://klasma.github.io/Logging_0480/tillsynsmail/A 13038-2024 tillsynsbegäran mail.docx", "A 13038-2024")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46239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4903-2022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46239</v>
      </c>
      <c r="F81" t="inlineStr">
        <is>
          <t>SÖDERMANLANDS LÄN</t>
        </is>
      </c>
      <c r="G81" t="inlineStr">
        <is>
          <t>NYKÖPING</t>
        </is>
      </c>
      <c r="I81" t="n">
        <v>2.7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HYPERLINK("https://klasma.github.io/Logging_0480/artfynd/A 4903-2022 artfynd.xlsx", "A 4903-2022")</f>
        <v/>
      </c>
      <c r="X81">
        <f>HYPERLINK("https://klasma.github.io/Logging_0480/kartor/A 4903-2022 karta.png", "A 4903-2022")</f>
        <v/>
      </c>
      <c r="Y81">
        <f>HYPERLINK("https://klasma.github.io/Logging_0480/kartor_geotiff/A 4903-2022 georefererad karta.tif", "A 4903-2022")</f>
        <v/>
      </c>
      <c r="Z81">
        <f>HYPERLINK("https://klasma.github.io/Logging_0480/knärot/A 4903-2022 karta knärot.png", "A 4903-2022")</f>
        <v/>
      </c>
      <c r="AA81">
        <f>HYPERLINK("https://klasma.github.io/Logging_0480/klagomål/A 4903-2022 FSC-klagomål.docx", "A 4903-2022")</f>
        <v/>
      </c>
      <c r="AB81">
        <f>HYPERLINK("https://klasma.github.io/Logging_0480/klagomålsmail/A 4903-2022 FSC-klagomål mail.docx", "A 4903-2022")</f>
        <v/>
      </c>
      <c r="AC81">
        <f>HYPERLINK("https://klasma.github.io/Logging_0480/tillsyn/A 4903-2022 tillsynsbegäran.docx", "A 4903-2022")</f>
        <v/>
      </c>
      <c r="AD81">
        <f>HYPERLINK("https://klasma.github.io/Logging_0480/tillsynsmail/A 4903-2022 tillsynsbegäran mail.docx", "A 4903-2022")</f>
        <v/>
      </c>
    </row>
    <row r="82" ht="15" customHeight="1">
      <c r="A82" t="inlineStr">
        <is>
          <t>A 52684-2021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46239</v>
      </c>
      <c r="F82" t="inlineStr">
        <is>
          <t>SÖDERMANLANDS LÄN</t>
        </is>
      </c>
      <c r="G82" t="inlineStr">
        <is>
          <t>NYKÖPING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Kråka</t>
        </is>
      </c>
      <c r="W82">
        <f>HYPERLINK("https://klasma.github.io/Logging_0480/artfynd/A 52684-2021 artfynd.xlsx", "A 52684-2021")</f>
        <v/>
      </c>
      <c r="X82">
        <f>HYPERLINK("https://klasma.github.io/Logging_0480/kartor/A 52684-2021 karta.png", "A 52684-2021")</f>
        <v/>
      </c>
      <c r="Y82">
        <f>HYPERLINK("https://klasma.github.io/Logging_0480/kartor_geotiff/A 52684-2021 georefererad karta.tif", "A 52684-2021")</f>
        <v/>
      </c>
      <c r="AA82">
        <f>HYPERLINK("https://klasma.github.io/Logging_0480/klagomål/A 52684-2021 FSC-klagomål.docx", "A 52684-2021")</f>
        <v/>
      </c>
      <c r="AB82">
        <f>HYPERLINK("https://klasma.github.io/Logging_0480/klagomålsmail/A 52684-2021 FSC-klagomål mail.docx", "A 52684-2021")</f>
        <v/>
      </c>
      <c r="AC82">
        <f>HYPERLINK("https://klasma.github.io/Logging_0480/tillsyn/A 52684-2021 tillsynsbegäran.docx", "A 52684-2021")</f>
        <v/>
      </c>
      <c r="AD82">
        <f>HYPERLINK("https://klasma.github.io/Logging_0480/tillsynsmail/A 52684-2021 tillsynsbegäran mail.docx", "A 52684-2021")</f>
        <v/>
      </c>
    </row>
    <row r="83" ht="15" customHeight="1">
      <c r="A83" t="inlineStr">
        <is>
          <t>A 65889-2021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46239</v>
      </c>
      <c r="F83" t="inlineStr">
        <is>
          <t>SÖDERMANLANDS LÄN</t>
        </is>
      </c>
      <c r="G83" t="inlineStr">
        <is>
          <t>NYKÖPING</t>
        </is>
      </c>
      <c r="I83" t="n">
        <v>4.8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Backstarr</t>
        </is>
      </c>
      <c r="W83">
        <f>HYPERLINK("https://klasma.github.io/Logging_0480/artfynd/A 65889-2021 artfynd.xlsx", "A 65889-2021")</f>
        <v/>
      </c>
      <c r="X83">
        <f>HYPERLINK("https://klasma.github.io/Logging_0480/kartor/A 65889-2021 karta.png", "A 65889-2021")</f>
        <v/>
      </c>
      <c r="Y83">
        <f>HYPERLINK("https://klasma.github.io/Logging_0480/kartor_geotiff/A 65889-2021 georefererad karta.tif", "A 65889-2021")</f>
        <v/>
      </c>
      <c r="AA83">
        <f>HYPERLINK("https://klasma.github.io/Logging_0480/klagomål/A 65889-2021 FSC-klagomål.docx", "A 65889-2021")</f>
        <v/>
      </c>
      <c r="AB83">
        <f>HYPERLINK("https://klasma.github.io/Logging_0480/klagomålsmail/A 65889-2021 FSC-klagomål mail.docx", "A 65889-2021")</f>
        <v/>
      </c>
      <c r="AC83">
        <f>HYPERLINK("https://klasma.github.io/Logging_0480/tillsyn/A 65889-2021 tillsynsbegäran.docx", "A 65889-2021")</f>
        <v/>
      </c>
      <c r="AD83">
        <f>HYPERLINK("https://klasma.github.io/Logging_0480/tillsynsmail/A 65889-2021 tillsynsbegäran mail.docx", "A 65889-2021")</f>
        <v/>
      </c>
    </row>
    <row r="84" ht="15" customHeight="1">
      <c r="A84" t="inlineStr">
        <is>
          <t>A 13724-2024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45390</v>
      </c>
      <c r="E84" s="1" t="n">
        <v>46239</v>
      </c>
      <c r="F84" t="inlineStr">
        <is>
          <t>SÖDERMANLANDS LÄN</t>
        </is>
      </c>
      <c r="G84" t="inlineStr">
        <is>
          <t>NYKÖPING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Dropptaggsvamp</t>
        </is>
      </c>
      <c r="W84">
        <f>HYPERLINK("https://klasma.github.io/Logging_0480/artfynd/A 13724-2024 artfynd.xlsx", "A 13724-2024")</f>
        <v/>
      </c>
      <c r="X84">
        <f>HYPERLINK("https://klasma.github.io/Logging_0480/kartor/A 13724-2024 karta.png", "A 13724-2024")</f>
        <v/>
      </c>
      <c r="Y84">
        <f>HYPERLINK("https://klasma.github.io/Logging_0480/kartor_geotiff/A 13724-2024 georefererad karta.tif", "A 13724-2024")</f>
        <v/>
      </c>
      <c r="AA84">
        <f>HYPERLINK("https://klasma.github.io/Logging_0480/klagomål/A 13724-2024 FSC-klagomål.docx", "A 13724-2024")</f>
        <v/>
      </c>
      <c r="AB84">
        <f>HYPERLINK("https://klasma.github.io/Logging_0480/klagomålsmail/A 13724-2024 FSC-klagomål mail.docx", "A 13724-2024")</f>
        <v/>
      </c>
      <c r="AC84">
        <f>HYPERLINK("https://klasma.github.io/Logging_0480/tillsyn/A 13724-2024 tillsynsbegäran.docx", "A 13724-2024")</f>
        <v/>
      </c>
      <c r="AD84">
        <f>HYPERLINK("https://klasma.github.io/Logging_0480/tillsynsmail/A 13724-2024 tillsynsbegäran mail.docx", "A 13724-2024")</f>
        <v/>
      </c>
    </row>
    <row r="85" ht="15" customHeight="1">
      <c r="A85" t="inlineStr">
        <is>
          <t>A 2829-2025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46239</v>
      </c>
      <c r="F85" t="inlineStr">
        <is>
          <t>SÖDERMANLANDS LÄN</t>
        </is>
      </c>
      <c r="G85" t="inlineStr">
        <is>
          <t>NYKÖPING</t>
        </is>
      </c>
      <c r="H85" t="inlineStr">
        <is>
          <t>Allmännings- och besparingsskogar</t>
        </is>
      </c>
      <c r="I85" t="n">
        <v>12.1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HYPERLINK("https://klasma.github.io/Logging_0480/artfynd/A 2829-2025 artfynd.xlsx", "A 2829-2025")</f>
        <v/>
      </c>
      <c r="X85">
        <f>HYPERLINK("https://klasma.github.io/Logging_0480/kartor/A 2829-2025 karta.png", "A 2829-2025")</f>
        <v/>
      </c>
      <c r="Y85">
        <f>HYPERLINK("https://klasma.github.io/Logging_0480/kartor_geotiff/A 2829-2025 georefererad karta.tif", "A 2829-2025")</f>
        <v/>
      </c>
      <c r="AA85">
        <f>HYPERLINK("https://klasma.github.io/Logging_0480/klagomål/A 2829-2025 FSC-klagomål.docx", "A 2829-2025")</f>
        <v/>
      </c>
      <c r="AB85">
        <f>HYPERLINK("https://klasma.github.io/Logging_0480/klagomålsmail/A 2829-2025 FSC-klagomål mail.docx", "A 2829-2025")</f>
        <v/>
      </c>
      <c r="AC85">
        <f>HYPERLINK("https://klasma.github.io/Logging_0480/tillsyn/A 2829-2025 tillsynsbegäran.docx", "A 2829-2025")</f>
        <v/>
      </c>
      <c r="AD85">
        <f>HYPERLINK("https://klasma.github.io/Logging_0480/tillsynsmail/A 2829-2025 tillsynsbegäran mail.docx", "A 2829-2025")</f>
        <v/>
      </c>
      <c r="AE85">
        <f>HYPERLINK("https://klasma.github.io/Logging_0480/fåglar/A 2829-2025 prioriterade fågelarter.docx", "A 2829-2025")</f>
        <v/>
      </c>
    </row>
    <row r="86" ht="15" customHeight="1">
      <c r="A86" t="inlineStr">
        <is>
          <t>A 8387-2024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45352</v>
      </c>
      <c r="E86" s="1" t="n">
        <v>46239</v>
      </c>
      <c r="F86" t="inlineStr">
        <is>
          <t>SÖDERMANLANDS LÄN</t>
        </is>
      </c>
      <c r="G86" t="inlineStr">
        <is>
          <t>NYKÖPING</t>
        </is>
      </c>
      <c r="H86" t="inlineStr">
        <is>
          <t>Sveaskog</t>
        </is>
      </c>
      <c r="I86" t="n">
        <v>0.6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8387-2024 artfynd.xlsx", "A 8387-2024")</f>
        <v/>
      </c>
      <c r="X86">
        <f>HYPERLINK("https://klasma.github.io/Logging_0480/kartor/A 8387-2024 karta.png", "A 8387-2024")</f>
        <v/>
      </c>
      <c r="Y86">
        <f>HYPERLINK("https://klasma.github.io/Logging_0480/kartor_geotiff/A 8387-2024 georefererad karta.tif", "A 8387-2024")</f>
        <v/>
      </c>
      <c r="AA86">
        <f>HYPERLINK("https://klasma.github.io/Logging_0480/klagomål/A 8387-2024 FSC-klagomål.docx", "A 8387-2024")</f>
        <v/>
      </c>
      <c r="AB86">
        <f>HYPERLINK("https://klasma.github.io/Logging_0480/klagomålsmail/A 8387-2024 FSC-klagomål mail.docx", "A 8387-2024")</f>
        <v/>
      </c>
      <c r="AC86">
        <f>HYPERLINK("https://klasma.github.io/Logging_0480/tillsyn/A 8387-2024 tillsynsbegäran.docx", "A 8387-2024")</f>
        <v/>
      </c>
      <c r="AD86">
        <f>HYPERLINK("https://klasma.github.io/Logging_0480/tillsynsmail/A 8387-2024 tillsynsbegäran mail.docx", "A 8387-2024")</f>
        <v/>
      </c>
      <c r="AE86">
        <f>HYPERLINK("https://klasma.github.io/Logging_0480/fåglar/A 8387-2024 prioriterade fågelarter.docx", "A 8387-2024")</f>
        <v/>
      </c>
    </row>
    <row r="87" ht="15" customHeight="1">
      <c r="A87" t="inlineStr">
        <is>
          <t>A 35122-2023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46239</v>
      </c>
      <c r="F87" t="inlineStr">
        <is>
          <t>SÖDERMANLANDS LÄN</t>
        </is>
      </c>
      <c r="G87" t="inlineStr">
        <is>
          <t>NYKÖPING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35122-2023 artfynd.xlsx", "A 35122-2023")</f>
        <v/>
      </c>
      <c r="X87">
        <f>HYPERLINK("https://klasma.github.io/Logging_0480/kartor/A 35122-2023 karta.png", "A 35122-2023")</f>
        <v/>
      </c>
      <c r="Y87">
        <f>HYPERLINK("https://klasma.github.io/Logging_0480/kartor_geotiff/A 35122-2023 georefererad karta.tif", "A 35122-2023")</f>
        <v/>
      </c>
      <c r="AA87">
        <f>HYPERLINK("https://klasma.github.io/Logging_0480/klagomål/A 35122-2023 FSC-klagomål.docx", "A 35122-2023")</f>
        <v/>
      </c>
      <c r="AB87">
        <f>HYPERLINK("https://klasma.github.io/Logging_0480/klagomålsmail/A 35122-2023 FSC-klagomål mail.docx", "A 35122-2023")</f>
        <v/>
      </c>
      <c r="AC87">
        <f>HYPERLINK("https://klasma.github.io/Logging_0480/tillsyn/A 35122-2023 tillsynsbegäran.docx", "A 35122-2023")</f>
        <v/>
      </c>
      <c r="AD87">
        <f>HYPERLINK("https://klasma.github.io/Logging_0480/tillsynsmail/A 35122-2023 tillsynsbegäran mail.docx", "A 35122-2023")</f>
        <v/>
      </c>
    </row>
    <row r="88" ht="15" customHeight="1">
      <c r="A88" t="inlineStr">
        <is>
          <t>A 20425-2024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46239</v>
      </c>
      <c r="F88" t="inlineStr">
        <is>
          <t>SÖDERMANLANDS LÄN</t>
        </is>
      </c>
      <c r="G88" t="inlineStr">
        <is>
          <t>NYKÖPING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Skogsalm</t>
        </is>
      </c>
      <c r="W88">
        <f>HYPERLINK("https://klasma.github.io/Logging_0480/artfynd/A 20425-2024 artfynd.xlsx", "A 20425-2024")</f>
        <v/>
      </c>
      <c r="X88">
        <f>HYPERLINK("https://klasma.github.io/Logging_0480/kartor/A 20425-2024 karta.png", "A 20425-2024")</f>
        <v/>
      </c>
      <c r="Y88">
        <f>HYPERLINK("https://klasma.github.io/Logging_0480/kartor_geotiff/A 20425-2024 georefererad karta.tif", "A 20425-2024")</f>
        <v/>
      </c>
      <c r="AA88">
        <f>HYPERLINK("https://klasma.github.io/Logging_0480/klagomål/A 20425-2024 FSC-klagomål.docx", "A 20425-2024")</f>
        <v/>
      </c>
      <c r="AB88">
        <f>HYPERLINK("https://klasma.github.io/Logging_0480/klagomålsmail/A 20425-2024 FSC-klagomål mail.docx", "A 20425-2024")</f>
        <v/>
      </c>
      <c r="AC88">
        <f>HYPERLINK("https://klasma.github.io/Logging_0480/tillsyn/A 20425-2024 tillsynsbegäran.docx", "A 20425-2024")</f>
        <v/>
      </c>
      <c r="AD88">
        <f>HYPERLINK("https://klasma.github.io/Logging_0480/tillsynsmail/A 20425-2024 tillsynsbegäran mail.docx", "A 20425-2024")</f>
        <v/>
      </c>
    </row>
    <row r="89" ht="15" customHeight="1">
      <c r="A89" t="inlineStr">
        <is>
          <t>A 20325-2023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46239</v>
      </c>
      <c r="F89" t="inlineStr">
        <is>
          <t>SÖDERMANLANDS LÄN</t>
        </is>
      </c>
      <c r="G89" t="inlineStr">
        <is>
          <t>NYKÖPING</t>
        </is>
      </c>
      <c r="I89" t="n">
        <v>0.2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Kamjordstjärna</t>
        </is>
      </c>
      <c r="W89">
        <f>HYPERLINK("https://klasma.github.io/Logging_0480/artfynd/A 20325-2023 artfynd.xlsx", "A 20325-2023")</f>
        <v/>
      </c>
      <c r="X89">
        <f>HYPERLINK("https://klasma.github.io/Logging_0480/kartor/A 20325-2023 karta.png", "A 20325-2023")</f>
        <v/>
      </c>
      <c r="Y89">
        <f>HYPERLINK("https://klasma.github.io/Logging_0480/kartor_geotiff/A 20325-2023 georefererad karta.tif", "A 20325-2023")</f>
        <v/>
      </c>
      <c r="AA89">
        <f>HYPERLINK("https://klasma.github.io/Logging_0480/klagomål/A 20325-2023 FSC-klagomål.docx", "A 20325-2023")</f>
        <v/>
      </c>
      <c r="AB89">
        <f>HYPERLINK("https://klasma.github.io/Logging_0480/klagomålsmail/A 20325-2023 FSC-klagomål mail.docx", "A 20325-2023")</f>
        <v/>
      </c>
      <c r="AC89">
        <f>HYPERLINK("https://klasma.github.io/Logging_0480/tillsyn/A 20325-2023 tillsynsbegäran.docx", "A 20325-2023")</f>
        <v/>
      </c>
      <c r="AD89">
        <f>HYPERLINK("https://klasma.github.io/Logging_0480/tillsynsmail/A 20325-2023 tillsynsbegäran mail.docx", "A 20325-2023")</f>
        <v/>
      </c>
    </row>
    <row r="90" ht="15" customHeight="1">
      <c r="A90" t="inlineStr">
        <is>
          <t>A 59329-2023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45252</v>
      </c>
      <c r="E90" s="1" t="n">
        <v>46239</v>
      </c>
      <c r="F90" t="inlineStr">
        <is>
          <t>SÖDERMANLANDS LÄN</t>
        </is>
      </c>
      <c r="G90" t="inlineStr">
        <is>
          <t>NYKÖPING</t>
        </is>
      </c>
      <c r="I90" t="n">
        <v>22.1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HYPERLINK("https://klasma.github.io/Logging_0480/artfynd/A 59329-2023 artfynd.xlsx", "A 59329-2023")</f>
        <v/>
      </c>
      <c r="X90">
        <f>HYPERLINK("https://klasma.github.io/Logging_0480/kartor/A 59329-2023 karta.png", "A 59329-2023")</f>
        <v/>
      </c>
      <c r="Y90">
        <f>HYPERLINK("https://klasma.github.io/Logging_0480/kartor_geotiff/A 59329-2023 georefererad karta.tif", "A 59329-2023")</f>
        <v/>
      </c>
      <c r="AA90">
        <f>HYPERLINK("https://klasma.github.io/Logging_0480/klagomål/A 59329-2023 FSC-klagomål.docx", "A 59329-2023")</f>
        <v/>
      </c>
      <c r="AB90">
        <f>HYPERLINK("https://klasma.github.io/Logging_0480/klagomålsmail/A 59329-2023 FSC-klagomål mail.docx", "A 59329-2023")</f>
        <v/>
      </c>
      <c r="AC90">
        <f>HYPERLINK("https://klasma.github.io/Logging_0480/tillsyn/A 59329-2023 tillsynsbegäran.docx", "A 59329-2023")</f>
        <v/>
      </c>
      <c r="AD90">
        <f>HYPERLINK("https://klasma.github.io/Logging_0480/tillsynsmail/A 59329-2023 tillsynsbegäran mail.docx", "A 59329-2023")</f>
        <v/>
      </c>
    </row>
    <row r="91" ht="15" customHeight="1">
      <c r="A91" t="inlineStr">
        <is>
          <t>A 45122-2025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46239</v>
      </c>
      <c r="F91" t="inlineStr">
        <is>
          <t>SÖDERMANLANDS LÄN</t>
        </is>
      </c>
      <c r="G91" t="inlineStr">
        <is>
          <t>NYKÖPING</t>
        </is>
      </c>
      <c r="I91" t="n">
        <v>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HYPERLINK("https://klasma.github.io/Logging_0480/artfynd/A 45122-2025 artfynd.xlsx", "A 45122-2025")</f>
        <v/>
      </c>
      <c r="X91">
        <f>HYPERLINK("https://klasma.github.io/Logging_0480/kartor/A 45122-2025 karta.png", "A 45122-2025")</f>
        <v/>
      </c>
      <c r="Y91">
        <f>HYPERLINK("https://klasma.github.io/Logging_0480/kartor_geotiff/A 45122-2025 georefererad karta.tif", "A 45122-2025")</f>
        <v/>
      </c>
      <c r="AA91">
        <f>HYPERLINK("https://klasma.github.io/Logging_0480/klagomål/A 45122-2025 FSC-klagomål.docx", "A 45122-2025")</f>
        <v/>
      </c>
      <c r="AB91">
        <f>HYPERLINK("https://klasma.github.io/Logging_0480/klagomålsmail/A 45122-2025 FSC-klagomål mail.docx", "A 45122-2025")</f>
        <v/>
      </c>
      <c r="AC91">
        <f>HYPERLINK("https://klasma.github.io/Logging_0480/tillsyn/A 45122-2025 tillsynsbegäran.docx", "A 45122-2025")</f>
        <v/>
      </c>
      <c r="AD91">
        <f>HYPERLINK("https://klasma.github.io/Logging_0480/tillsynsmail/A 45122-2025 tillsynsbegäran mail.docx", "A 45122-2025")</f>
        <v/>
      </c>
      <c r="AE91">
        <f>HYPERLINK("https://klasma.github.io/Logging_0480/fåglar/A 45122-2025 prioriterade fågelarter.docx", "A 45122-2025")</f>
        <v/>
      </c>
    </row>
    <row r="92" ht="15" customHeight="1">
      <c r="A92" t="inlineStr">
        <is>
          <t>A 1105-2023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46239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Skuggblåslav</t>
        </is>
      </c>
      <c r="W92">
        <f>HYPERLINK("https://klasma.github.io/Logging_0480/artfynd/A 1105-2023 artfynd.xlsx", "A 1105-2023")</f>
        <v/>
      </c>
      <c r="X92">
        <f>HYPERLINK("https://klasma.github.io/Logging_0480/kartor/A 1105-2023 karta.png", "A 1105-2023")</f>
        <v/>
      </c>
      <c r="Y92">
        <f>HYPERLINK("https://klasma.github.io/Logging_0480/kartor_geotiff/A 1105-2023 georefererad karta.tif", "A 1105-2023")</f>
        <v/>
      </c>
      <c r="AA92">
        <f>HYPERLINK("https://klasma.github.io/Logging_0480/klagomål/A 1105-2023 FSC-klagomål.docx", "A 1105-2023")</f>
        <v/>
      </c>
      <c r="AB92">
        <f>HYPERLINK("https://klasma.github.io/Logging_0480/klagomålsmail/A 1105-2023 FSC-klagomål mail.docx", "A 1105-2023")</f>
        <v/>
      </c>
      <c r="AC92">
        <f>HYPERLINK("https://klasma.github.io/Logging_0480/tillsyn/A 1105-2023 tillsynsbegäran.docx", "A 1105-2023")</f>
        <v/>
      </c>
      <c r="AD92">
        <f>HYPERLINK("https://klasma.github.io/Logging_0480/tillsynsmail/A 1105-2023 tillsynsbegäran mail.docx", "A 1105-2023")</f>
        <v/>
      </c>
    </row>
    <row r="93" ht="15" customHeight="1">
      <c r="A93" t="inlineStr">
        <is>
          <t>A 51258-2024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45603</v>
      </c>
      <c r="E93" s="1" t="n">
        <v>46239</v>
      </c>
      <c r="F93" t="inlineStr">
        <is>
          <t>SÖDERMANLANDS LÄN</t>
        </is>
      </c>
      <c r="G93" t="inlineStr">
        <is>
          <t>NYKÖPING</t>
        </is>
      </c>
      <c r="H93" t="inlineStr">
        <is>
          <t>Sveaskog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Grönpyrola</t>
        </is>
      </c>
      <c r="W93">
        <f>HYPERLINK("https://klasma.github.io/Logging_0480/artfynd/A 51258-2024 artfynd.xlsx", "A 51258-2024")</f>
        <v/>
      </c>
      <c r="X93">
        <f>HYPERLINK("https://klasma.github.io/Logging_0480/kartor/A 51258-2024 karta.png", "A 51258-2024")</f>
        <v/>
      </c>
      <c r="Y93">
        <f>HYPERLINK("https://klasma.github.io/Logging_0480/kartor_geotiff/A 51258-2024 georefererad karta.tif", "A 51258-2024")</f>
        <v/>
      </c>
      <c r="AA93">
        <f>HYPERLINK("https://klasma.github.io/Logging_0480/klagomål/A 51258-2024 FSC-klagomål.docx", "A 51258-2024")</f>
        <v/>
      </c>
      <c r="AB93">
        <f>HYPERLINK("https://klasma.github.io/Logging_0480/klagomålsmail/A 51258-2024 FSC-klagomål mail.docx", "A 51258-2024")</f>
        <v/>
      </c>
      <c r="AC93">
        <f>HYPERLINK("https://klasma.github.io/Logging_0480/tillsyn/A 51258-2024 tillsynsbegäran.docx", "A 51258-2024")</f>
        <v/>
      </c>
      <c r="AD93">
        <f>HYPERLINK("https://klasma.github.io/Logging_0480/tillsynsmail/A 51258-2024 tillsynsbegäran mail.docx", "A 51258-2024")</f>
        <v/>
      </c>
    </row>
    <row r="94" ht="15" customHeight="1">
      <c r="A94" t="inlineStr">
        <is>
          <t>A 50014-2025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46239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4.9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Sexfläckig bastardsvärmare</t>
        </is>
      </c>
      <c r="W94">
        <f>HYPERLINK("https://klasma.github.io/Logging_0480/artfynd/A 50014-2025 artfynd.xlsx", "A 50014-2025")</f>
        <v/>
      </c>
      <c r="X94">
        <f>HYPERLINK("https://klasma.github.io/Logging_0480/kartor/A 50014-2025 karta.png", "A 50014-2025")</f>
        <v/>
      </c>
      <c r="Y94">
        <f>HYPERLINK("https://klasma.github.io/Logging_0480/kartor_geotiff/A 50014-2025 georefererad karta.tif", "A 50014-2025")</f>
        <v/>
      </c>
      <c r="AA94">
        <f>HYPERLINK("https://klasma.github.io/Logging_0480/klagomål/A 50014-2025 FSC-klagomål.docx", "A 50014-2025")</f>
        <v/>
      </c>
      <c r="AB94">
        <f>HYPERLINK("https://klasma.github.io/Logging_0480/klagomålsmail/A 50014-2025 FSC-klagomål mail.docx", "A 50014-2025")</f>
        <v/>
      </c>
      <c r="AC94">
        <f>HYPERLINK("https://klasma.github.io/Logging_0480/tillsyn/A 50014-2025 tillsynsbegäran.docx", "A 50014-2025")</f>
        <v/>
      </c>
      <c r="AD94">
        <f>HYPERLINK("https://klasma.github.io/Logging_0480/tillsynsmail/A 50014-2025 tillsynsbegäran mail.docx", "A 50014-2025")</f>
        <v/>
      </c>
    </row>
    <row r="95" ht="15" customHeight="1">
      <c r="A95" t="inlineStr">
        <is>
          <t>A 50871-2025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46239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HYPERLINK("https://klasma.github.io/Logging_0480/artfynd/A 50871-2025 artfynd.xlsx", "A 50871-2025")</f>
        <v/>
      </c>
      <c r="X95">
        <f>HYPERLINK("https://klasma.github.io/Logging_0480/kartor/A 50871-2025 karta.png", "A 50871-2025")</f>
        <v/>
      </c>
      <c r="Y95">
        <f>HYPERLINK("https://klasma.github.io/Logging_0480/kartor_geotiff/A 50871-2025 georefererad karta.tif", "A 50871-2025")</f>
        <v/>
      </c>
      <c r="AA95">
        <f>HYPERLINK("https://klasma.github.io/Logging_0480/klagomål/A 50871-2025 FSC-klagomål.docx", "A 50871-2025")</f>
        <v/>
      </c>
      <c r="AB95">
        <f>HYPERLINK("https://klasma.github.io/Logging_0480/klagomålsmail/A 50871-2025 FSC-klagomål mail.docx", "A 50871-2025")</f>
        <v/>
      </c>
      <c r="AC95">
        <f>HYPERLINK("https://klasma.github.io/Logging_0480/tillsyn/A 50871-2025 tillsynsbegäran.docx", "A 50871-2025")</f>
        <v/>
      </c>
      <c r="AD95">
        <f>HYPERLINK("https://klasma.github.io/Logging_0480/tillsynsmail/A 50871-2025 tillsynsbegäran mail.docx", "A 50871-2025")</f>
        <v/>
      </c>
      <c r="AE95">
        <f>HYPERLINK("https://klasma.github.io/Logging_0480/fåglar/A 50871-2025 prioriterade fågelarter.docx", "A 50871-2025")</f>
        <v/>
      </c>
    </row>
    <row r="96" ht="15" customHeight="1">
      <c r="A96" t="inlineStr">
        <is>
          <t>A 52384-2025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46239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Törnskata</t>
        </is>
      </c>
      <c r="W96">
        <f>HYPERLINK("https://klasma.github.io/Logging_0480/artfynd/A 52384-2025 artfynd.xlsx", "A 52384-2025")</f>
        <v/>
      </c>
      <c r="X96">
        <f>HYPERLINK("https://klasma.github.io/Logging_0480/kartor/A 52384-2025 karta.png", "A 52384-2025")</f>
        <v/>
      </c>
      <c r="Y96">
        <f>HYPERLINK("https://klasma.github.io/Logging_0480/kartor_geotiff/A 52384-2025 georefererad karta.tif", "A 52384-2025")</f>
        <v/>
      </c>
      <c r="AA96">
        <f>HYPERLINK("https://klasma.github.io/Logging_0480/klagomål/A 52384-2025 FSC-klagomål.docx", "A 52384-2025")</f>
        <v/>
      </c>
      <c r="AB96">
        <f>HYPERLINK("https://klasma.github.io/Logging_0480/klagomålsmail/A 52384-2025 FSC-klagomål mail.docx", "A 52384-2025")</f>
        <v/>
      </c>
      <c r="AC96">
        <f>HYPERLINK("https://klasma.github.io/Logging_0480/tillsyn/A 52384-2025 tillsynsbegäran.docx", "A 52384-2025")</f>
        <v/>
      </c>
      <c r="AD96">
        <f>HYPERLINK("https://klasma.github.io/Logging_0480/tillsynsmail/A 52384-2025 tillsynsbegäran mail.docx", "A 52384-2025")</f>
        <v/>
      </c>
      <c r="AE96">
        <f>HYPERLINK("https://klasma.github.io/Logging_0480/fåglar/A 52384-2025 prioriterade fågelarter.docx", "A 52384-2025")</f>
        <v/>
      </c>
    </row>
    <row r="97" ht="15" customHeight="1">
      <c r="A97" t="inlineStr">
        <is>
          <t>A 22495-2026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46239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2.6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Vedticka</t>
        </is>
      </c>
      <c r="W97">
        <f>HYPERLINK("https://klasma.github.io/Logging_0480/artfynd/A 22495-2026 artfynd.xlsx", "A 22495-2026")</f>
        <v/>
      </c>
      <c r="X97">
        <f>HYPERLINK("https://klasma.github.io/Logging_0480/kartor/A 22495-2026 karta.png", "A 22495-2026")</f>
        <v/>
      </c>
      <c r="Y97">
        <f>HYPERLINK("https://klasma.github.io/Logging_0480/kartor_geotiff/A 22495-2026 georefererad karta.tif", "A 22495-2026")</f>
        <v/>
      </c>
      <c r="AA97">
        <f>HYPERLINK("https://klasma.github.io/Logging_0480/klagomål/A 22495-2026 FSC-klagomål.docx", "A 22495-2026")</f>
        <v/>
      </c>
      <c r="AB97">
        <f>HYPERLINK("https://klasma.github.io/Logging_0480/klagomålsmail/A 22495-2026 FSC-klagomål mail.docx", "A 22495-2026")</f>
        <v/>
      </c>
      <c r="AC97">
        <f>HYPERLINK("https://klasma.github.io/Logging_0480/tillsyn/A 22495-2026 tillsynsbegäran.docx", "A 22495-2026")</f>
        <v/>
      </c>
      <c r="AD97">
        <f>HYPERLINK("https://klasma.github.io/Logging_0480/tillsynsmail/A 22495-2026 tillsynsbegäran mail.docx", "A 22495-2026")</f>
        <v/>
      </c>
    </row>
    <row r="98" ht="15" customHeight="1">
      <c r="A98" t="inlineStr">
        <is>
          <t>A 56080-2024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46239</v>
      </c>
      <c r="F98" t="inlineStr">
        <is>
          <t>SÖDERMANLANDS LÄN</t>
        </is>
      </c>
      <c r="G98" t="inlineStr">
        <is>
          <t>NYKÖPING</t>
        </is>
      </c>
      <c r="I98" t="n">
        <v>5.5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Ärtsångare</t>
        </is>
      </c>
      <c r="W98">
        <f>HYPERLINK("https://klasma.github.io/Logging_0480/artfynd/A 56080-2024 artfynd.xlsx", "A 56080-2024")</f>
        <v/>
      </c>
      <c r="X98">
        <f>HYPERLINK("https://klasma.github.io/Logging_0480/kartor/A 56080-2024 karta.png", "A 56080-2024")</f>
        <v/>
      </c>
      <c r="Y98">
        <f>HYPERLINK("https://klasma.github.io/Logging_0480/kartor_geotiff/A 56080-2024 georefererad karta.tif", "A 56080-2024")</f>
        <v/>
      </c>
      <c r="AA98">
        <f>HYPERLINK("https://klasma.github.io/Logging_0480/klagomål/A 56080-2024 FSC-klagomål.docx", "A 56080-2024")</f>
        <v/>
      </c>
      <c r="AB98">
        <f>HYPERLINK("https://klasma.github.io/Logging_0480/klagomålsmail/A 56080-2024 FSC-klagomål mail.docx", "A 56080-2024")</f>
        <v/>
      </c>
      <c r="AC98">
        <f>HYPERLINK("https://klasma.github.io/Logging_0480/tillsyn/A 56080-2024 tillsynsbegäran.docx", "A 56080-2024")</f>
        <v/>
      </c>
      <c r="AD98">
        <f>HYPERLINK("https://klasma.github.io/Logging_0480/tillsynsmail/A 56080-2024 tillsynsbegäran mail.docx", "A 56080-2024")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46239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59905-2025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46239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11.7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Kattfotslav</t>
        </is>
      </c>
      <c r="W100">
        <f>HYPERLINK("https://klasma.github.io/Logging_0480/artfynd/A 59905-2025 artfynd.xlsx", "A 59905-2025")</f>
        <v/>
      </c>
      <c r="X100">
        <f>HYPERLINK("https://klasma.github.io/Logging_0480/kartor/A 59905-2025 karta.png", "A 59905-2025")</f>
        <v/>
      </c>
      <c r="Y100">
        <f>HYPERLINK("https://klasma.github.io/Logging_0480/kartor_geotiff/A 59905-2025 georefererad karta.tif", "A 59905-2025")</f>
        <v/>
      </c>
      <c r="AA100">
        <f>HYPERLINK("https://klasma.github.io/Logging_0480/klagomål/A 59905-2025 FSC-klagomål.docx", "A 59905-2025")</f>
        <v/>
      </c>
      <c r="AB100">
        <f>HYPERLINK("https://klasma.github.io/Logging_0480/klagomålsmail/A 59905-2025 FSC-klagomål mail.docx", "A 59905-2025")</f>
        <v/>
      </c>
      <c r="AC100">
        <f>HYPERLINK("https://klasma.github.io/Logging_0480/tillsyn/A 59905-2025 tillsynsbegäran.docx", "A 59905-2025")</f>
        <v/>
      </c>
      <c r="AD100">
        <f>HYPERLINK("https://klasma.github.io/Logging_0480/tillsynsmail/A 59905-2025 tillsynsbegäran mail.docx", "A 59905-2025")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46239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63423-2025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46239</v>
      </c>
      <c r="F102" t="inlineStr">
        <is>
          <t>SÖDERMANLANDS LÄN</t>
        </is>
      </c>
      <c r="G102" t="inlineStr">
        <is>
          <t>NYKÖPING</t>
        </is>
      </c>
      <c r="I102" t="n">
        <v>7.4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63423-2025 artfynd.xlsx", "A 63423-2025")</f>
        <v/>
      </c>
      <c r="X102">
        <f>HYPERLINK("https://klasma.github.io/Logging_0480/kartor/A 63423-2025 karta.png", "A 63423-2025")</f>
        <v/>
      </c>
      <c r="Y102">
        <f>HYPERLINK("https://klasma.github.io/Logging_0480/kartor_geotiff/A 63423-2025 georefererad karta.tif", "A 63423-2025")</f>
        <v/>
      </c>
      <c r="AA102">
        <f>HYPERLINK("https://klasma.github.io/Logging_0480/klagomål/A 63423-2025 FSC-klagomål.docx", "A 63423-2025")</f>
        <v/>
      </c>
      <c r="AB102">
        <f>HYPERLINK("https://klasma.github.io/Logging_0480/klagomålsmail/A 63423-2025 FSC-klagomål mail.docx", "A 63423-2025")</f>
        <v/>
      </c>
      <c r="AC102">
        <f>HYPERLINK("https://klasma.github.io/Logging_0480/tillsyn/A 63423-2025 tillsynsbegäran.docx", "A 63423-2025")</f>
        <v/>
      </c>
      <c r="AD102">
        <f>HYPERLINK("https://klasma.github.io/Logging_0480/tillsynsmail/A 63423-2025 tillsynsbegäran mail.docx", "A 63423-2025")</f>
        <v/>
      </c>
    </row>
    <row r="103" ht="15" customHeight="1">
      <c r="A103" t="inlineStr">
        <is>
          <t>A 47095-2021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46239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Kricka</t>
        </is>
      </c>
      <c r="W103">
        <f>HYPERLINK("https://klasma.github.io/Logging_0480/artfynd/A 47095-2021 artfynd.xlsx", "A 47095-2021")</f>
        <v/>
      </c>
      <c r="X103">
        <f>HYPERLINK("https://klasma.github.io/Logging_0480/kartor/A 47095-2021 karta.png", "A 47095-2021")</f>
        <v/>
      </c>
      <c r="Y103">
        <f>HYPERLINK("https://klasma.github.io/Logging_0480/kartor_geotiff/A 47095-2021 georefererad karta.tif", "A 47095-2021")</f>
        <v/>
      </c>
      <c r="AA103">
        <f>HYPERLINK("https://klasma.github.io/Logging_0480/klagomål/A 47095-2021 FSC-klagomål.docx", "A 47095-2021")</f>
        <v/>
      </c>
      <c r="AB103">
        <f>HYPERLINK("https://klasma.github.io/Logging_0480/klagomålsmail/A 47095-2021 FSC-klagomål mail.docx", "A 47095-2021")</f>
        <v/>
      </c>
      <c r="AC103">
        <f>HYPERLINK("https://klasma.github.io/Logging_0480/tillsyn/A 47095-2021 tillsynsbegäran.docx", "A 47095-2021")</f>
        <v/>
      </c>
      <c r="AD103">
        <f>HYPERLINK("https://klasma.github.io/Logging_0480/tillsynsmail/A 47095-2021 tillsynsbegäran mail.docx", "A 47095-2021")</f>
        <v/>
      </c>
      <c r="AE103">
        <f>HYPERLINK("https://klasma.github.io/Logging_0480/fåglar/A 47095-2021 prioriterade fågelarter.docx", "A 47095-2021")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46239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5509-2023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46239</v>
      </c>
      <c r="F105" t="inlineStr">
        <is>
          <t>SÖDERMANLANDS LÄN</t>
        </is>
      </c>
      <c r="G105" t="inlineStr">
        <is>
          <t>NYKÖPING</t>
        </is>
      </c>
      <c r="I105" t="n">
        <v>1.2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HYPERLINK("https://klasma.github.io/Logging_0480/artfynd/A 5509-2023 artfynd.xlsx", "A 5509-2023")</f>
        <v/>
      </c>
      <c r="X105">
        <f>HYPERLINK("https://klasma.github.io/Logging_0480/kartor/A 5509-2023 karta.png", "A 5509-2023")</f>
        <v/>
      </c>
      <c r="Y105">
        <f>HYPERLINK("https://klasma.github.io/Logging_0480/kartor_geotiff/A 5509-2023 georefererad karta.tif", "A 5509-2023")</f>
        <v/>
      </c>
      <c r="AA105">
        <f>HYPERLINK("https://klasma.github.io/Logging_0480/klagomål/A 5509-2023 FSC-klagomål.docx", "A 5509-2023")</f>
        <v/>
      </c>
      <c r="AB105">
        <f>HYPERLINK("https://klasma.github.io/Logging_0480/klagomålsmail/A 5509-2023 FSC-klagomål mail.docx", "A 5509-2023")</f>
        <v/>
      </c>
      <c r="AC105">
        <f>HYPERLINK("https://klasma.github.io/Logging_0480/tillsyn/A 5509-2023 tillsynsbegäran.docx", "A 5509-2023")</f>
        <v/>
      </c>
      <c r="AD105">
        <f>HYPERLINK("https://klasma.github.io/Logging_0480/tillsynsmail/A 5509-2023 tillsynsbegäran mail.docx", "A 5509-2023")</f>
        <v/>
      </c>
    </row>
    <row r="106" ht="15" customHeight="1">
      <c r="A106" t="inlineStr">
        <is>
          <t>A 28542-2023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46239</v>
      </c>
      <c r="F106" t="inlineStr">
        <is>
          <t>SÖDERMANLANDS LÄN</t>
        </is>
      </c>
      <c r="G106" t="inlineStr">
        <is>
          <t>NYKÖPING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HYPERLINK("https://klasma.github.io/Logging_0480/artfynd/A 28542-2023 artfynd.xlsx", "A 28542-2023")</f>
        <v/>
      </c>
      <c r="X106">
        <f>HYPERLINK("https://klasma.github.io/Logging_0480/kartor/A 28542-2023 karta.png", "A 28542-2023")</f>
        <v/>
      </c>
      <c r="Y106">
        <f>HYPERLINK("https://klasma.github.io/Logging_0480/kartor_geotiff/A 28542-2023 georefererad karta.tif", "A 28542-2023")</f>
        <v/>
      </c>
      <c r="Z106">
        <f>HYPERLINK("https://klasma.github.io/Logging_0480/knärot/A 28542-2023 karta knärot.png", "A 28542-2023")</f>
        <v/>
      </c>
      <c r="AA106">
        <f>HYPERLINK("https://klasma.github.io/Logging_0480/klagomål/A 28542-2023 FSC-klagomål.docx", "A 28542-2023")</f>
        <v/>
      </c>
      <c r="AB106">
        <f>HYPERLINK("https://klasma.github.io/Logging_0480/klagomålsmail/A 28542-2023 FSC-klagomål mail.docx", "A 28542-2023")</f>
        <v/>
      </c>
      <c r="AC106">
        <f>HYPERLINK("https://klasma.github.io/Logging_0480/tillsyn/A 28542-2023 tillsynsbegäran.docx", "A 28542-2023")</f>
        <v/>
      </c>
      <c r="AD106">
        <f>HYPERLINK("https://klasma.github.io/Logging_0480/tillsynsmail/A 28542-2023 tillsynsbegäran mail.docx", "A 28542-2023")</f>
        <v/>
      </c>
    </row>
    <row r="107" ht="15" customHeight="1">
      <c r="A107" t="inlineStr">
        <is>
          <t>A 10886-2026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46078</v>
      </c>
      <c r="E107" s="1" t="n">
        <v>46239</v>
      </c>
      <c r="F107" t="inlineStr">
        <is>
          <t>SÖDERMANLANDS LÄN</t>
        </is>
      </c>
      <c r="G107" t="inlineStr">
        <is>
          <t>NYKÖPING</t>
        </is>
      </c>
      <c r="I107" t="n">
        <v>2.5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Tibast</t>
        </is>
      </c>
      <c r="W107">
        <f>HYPERLINK("https://klasma.github.io/Logging_0480/artfynd/A 10886-2026 artfynd.xlsx", "A 10886-2026")</f>
        <v/>
      </c>
      <c r="X107">
        <f>HYPERLINK("https://klasma.github.io/Logging_0480/kartor/A 10886-2026 karta.png", "A 10886-2026")</f>
        <v/>
      </c>
      <c r="Y107">
        <f>HYPERLINK("https://klasma.github.io/Logging_0480/kartor_geotiff/A 10886-2026 georefererad karta.tif", "A 10886-2026")</f>
        <v/>
      </c>
      <c r="AA107">
        <f>HYPERLINK("https://klasma.github.io/Logging_0480/klagomål/A 10886-2026 FSC-klagomål.docx", "A 10886-2026")</f>
        <v/>
      </c>
      <c r="AB107">
        <f>HYPERLINK("https://klasma.github.io/Logging_0480/klagomålsmail/A 10886-2026 FSC-klagomål mail.docx", "A 10886-2026")</f>
        <v/>
      </c>
      <c r="AC107">
        <f>HYPERLINK("https://klasma.github.io/Logging_0480/tillsyn/A 10886-2026 tillsynsbegäran.docx", "A 10886-2026")</f>
        <v/>
      </c>
      <c r="AD107">
        <f>HYPERLINK("https://klasma.github.io/Logging_0480/tillsynsmail/A 10886-2026 tillsynsbegäran mail.docx", "A 10886-2026")</f>
        <v/>
      </c>
    </row>
    <row r="108" ht="15" customHeight="1">
      <c r="A108" t="inlineStr">
        <is>
          <t>A 20415-2024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46239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6.4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Gulsparv</t>
        </is>
      </c>
      <c r="W108">
        <f>HYPERLINK("https://klasma.github.io/Logging_0480/artfynd/A 20415-2024 artfynd.xlsx", "A 20415-2024")</f>
        <v/>
      </c>
      <c r="X108">
        <f>HYPERLINK("https://klasma.github.io/Logging_0480/kartor/A 20415-2024 karta.png", "A 20415-2024")</f>
        <v/>
      </c>
      <c r="Y108">
        <f>HYPERLINK("https://klasma.github.io/Logging_0480/kartor_geotiff/A 20415-2024 georefererad karta.tif", "A 20415-2024")</f>
        <v/>
      </c>
      <c r="AA108">
        <f>HYPERLINK("https://klasma.github.io/Logging_0480/klagomål/A 20415-2024 FSC-klagomål.docx", "A 20415-2024")</f>
        <v/>
      </c>
      <c r="AB108">
        <f>HYPERLINK("https://klasma.github.io/Logging_0480/klagomålsmail/A 20415-2024 FSC-klagomål mail.docx", "A 20415-2024")</f>
        <v/>
      </c>
      <c r="AC108">
        <f>HYPERLINK("https://klasma.github.io/Logging_0480/tillsyn/A 20415-2024 tillsynsbegäran.docx", "A 20415-2024")</f>
        <v/>
      </c>
      <c r="AD108">
        <f>HYPERLINK("https://klasma.github.io/Logging_0480/tillsynsmail/A 20415-2024 tillsynsbegäran mail.docx", "A 20415-2024")</f>
        <v/>
      </c>
      <c r="AE108">
        <f>HYPERLINK("https://klasma.github.io/Logging_0480/fåglar/A 20415-2024 prioriterade fågelarter.docx", "A 20415-2024")</f>
        <v/>
      </c>
    </row>
    <row r="109" ht="15" customHeight="1">
      <c r="A109" t="inlineStr">
        <is>
          <t>A 50554-2023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46239</v>
      </c>
      <c r="F109" t="inlineStr">
        <is>
          <t>SÖDERMANLANDS LÄN</t>
        </is>
      </c>
      <c r="G109" t="inlineStr">
        <is>
          <t>NYKÖPING</t>
        </is>
      </c>
      <c r="I109" t="n">
        <v>10.9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50554-2023 artfynd.xlsx", "A 50554-2023")</f>
        <v/>
      </c>
      <c r="X109">
        <f>HYPERLINK("https://klasma.github.io/Logging_0480/kartor/A 50554-2023 karta.png", "A 50554-2023")</f>
        <v/>
      </c>
      <c r="Y109">
        <f>HYPERLINK("https://klasma.github.io/Logging_0480/kartor_geotiff/A 50554-2023 georefererad karta.tif", "A 50554-2023")</f>
        <v/>
      </c>
      <c r="AA109">
        <f>HYPERLINK("https://klasma.github.io/Logging_0480/klagomål/A 50554-2023 FSC-klagomål.docx", "A 50554-2023")</f>
        <v/>
      </c>
      <c r="AB109">
        <f>HYPERLINK("https://klasma.github.io/Logging_0480/klagomålsmail/A 50554-2023 FSC-klagomål mail.docx", "A 50554-2023")</f>
        <v/>
      </c>
      <c r="AC109">
        <f>HYPERLINK("https://klasma.github.io/Logging_0480/tillsyn/A 50554-2023 tillsynsbegäran.docx", "A 50554-2023")</f>
        <v/>
      </c>
      <c r="AD109">
        <f>HYPERLINK("https://klasma.github.io/Logging_0480/tillsynsmail/A 50554-2023 tillsynsbegäran mail.docx", "A 50554-2023")</f>
        <v/>
      </c>
    </row>
    <row r="110" ht="15" customHeight="1">
      <c r="A110" t="inlineStr">
        <is>
          <t>A 2837-2025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46239</v>
      </c>
      <c r="F110" t="inlineStr">
        <is>
          <t>SÖDERMANLANDS LÄN</t>
        </is>
      </c>
      <c r="G110" t="inlineStr">
        <is>
          <t>NYKÖPING</t>
        </is>
      </c>
      <c r="I110" t="n">
        <v>5.2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4</v>
      </c>
      <c r="U110" t="n">
        <v>0</v>
      </c>
      <c r="V110" s="2" t="inlineStr">
        <is>
          <t>Hasselticka</t>
        </is>
      </c>
      <c r="W110">
        <f>HYPERLINK("https://klasma.github.io/Logging_0480/artfynd/A 2837-2025 artfynd.xlsx", "A 2837-2025")</f>
        <v/>
      </c>
      <c r="X110">
        <f>HYPERLINK("https://klasma.github.io/Logging_0480/kartor/A 2837-2025 karta.png", "A 2837-2025")</f>
        <v/>
      </c>
      <c r="Y110">
        <f>HYPERLINK("https://klasma.github.io/Logging_0480/kartor_geotiff/A 2837-2025 georefererad karta.tif", "A 2837-2025")</f>
        <v/>
      </c>
      <c r="AA110">
        <f>HYPERLINK("https://klasma.github.io/Logging_0480/klagomål/A 2837-2025 FSC-klagomål.docx", "A 2837-2025")</f>
        <v/>
      </c>
      <c r="AB110">
        <f>HYPERLINK("https://klasma.github.io/Logging_0480/klagomålsmail/A 2837-2025 FSC-klagomål mail.docx", "A 2837-2025")</f>
        <v/>
      </c>
      <c r="AC110">
        <f>HYPERLINK("https://klasma.github.io/Logging_0480/tillsyn/A 2837-2025 tillsynsbegäran.docx", "A 2837-2025")</f>
        <v/>
      </c>
      <c r="AD110">
        <f>HYPERLINK("https://klasma.github.io/Logging_0480/tillsynsmail/A 2837-2025 tillsynsbegäran mail.docx", "A 2837-2025")</f>
        <v/>
      </c>
    </row>
    <row r="111" ht="15" customHeight="1">
      <c r="A111" t="inlineStr">
        <is>
          <t>A 9973-2022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44621</v>
      </c>
      <c r="E111" s="1" t="n">
        <v>46239</v>
      </c>
      <c r="F111" t="inlineStr">
        <is>
          <t>SÖDERMANLANDS LÄN</t>
        </is>
      </c>
      <c r="G111" t="inlineStr">
        <is>
          <t>NYKÖPING</t>
        </is>
      </c>
      <c r="I111" t="n">
        <v>18.3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 sköldmossa</t>
        </is>
      </c>
      <c r="W111">
        <f>HYPERLINK("https://klasma.github.io/Logging_0480/artfynd/A 9973-2022 artfynd.xlsx", "A 9973-2022")</f>
        <v/>
      </c>
      <c r="X111">
        <f>HYPERLINK("https://klasma.github.io/Logging_0480/kartor/A 9973-2022 karta.png", "A 9973-2022")</f>
        <v/>
      </c>
      <c r="Y111">
        <f>HYPERLINK("https://klasma.github.io/Logging_0480/kartor_geotiff/A 9973-2022 georefererad karta.tif", "A 9973-2022")</f>
        <v/>
      </c>
      <c r="AA111">
        <f>HYPERLINK("https://klasma.github.io/Logging_0480/klagomål/A 9973-2022 FSC-klagomål.docx", "A 9973-2022")</f>
        <v/>
      </c>
      <c r="AB111">
        <f>HYPERLINK("https://klasma.github.io/Logging_0480/klagomålsmail/A 9973-2022 FSC-klagomål mail.docx", "A 9973-2022")</f>
        <v/>
      </c>
      <c r="AC111">
        <f>HYPERLINK("https://klasma.github.io/Logging_0480/tillsyn/A 9973-2022 tillsynsbegäran.docx", "A 9973-2022")</f>
        <v/>
      </c>
      <c r="AD111">
        <f>HYPERLINK("https://klasma.github.io/Logging_0480/tillsynsmail/A 9973-2022 tillsynsbegäran mail.docx", "A 9973-2022")</f>
        <v/>
      </c>
    </row>
    <row r="112" ht="15" customHeight="1">
      <c r="A112" t="inlineStr">
        <is>
          <t>A 5385-2026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46050</v>
      </c>
      <c r="E112" s="1" t="n">
        <v>46239</v>
      </c>
      <c r="F112" t="inlineStr">
        <is>
          <t>SÖDERMANLANDS LÄN</t>
        </is>
      </c>
      <c r="G112" t="inlineStr">
        <is>
          <t>NYKÖPING</t>
        </is>
      </c>
      <c r="I112" t="n">
        <v>3.5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HYPERLINK("https://klasma.github.io/Logging_0480/artfynd/A 5385-2026 artfynd.xlsx", "A 5385-2026")</f>
        <v/>
      </c>
      <c r="X112">
        <f>HYPERLINK("https://klasma.github.io/Logging_0480/kartor/A 5385-2026 karta.png", "A 5385-2026")</f>
        <v/>
      </c>
      <c r="Y112">
        <f>HYPERLINK("https://klasma.github.io/Logging_0480/kartor_geotiff/A 5385-2026 georefererad karta.tif", "A 5385-2026")</f>
        <v/>
      </c>
      <c r="AA112">
        <f>HYPERLINK("https://klasma.github.io/Logging_0480/klagomål/A 5385-2026 FSC-klagomål.docx", "A 5385-2026")</f>
        <v/>
      </c>
      <c r="AB112">
        <f>HYPERLINK("https://klasma.github.io/Logging_0480/klagomålsmail/A 5385-2026 FSC-klagomål mail.docx", "A 5385-2026")</f>
        <v/>
      </c>
      <c r="AC112">
        <f>HYPERLINK("https://klasma.github.io/Logging_0480/tillsyn/A 5385-2026 tillsynsbegäran.docx", "A 5385-2026")</f>
        <v/>
      </c>
      <c r="AD112">
        <f>HYPERLINK("https://klasma.github.io/Logging_0480/tillsynsmail/A 5385-2026 tillsynsbegäran mail.docx", "A 5385-2026")</f>
        <v/>
      </c>
      <c r="AE112">
        <f>HYPERLINK("https://klasma.github.io/Logging_0480/fåglar/A 5385-2026 prioriterade fågelarter.docx", "A 5385-2026")</f>
        <v/>
      </c>
    </row>
    <row r="113" ht="15" customHeight="1">
      <c r="A113" t="inlineStr">
        <is>
          <t>A 21129-2024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46239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Liljekonvalj</t>
        </is>
      </c>
      <c r="W113">
        <f>HYPERLINK("https://klasma.github.io/Logging_0480/artfynd/A 21129-2024 artfynd.xlsx", "A 21129-2024")</f>
        <v/>
      </c>
      <c r="X113">
        <f>HYPERLINK("https://klasma.github.io/Logging_0480/kartor/A 21129-2024 karta.png", "A 21129-2024")</f>
        <v/>
      </c>
      <c r="Y113">
        <f>HYPERLINK("https://klasma.github.io/Logging_0480/kartor_geotiff/A 21129-2024 georefererad karta.tif", "A 21129-2024")</f>
        <v/>
      </c>
      <c r="AA113">
        <f>HYPERLINK("https://klasma.github.io/Logging_0480/klagomål/A 21129-2024 FSC-klagomål.docx", "A 21129-2024")</f>
        <v/>
      </c>
      <c r="AB113">
        <f>HYPERLINK("https://klasma.github.io/Logging_0480/klagomålsmail/A 21129-2024 FSC-klagomål mail.docx", "A 21129-2024")</f>
        <v/>
      </c>
      <c r="AC113">
        <f>HYPERLINK("https://klasma.github.io/Logging_0480/tillsyn/A 21129-2024 tillsynsbegäran.docx", "A 21129-2024")</f>
        <v/>
      </c>
      <c r="AD113">
        <f>HYPERLINK("https://klasma.github.io/Logging_0480/tillsynsmail/A 21129-2024 tillsynsbegäran mail.docx", "A 21129-2024")</f>
        <v/>
      </c>
    </row>
    <row r="114" ht="15" customHeight="1">
      <c r="A114" t="inlineStr">
        <is>
          <t>A 21021-2026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46145</v>
      </c>
      <c r="E114" s="1" t="n">
        <v>46239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21021-2026 artfynd.xlsx", "A 21021-2026")</f>
        <v/>
      </c>
      <c r="X114">
        <f>HYPERLINK("https://klasma.github.io/Logging_0480/kartor/A 21021-2026 karta.png", "A 21021-2026")</f>
        <v/>
      </c>
      <c r="Y114">
        <f>HYPERLINK("https://klasma.github.io/Logging_0480/kartor_geotiff/A 21021-2026 georefererad karta.tif", "A 21021-2026")</f>
        <v/>
      </c>
      <c r="AA114">
        <f>HYPERLINK("https://klasma.github.io/Logging_0480/klagomål/A 21021-2026 FSC-klagomål.docx", "A 21021-2026")</f>
        <v/>
      </c>
      <c r="AB114">
        <f>HYPERLINK("https://klasma.github.io/Logging_0480/klagomålsmail/A 21021-2026 FSC-klagomål mail.docx", "A 21021-2026")</f>
        <v/>
      </c>
      <c r="AC114">
        <f>HYPERLINK("https://klasma.github.io/Logging_0480/tillsyn/A 21021-2026 tillsynsbegäran.docx", "A 21021-2026")</f>
        <v/>
      </c>
      <c r="AD114">
        <f>HYPERLINK("https://klasma.github.io/Logging_0480/tillsynsmail/A 21021-2026 tillsynsbegäran mail.docx", "A 21021-2026")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46239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46239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46239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46239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46239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46239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46239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46239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46239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46239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46239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44418</v>
      </c>
      <c r="E126" s="1" t="n">
        <v>46239</v>
      </c>
      <c r="F126" t="inlineStr">
        <is>
          <t>SÖDERMANLANDS LÄN</t>
        </is>
      </c>
      <c r="G126" t="inlineStr">
        <is>
          <t>NYKÖPING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46239</v>
      </c>
      <c r="F127" t="inlineStr">
        <is>
          <t>SÖDERMANLANDS LÄN</t>
        </is>
      </c>
      <c r="G127" t="inlineStr">
        <is>
          <t>NYKÖPING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46239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46239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44733</v>
      </c>
      <c r="E130" s="1" t="n">
        <v>46239</v>
      </c>
      <c r="F130" t="inlineStr">
        <is>
          <t>SÖDERMANLANDS LÄN</t>
        </is>
      </c>
      <c r="G130" t="inlineStr">
        <is>
          <t>NYKÖPING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46239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46239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46239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46239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46239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46239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46239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46239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46239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46239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46239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46239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46239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46239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46239</v>
      </c>
      <c r="F145" t="inlineStr">
        <is>
          <t>SÖDERMANLANDS LÄN</t>
        </is>
      </c>
      <c r="G145" t="inlineStr">
        <is>
          <t>NYKÖPING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44690</v>
      </c>
      <c r="E146" s="1" t="n">
        <v>46239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46239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46239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46239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46239</v>
      </c>
      <c r="F150" t="inlineStr">
        <is>
          <t>SÖDERMANLANDS LÄN</t>
        </is>
      </c>
      <c r="G150" t="inlineStr">
        <is>
          <t>NYKÖPING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46239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46239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46239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46239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46239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46239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46239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46239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46239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46239</v>
      </c>
      <c r="F160" t="inlineStr">
        <is>
          <t>SÖDERMANLANDS LÄN</t>
        </is>
      </c>
      <c r="G160" t="inlineStr">
        <is>
          <t>NYKÖPING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41723-2021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44425</v>
      </c>
      <c r="E161" s="1" t="n">
        <v>46239</v>
      </c>
      <c r="F161" t="inlineStr">
        <is>
          <t>SÖDERMANLANDS LÄN</t>
        </is>
      </c>
      <c r="G161" t="inlineStr">
        <is>
          <t>NYKÖPING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46239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46239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46239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46239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39542-2021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44416</v>
      </c>
      <c r="E166" s="1" t="n">
        <v>46239</v>
      </c>
      <c r="F166" t="inlineStr">
        <is>
          <t>SÖDERMANLANDS LÄN</t>
        </is>
      </c>
      <c r="G166" t="inlineStr">
        <is>
          <t>NYKÖPING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46239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44427</v>
      </c>
      <c r="E168" s="1" t="n">
        <v>46239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44862</v>
      </c>
      <c r="E169" s="1" t="n">
        <v>46239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46239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69598-2021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44531</v>
      </c>
      <c r="E171" s="1" t="n">
        <v>46239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46838-2021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44446</v>
      </c>
      <c r="E172" s="1" t="n">
        <v>46239</v>
      </c>
      <c r="F172" t="inlineStr">
        <is>
          <t>SÖDERMANLANDS LÄN</t>
        </is>
      </c>
      <c r="G172" t="inlineStr">
        <is>
          <t>NYKÖPING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71103-2021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46239</v>
      </c>
      <c r="F173" t="inlineStr">
        <is>
          <t>SÖDERMANLANDS LÄN</t>
        </is>
      </c>
      <c r="G173" t="inlineStr">
        <is>
          <t>NYKÖPING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45574-2021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44440</v>
      </c>
      <c r="E174" s="1" t="n">
        <v>46239</v>
      </c>
      <c r="F174" t="inlineStr">
        <is>
          <t>SÖDERMANLANDS LÄN</t>
        </is>
      </c>
      <c r="G174" t="inlineStr">
        <is>
          <t>NYKÖPING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44767</v>
      </c>
      <c r="E175" s="1" t="n">
        <v>46239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46239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70791-2021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44536</v>
      </c>
      <c r="E177" s="1" t="n">
        <v>46239</v>
      </c>
      <c r="F177" t="inlineStr">
        <is>
          <t>SÖDERMANLANDS LÄN</t>
        </is>
      </c>
      <c r="G177" t="inlineStr">
        <is>
          <t>NYKÖPING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46239</v>
      </c>
      <c r="F178" t="inlineStr">
        <is>
          <t>SÖDERMANLANDS LÄN</t>
        </is>
      </c>
      <c r="G178" t="inlineStr">
        <is>
          <t>NYKÖPING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15466-2022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44662</v>
      </c>
      <c r="E179" s="1" t="n">
        <v>46239</v>
      </c>
      <c r="F179" t="inlineStr">
        <is>
          <t>SÖDERMANLANDS LÄN</t>
        </is>
      </c>
      <c r="G179" t="inlineStr">
        <is>
          <t>NYKÖPING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46239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44719</v>
      </c>
      <c r="E181" s="1" t="n">
        <v>46239</v>
      </c>
      <c r="F181" t="inlineStr">
        <is>
          <t>SÖDERMANLANDS LÄN</t>
        </is>
      </c>
      <c r="G181" t="inlineStr">
        <is>
          <t>NYKÖPING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54234-2021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46239</v>
      </c>
      <c r="F182" t="inlineStr">
        <is>
          <t>SÖDERMANLANDS LÄN</t>
        </is>
      </c>
      <c r="G182" t="inlineStr">
        <is>
          <t>NYKÖPING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44748</v>
      </c>
      <c r="E183" s="1" t="n">
        <v>46239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46239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46239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46239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46239</v>
      </c>
      <c r="F187" t="inlineStr">
        <is>
          <t>SÖDERMANLANDS LÄN</t>
        </is>
      </c>
      <c r="G187" t="inlineStr">
        <is>
          <t>NYKÖPING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44424</v>
      </c>
      <c r="E188" s="1" t="n">
        <v>46239</v>
      </c>
      <c r="F188" t="inlineStr">
        <is>
          <t>SÖDERMANLANDS LÄN</t>
        </is>
      </c>
      <c r="G188" t="inlineStr">
        <is>
          <t>NYKÖPING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46239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46239</v>
      </c>
      <c r="F190" t="inlineStr">
        <is>
          <t>SÖDERMANLANDS LÄN</t>
        </is>
      </c>
      <c r="G190" t="inlineStr">
        <is>
          <t>NYKÖPING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67825-2021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46239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69252-2021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46239</v>
      </c>
      <c r="F192" t="inlineStr">
        <is>
          <t>SÖDERMANLANDS LÄN</t>
        </is>
      </c>
      <c r="G192" t="inlineStr">
        <is>
          <t>NYKÖPING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46239</v>
      </c>
      <c r="F193" t="inlineStr">
        <is>
          <t>SÖDERMANLANDS LÄN</t>
        </is>
      </c>
      <c r="G193" t="inlineStr">
        <is>
          <t>NYKÖPING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44747</v>
      </c>
      <c r="E194" s="1" t="n">
        <v>46239</v>
      </c>
      <c r="F194" t="inlineStr">
        <is>
          <t>SÖDERMANLANDS LÄN</t>
        </is>
      </c>
      <c r="G194" t="inlineStr">
        <is>
          <t>NYKÖPING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41737-2021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44425</v>
      </c>
      <c r="E195" s="1" t="n">
        <v>46239</v>
      </c>
      <c r="F195" t="inlineStr">
        <is>
          <t>SÖDERMANLANDS LÄN</t>
        </is>
      </c>
      <c r="G195" t="inlineStr">
        <is>
          <t>NYKÖPING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46239</v>
      </c>
      <c r="F196" t="inlineStr">
        <is>
          <t>SÖDERMANLANDS LÄN</t>
        </is>
      </c>
      <c r="G196" t="inlineStr">
        <is>
          <t>NYKÖPING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52535-2021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46239</v>
      </c>
      <c r="F197" t="inlineStr">
        <is>
          <t>SÖDERMANLANDS LÄN</t>
        </is>
      </c>
      <c r="G197" t="inlineStr">
        <is>
          <t>NYKÖPING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44783</v>
      </c>
      <c r="E198" s="1" t="n">
        <v>46239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44733</v>
      </c>
      <c r="E199" s="1" t="n">
        <v>46239</v>
      </c>
      <c r="F199" t="inlineStr">
        <is>
          <t>SÖDERMANLANDS LÄN</t>
        </is>
      </c>
      <c r="G199" t="inlineStr">
        <is>
          <t>NYKÖPING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44733</v>
      </c>
      <c r="E200" s="1" t="n">
        <v>46239</v>
      </c>
      <c r="F200" t="inlineStr">
        <is>
          <t>SÖDERMANLANDS LÄN</t>
        </is>
      </c>
      <c r="G200" t="inlineStr">
        <is>
          <t>NYKÖPING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46239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44413</v>
      </c>
      <c r="E202" s="1" t="n">
        <v>46239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46239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40680-2021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44420</v>
      </c>
      <c r="E204" s="1" t="n">
        <v>46239</v>
      </c>
      <c r="F204" t="inlineStr">
        <is>
          <t>SÖDERMANLANDS LÄN</t>
        </is>
      </c>
      <c r="G204" t="inlineStr">
        <is>
          <t>NYKÖPING</t>
        </is>
      </c>
      <c r="I204" t="n">
        <v>11.1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46239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44709</v>
      </c>
      <c r="E206" s="1" t="n">
        <v>46239</v>
      </c>
      <c r="F206" t="inlineStr">
        <is>
          <t>SÖDERMANLANDS LÄN</t>
        </is>
      </c>
      <c r="G206" t="inlineStr">
        <is>
          <t>NYKÖPING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44733</v>
      </c>
      <c r="E207" s="1" t="n">
        <v>46239</v>
      </c>
      <c r="F207" t="inlineStr">
        <is>
          <t>SÖDERMANLANDS LÄN</t>
        </is>
      </c>
      <c r="G207" t="inlineStr">
        <is>
          <t>NYKÖPING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71175-2021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46239</v>
      </c>
      <c r="F208" t="inlineStr">
        <is>
          <t>SÖDERMANLANDS LÄN</t>
        </is>
      </c>
      <c r="G208" t="inlineStr">
        <is>
          <t>NYKÖPING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44613</v>
      </c>
      <c r="E209" s="1" t="n">
        <v>46239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71107-2021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46239</v>
      </c>
      <c r="F210" t="inlineStr">
        <is>
          <t>SÖDERMANLANDS LÄN</t>
        </is>
      </c>
      <c r="G210" t="inlineStr">
        <is>
          <t>NYKÖPING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44614</v>
      </c>
      <c r="E211" s="1" t="n">
        <v>46239</v>
      </c>
      <c r="F211" t="inlineStr">
        <is>
          <t>SÖDERMANLANDS LÄN</t>
        </is>
      </c>
      <c r="G211" t="inlineStr">
        <is>
          <t>NYKÖPING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44729</v>
      </c>
      <c r="E212" s="1" t="n">
        <v>46239</v>
      </c>
      <c r="F212" t="inlineStr">
        <is>
          <t>SÖDERMANLANDS LÄN</t>
        </is>
      </c>
      <c r="G212" t="inlineStr">
        <is>
          <t>NYKÖPING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44652</v>
      </c>
      <c r="E213" s="1" t="n">
        <v>46239</v>
      </c>
      <c r="F213" t="inlineStr">
        <is>
          <t>SÖDERMANLANDS LÄN</t>
        </is>
      </c>
      <c r="G213" t="inlineStr">
        <is>
          <t>NYKÖPING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44658</v>
      </c>
      <c r="E214" s="1" t="n">
        <v>46239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Allmännings- och besparingsskogar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44713</v>
      </c>
      <c r="E215" s="1" t="n">
        <v>46239</v>
      </c>
      <c r="F215" t="inlineStr">
        <is>
          <t>SÖDERMANLANDS LÄN</t>
        </is>
      </c>
      <c r="G215" t="inlineStr">
        <is>
          <t>NYKÖPING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66860-2021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46239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66939-2021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46239</v>
      </c>
      <c r="F217" t="inlineStr">
        <is>
          <t>SÖDERMANLANDS LÄN</t>
        </is>
      </c>
      <c r="G217" t="inlineStr">
        <is>
          <t>NYKÖPING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46239</v>
      </c>
      <c r="F218" t="inlineStr">
        <is>
          <t>SÖDERMANLANDS LÄN</t>
        </is>
      </c>
      <c r="G218" t="inlineStr">
        <is>
          <t>NYKÖPING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46828-2021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46239</v>
      </c>
      <c r="F219" t="inlineStr">
        <is>
          <t>SÖDERMANLANDS LÄN</t>
        </is>
      </c>
      <c r="G219" t="inlineStr">
        <is>
          <t>NYKÖPING</t>
        </is>
      </c>
      <c r="I219" t="n">
        <v>30.2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30907-2022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44767</v>
      </c>
      <c r="E220" s="1" t="n">
        <v>46239</v>
      </c>
      <c r="F220" t="inlineStr">
        <is>
          <t>SÖDERMANLANDS LÄN</t>
        </is>
      </c>
      <c r="G220" t="inlineStr">
        <is>
          <t>NYKÖPING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46239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46239</v>
      </c>
      <c r="F222" t="inlineStr">
        <is>
          <t>SÖDERMANLANDS LÄN</t>
        </is>
      </c>
      <c r="G222" t="inlineStr">
        <is>
          <t>NYKÖPING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54029-2022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46239</v>
      </c>
      <c r="F223" t="inlineStr">
        <is>
          <t>SÖDERMANLANDS LÄN</t>
        </is>
      </c>
      <c r="G223" t="inlineStr">
        <is>
          <t>NYKÖPING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44440</v>
      </c>
      <c r="E224" s="1" t="n">
        <v>46239</v>
      </c>
      <c r="F224" t="inlineStr">
        <is>
          <t>SÖDERMANLANDS LÄN</t>
        </is>
      </c>
      <c r="G224" t="inlineStr">
        <is>
          <t>NYKÖPING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45348</v>
      </c>
      <c r="E225" s="1" t="n">
        <v>46239</v>
      </c>
      <c r="F225" t="inlineStr">
        <is>
          <t>SÖDERMANLANDS LÄN</t>
        </is>
      </c>
      <c r="G225" t="inlineStr">
        <is>
          <t>NYKÖPING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44627</v>
      </c>
      <c r="E226" s="1" t="n">
        <v>46239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45349</v>
      </c>
      <c r="E227" s="1" t="n">
        <v>46239</v>
      </c>
      <c r="F227" t="inlineStr">
        <is>
          <t>SÖDERMANLANDS LÄN</t>
        </is>
      </c>
      <c r="G227" t="inlineStr">
        <is>
          <t>NYKÖPING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44607</v>
      </c>
      <c r="E228" s="1" t="n">
        <v>46239</v>
      </c>
      <c r="F228" t="inlineStr">
        <is>
          <t>SÖDERMANLANDS LÄN</t>
        </is>
      </c>
      <c r="G228" t="inlineStr">
        <is>
          <t>NYKÖPING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44505</v>
      </c>
      <c r="E229" s="1" t="n">
        <v>46239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46239</v>
      </c>
      <c r="F230" t="inlineStr">
        <is>
          <t>SÖDERMANLANDS LÄN</t>
        </is>
      </c>
      <c r="G230" t="inlineStr">
        <is>
          <t>NYKÖPING</t>
        </is>
      </c>
      <c r="I230" t="n">
        <v>13.5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48459-2021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44452</v>
      </c>
      <c r="E231" s="1" t="n">
        <v>46239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46239</v>
      </c>
      <c r="F232" t="inlineStr">
        <is>
          <t>SÖDERMANLANDS LÄN</t>
        </is>
      </c>
      <c r="G232" t="inlineStr">
        <is>
          <t>NYKÖPING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45008</v>
      </c>
      <c r="E233" s="1" t="n">
        <v>46239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46239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46239</v>
      </c>
      <c r="F235" t="inlineStr">
        <is>
          <t>SÖDERMANLANDS LÄN</t>
        </is>
      </c>
      <c r="G235" t="inlineStr">
        <is>
          <t>NYKÖPING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46239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44784</v>
      </c>
      <c r="E237" s="1" t="n">
        <v>46239</v>
      </c>
      <c r="F237" t="inlineStr">
        <is>
          <t>SÖDERMANLANDS LÄN</t>
        </is>
      </c>
      <c r="G237" t="inlineStr">
        <is>
          <t>NYKÖPING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32721-2022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46239</v>
      </c>
      <c r="F238" t="inlineStr">
        <is>
          <t>SÖDERMANLANDS LÄN</t>
        </is>
      </c>
      <c r="G238" t="inlineStr">
        <is>
          <t>NYKÖPING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44575</v>
      </c>
      <c r="E239" s="1" t="n">
        <v>46239</v>
      </c>
      <c r="F239" t="inlineStr">
        <is>
          <t>SÖDERMANLANDS LÄN</t>
        </is>
      </c>
      <c r="G239" t="inlineStr">
        <is>
          <t>NYKÖPING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46239</v>
      </c>
      <c r="F240" t="inlineStr">
        <is>
          <t>SÖDERMANLANDS LÄN</t>
        </is>
      </c>
      <c r="G240" t="inlineStr">
        <is>
          <t>NYKÖPING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46239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46239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46239</v>
      </c>
      <c r="F243" t="inlineStr">
        <is>
          <t>SÖDERMANLANDS LÄN</t>
        </is>
      </c>
      <c r="G243" t="inlineStr">
        <is>
          <t>NYKÖPING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27947-2025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46239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32594-2022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44783</v>
      </c>
      <c r="E245" s="1" t="n">
        <v>46239</v>
      </c>
      <c r="F245" t="inlineStr">
        <is>
          <t>SÖDERMANLANDS LÄN</t>
        </is>
      </c>
      <c r="G245" t="inlineStr">
        <is>
          <t>NYKÖPING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46239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46239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45278</v>
      </c>
      <c r="E248" s="1" t="n">
        <v>46239</v>
      </c>
      <c r="F248" t="inlineStr">
        <is>
          <t>SÖDERMANLANDS LÄN</t>
        </is>
      </c>
      <c r="G248" t="inlineStr">
        <is>
          <t>NYKÖPING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46239</v>
      </c>
      <c r="F249" t="inlineStr">
        <is>
          <t>SÖDERMANLANDS LÄN</t>
        </is>
      </c>
      <c r="G249" t="inlineStr">
        <is>
          <t>NYKÖPING</t>
        </is>
      </c>
      <c r="I249" t="n">
        <v>10.9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45817</v>
      </c>
      <c r="E250" s="1" t="n">
        <v>46239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46239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45819</v>
      </c>
      <c r="E252" s="1" t="n">
        <v>46239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44620</v>
      </c>
      <c r="E253" s="1" t="n">
        <v>46239</v>
      </c>
      <c r="F253" t="inlineStr">
        <is>
          <t>SÖDERMANLANDS LÄN</t>
        </is>
      </c>
      <c r="G253" t="inlineStr">
        <is>
          <t>NYKÖPING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45301</v>
      </c>
      <c r="E254" s="1" t="n">
        <v>46239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46239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44698</v>
      </c>
      <c r="E256" s="1" t="n">
        <v>46239</v>
      </c>
      <c r="F256" t="inlineStr">
        <is>
          <t>SÖDERMANLANDS LÄN</t>
        </is>
      </c>
      <c r="G256" t="inlineStr">
        <is>
          <t>NYKÖPING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46239</v>
      </c>
      <c r="F257" t="inlineStr">
        <is>
          <t>SÖDERMANLANDS LÄN</t>
        </is>
      </c>
      <c r="G257" t="inlineStr">
        <is>
          <t>NYKÖPING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71555-2021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44540</v>
      </c>
      <c r="E258" s="1" t="n">
        <v>46239</v>
      </c>
      <c r="F258" t="inlineStr">
        <is>
          <t>SÖDERMANLANDS LÄN</t>
        </is>
      </c>
      <c r="G258" t="inlineStr">
        <is>
          <t>NYKÖPING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44967</v>
      </c>
      <c r="E259" s="1" t="n">
        <v>46239</v>
      </c>
      <c r="F259" t="inlineStr">
        <is>
          <t>SÖDERMANLANDS LÄN</t>
        </is>
      </c>
      <c r="G259" t="inlineStr">
        <is>
          <t>NYKÖPING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46239</v>
      </c>
      <c r="F260" t="inlineStr">
        <is>
          <t>SÖDERMANLANDS LÄN</t>
        </is>
      </c>
      <c r="G260" t="inlineStr">
        <is>
          <t>NYKÖPING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54024-2022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46239</v>
      </c>
      <c r="F261" t="inlineStr">
        <is>
          <t>SÖDERMANLANDS LÄN</t>
        </is>
      </c>
      <c r="G261" t="inlineStr">
        <is>
          <t>NYKÖPING</t>
        </is>
      </c>
      <c r="I261" t="n">
        <v>16.2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46239</v>
      </c>
      <c r="F262" t="inlineStr">
        <is>
          <t>SÖDERMANLANDS LÄN</t>
        </is>
      </c>
      <c r="G262" t="inlineStr">
        <is>
          <t>NYKÖPING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42246-2022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46239</v>
      </c>
      <c r="F263" t="inlineStr">
        <is>
          <t>SÖDERMANLANDS LÄN</t>
        </is>
      </c>
      <c r="G263" t="inlineStr">
        <is>
          <t>NYKÖPING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44858</v>
      </c>
      <c r="E264" s="1" t="n">
        <v>46239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statliga verk och myndigheter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34218-2024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45524</v>
      </c>
      <c r="E265" s="1" t="n">
        <v>46239</v>
      </c>
      <c r="F265" t="inlineStr">
        <is>
          <t>SÖDERMANLANDS LÄN</t>
        </is>
      </c>
      <c r="G265" t="inlineStr">
        <is>
          <t>NYKÖPING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44830</v>
      </c>
      <c r="E266" s="1" t="n">
        <v>46239</v>
      </c>
      <c r="F266" t="inlineStr">
        <is>
          <t>SÖDERMANLANDS LÄN</t>
        </is>
      </c>
      <c r="G266" t="inlineStr">
        <is>
          <t>NYKÖPING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46239</v>
      </c>
      <c r="F267" t="inlineStr">
        <is>
          <t>SÖDERMANLANDS LÄN</t>
        </is>
      </c>
      <c r="G267" t="inlineStr">
        <is>
          <t>NYKÖPING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55506-2021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44475</v>
      </c>
      <c r="E268" s="1" t="n">
        <v>46239</v>
      </c>
      <c r="F268" t="inlineStr">
        <is>
          <t>SÖDERMANLANDS LÄN</t>
        </is>
      </c>
      <c r="G268" t="inlineStr">
        <is>
          <t>NYKÖPING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41137-2022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44825</v>
      </c>
      <c r="E269" s="1" t="n">
        <v>46239</v>
      </c>
      <c r="F269" t="inlineStr">
        <is>
          <t>SÖDERMANLANDS LÄN</t>
        </is>
      </c>
      <c r="G269" t="inlineStr">
        <is>
          <t>NYKÖPING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45831</v>
      </c>
      <c r="E270" s="1" t="n">
        <v>46239</v>
      </c>
      <c r="F270" t="inlineStr">
        <is>
          <t>SÖDERMANLANDS LÄN</t>
        </is>
      </c>
      <c r="G270" t="inlineStr">
        <is>
          <t>NYKÖPING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46239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58857-2021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44489</v>
      </c>
      <c r="E272" s="1" t="n">
        <v>46239</v>
      </c>
      <c r="F272" t="inlineStr">
        <is>
          <t>SÖDERMANLANDS LÄN</t>
        </is>
      </c>
      <c r="G272" t="inlineStr">
        <is>
          <t>NYKÖPING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46239</v>
      </c>
      <c r="F273" t="inlineStr">
        <is>
          <t>SÖDERMANLANDS LÄN</t>
        </is>
      </c>
      <c r="G273" t="inlineStr">
        <is>
          <t>NYKÖPING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45327</v>
      </c>
      <c r="E274" s="1" t="n">
        <v>46239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45441</v>
      </c>
      <c r="E275" s="1" t="n">
        <v>46239</v>
      </c>
      <c r="F275" t="inlineStr">
        <is>
          <t>SÖDERMANLANDS LÄN</t>
        </is>
      </c>
      <c r="G275" t="inlineStr">
        <is>
          <t>NYKÖPING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44990</v>
      </c>
      <c r="E276" s="1" t="n">
        <v>46239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Allmännings- och besparingsskogar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44960</v>
      </c>
      <c r="E277" s="1" t="n">
        <v>46239</v>
      </c>
      <c r="F277" t="inlineStr">
        <is>
          <t>SÖDERMANLANDS LÄN</t>
        </is>
      </c>
      <c r="G277" t="inlineStr">
        <is>
          <t>NYKÖPING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46239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31923-2025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45834</v>
      </c>
      <c r="E279" s="1" t="n">
        <v>46239</v>
      </c>
      <c r="F279" t="inlineStr">
        <is>
          <t>SÖDERMANLANDS LÄN</t>
        </is>
      </c>
      <c r="G279" t="inlineStr">
        <is>
          <t>NYKÖPING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46239</v>
      </c>
      <c r="F280" t="inlineStr">
        <is>
          <t>SÖDERMANLANDS LÄN</t>
        </is>
      </c>
      <c r="G280" t="inlineStr">
        <is>
          <t>NYKÖPING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46239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14930-2024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45398</v>
      </c>
      <c r="E282" s="1" t="n">
        <v>46239</v>
      </c>
      <c r="F282" t="inlineStr">
        <is>
          <t>SÖDERMANLANDS LÄN</t>
        </is>
      </c>
      <c r="G282" t="inlineStr">
        <is>
          <t>NYKÖPING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46239</v>
      </c>
      <c r="F283" t="inlineStr">
        <is>
          <t>SÖDERMANLANDS LÄN</t>
        </is>
      </c>
      <c r="G283" t="inlineStr">
        <is>
          <t>NYKÖPING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46239</v>
      </c>
      <c r="F284" t="inlineStr">
        <is>
          <t>SÖDERMANLANDS LÄN</t>
        </is>
      </c>
      <c r="G284" t="inlineStr">
        <is>
          <t>NYKÖPING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44880</v>
      </c>
      <c r="E285" s="1" t="n">
        <v>46239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Övriga Aktiebolag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31922-2025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45834</v>
      </c>
      <c r="E286" s="1" t="n">
        <v>46239</v>
      </c>
      <c r="F286" t="inlineStr">
        <is>
          <t>SÖDERMANLANDS LÄN</t>
        </is>
      </c>
      <c r="G286" t="inlineStr">
        <is>
          <t>NYKÖPING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46239</v>
      </c>
      <c r="F287" t="inlineStr">
        <is>
          <t>SÖDERMANLANDS LÄN</t>
        </is>
      </c>
      <c r="G287" t="inlineStr">
        <is>
          <t>NYKÖPING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44650</v>
      </c>
      <c r="E288" s="1" t="n">
        <v>46239</v>
      </c>
      <c r="F288" t="inlineStr">
        <is>
          <t>SÖDERMANLANDS LÄN</t>
        </is>
      </c>
      <c r="G288" t="inlineStr">
        <is>
          <t>NYKÖPING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43581-2022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44837</v>
      </c>
      <c r="E289" s="1" t="n">
        <v>46239</v>
      </c>
      <c r="F289" t="inlineStr">
        <is>
          <t>SÖDERMANLANDS LÄN</t>
        </is>
      </c>
      <c r="G289" t="inlineStr">
        <is>
          <t>NYKÖPING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44879</v>
      </c>
      <c r="E290" s="1" t="n">
        <v>46239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Övriga Aktiebolag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44879</v>
      </c>
      <c r="E291" s="1" t="n">
        <v>46239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Övriga Aktiebolag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40291-2021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44419</v>
      </c>
      <c r="E292" s="1" t="n">
        <v>46239</v>
      </c>
      <c r="F292" t="inlineStr">
        <is>
          <t>SÖDERMANLANDS LÄN</t>
        </is>
      </c>
      <c r="G292" t="inlineStr">
        <is>
          <t>NYKÖPING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45930-2022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44846</v>
      </c>
      <c r="E293" s="1" t="n">
        <v>46239</v>
      </c>
      <c r="F293" t="inlineStr">
        <is>
          <t>SÖDERMANLANDS LÄN</t>
        </is>
      </c>
      <c r="G293" t="inlineStr">
        <is>
          <t>NYKÖPING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46239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Kyrkan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46239</v>
      </c>
      <c r="F295" t="inlineStr">
        <is>
          <t>SÖDERMANLANDS LÄN</t>
        </is>
      </c>
      <c r="G295" t="inlineStr">
        <is>
          <t>NYKÖPING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46239</v>
      </c>
      <c r="F296" t="inlineStr">
        <is>
          <t>SÖDERMANLANDS LÄN</t>
        </is>
      </c>
      <c r="G296" t="inlineStr">
        <is>
          <t>NYKÖPING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44433</v>
      </c>
      <c r="E297" s="1" t="n">
        <v>46239</v>
      </c>
      <c r="F297" t="inlineStr">
        <is>
          <t>SÖDERMANLANDS LÄN</t>
        </is>
      </c>
      <c r="G297" t="inlineStr">
        <is>
          <t>NYKÖPING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39368-2021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44414</v>
      </c>
      <c r="E298" s="1" t="n">
        <v>46239</v>
      </c>
      <c r="F298" t="inlineStr">
        <is>
          <t>SÖDERMANLANDS LÄN</t>
        </is>
      </c>
      <c r="G298" t="inlineStr">
        <is>
          <t>NYKÖPING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46239</v>
      </c>
      <c r="F299" t="inlineStr">
        <is>
          <t>SÖDERMANLANDS LÄN</t>
        </is>
      </c>
      <c r="G299" t="inlineStr">
        <is>
          <t>NYKÖPING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46239</v>
      </c>
      <c r="F300" t="inlineStr">
        <is>
          <t>SÖDERMANLANDS LÄN</t>
        </is>
      </c>
      <c r="G300" t="inlineStr">
        <is>
          <t>NYKÖPING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44938</v>
      </c>
      <c r="E301" s="1" t="n">
        <v>46239</v>
      </c>
      <c r="F301" t="inlineStr">
        <is>
          <t>SÖDERMANLANDS LÄN</t>
        </is>
      </c>
      <c r="G301" t="inlineStr">
        <is>
          <t>NYKÖPING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46239</v>
      </c>
      <c r="F302" t="inlineStr">
        <is>
          <t>SÖDERMANLANDS LÄN</t>
        </is>
      </c>
      <c r="G302" t="inlineStr">
        <is>
          <t>NYKÖPING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46239</v>
      </c>
      <c r="F303" t="inlineStr">
        <is>
          <t>SÖDERMANLANDS LÄN</t>
        </is>
      </c>
      <c r="G303" t="inlineStr">
        <is>
          <t>NYKÖPING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46239</v>
      </c>
      <c r="F304" t="inlineStr">
        <is>
          <t>SÖDERMANLANDS LÄN</t>
        </is>
      </c>
      <c r="G304" t="inlineStr">
        <is>
          <t>NYKÖPING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52374-2023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45224</v>
      </c>
      <c r="E305" s="1" t="n">
        <v>46239</v>
      </c>
      <c r="F305" t="inlineStr">
        <is>
          <t>SÖDERMANLANDS LÄN</t>
        </is>
      </c>
      <c r="G305" t="inlineStr">
        <is>
          <t>NYKÖPING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46239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61618-2022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44916</v>
      </c>
      <c r="E307" s="1" t="n">
        <v>46239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45844</v>
      </c>
      <c r="E308" s="1" t="n">
        <v>46239</v>
      </c>
      <c r="F308" t="inlineStr">
        <is>
          <t>SÖDERMANLANDS LÄN</t>
        </is>
      </c>
      <c r="G308" t="inlineStr">
        <is>
          <t>NYKÖPING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42971-2021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44430</v>
      </c>
      <c r="E309" s="1" t="n">
        <v>46239</v>
      </c>
      <c r="F309" t="inlineStr">
        <is>
          <t>SÖDERMANLANDS LÄN</t>
        </is>
      </c>
      <c r="G309" t="inlineStr">
        <is>
          <t>NYKÖPING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39120-2022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44817</v>
      </c>
      <c r="E310" s="1" t="n">
        <v>46239</v>
      </c>
      <c r="F310" t="inlineStr">
        <is>
          <t>SÖDERMANLANDS LÄN</t>
        </is>
      </c>
      <c r="G310" t="inlineStr">
        <is>
          <t>NYKÖPING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45019</v>
      </c>
      <c r="E311" s="1" t="n">
        <v>46239</v>
      </c>
      <c r="F311" t="inlineStr">
        <is>
          <t>SÖDERMANLANDS LÄN</t>
        </is>
      </c>
      <c r="G311" t="inlineStr">
        <is>
          <t>NYKÖPING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44812</v>
      </c>
      <c r="E312" s="1" t="n">
        <v>46239</v>
      </c>
      <c r="F312" t="inlineStr">
        <is>
          <t>SÖDERMANLANDS LÄN</t>
        </is>
      </c>
      <c r="G312" t="inlineStr">
        <is>
          <t>NYKÖPING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65923-2021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44517</v>
      </c>
      <c r="E313" s="1" t="n">
        <v>46239</v>
      </c>
      <c r="F313" t="inlineStr">
        <is>
          <t>SÖDERMANLANDS LÄN</t>
        </is>
      </c>
      <c r="G313" t="inlineStr">
        <is>
          <t>NYKÖPING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46239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44938</v>
      </c>
      <c r="E315" s="1" t="n">
        <v>46239</v>
      </c>
      <c r="F315" t="inlineStr">
        <is>
          <t>SÖDERMANLANDS LÄN</t>
        </is>
      </c>
      <c r="G315" t="inlineStr">
        <is>
          <t>NYKÖPING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45365</v>
      </c>
      <c r="E316" s="1" t="n">
        <v>46239</v>
      </c>
      <c r="F316" t="inlineStr">
        <is>
          <t>SÖDERMANLANDS LÄN</t>
        </is>
      </c>
      <c r="G316" t="inlineStr">
        <is>
          <t>NYKÖPING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46239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72985-2021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44549</v>
      </c>
      <c r="E318" s="1" t="n">
        <v>46239</v>
      </c>
      <c r="F318" t="inlineStr">
        <is>
          <t>SÖDERMANLANDS LÄN</t>
        </is>
      </c>
      <c r="G318" t="inlineStr">
        <is>
          <t>NYKÖPING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44977</v>
      </c>
      <c r="E319" s="1" t="n">
        <v>46239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46239</v>
      </c>
      <c r="F320" t="inlineStr">
        <is>
          <t>SÖDERMANLANDS LÄN</t>
        </is>
      </c>
      <c r="G320" t="inlineStr">
        <is>
          <t>NYKÖPING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51530-2022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44869</v>
      </c>
      <c r="E321" s="1" t="n">
        <v>46239</v>
      </c>
      <c r="F321" t="inlineStr">
        <is>
          <t>SÖDERMANLANDS LÄN</t>
        </is>
      </c>
      <c r="G321" t="inlineStr">
        <is>
          <t>NYKÖPING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44837</v>
      </c>
      <c r="E322" s="1" t="n">
        <v>46239</v>
      </c>
      <c r="F322" t="inlineStr">
        <is>
          <t>SÖDERMANLANDS LÄN</t>
        </is>
      </c>
      <c r="G322" t="inlineStr">
        <is>
          <t>NYKÖPING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48709-2022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44859</v>
      </c>
      <c r="E323" s="1" t="n">
        <v>46239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46239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46239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46239</v>
      </c>
      <c r="F326" t="inlineStr">
        <is>
          <t>SÖDERMANLANDS LÄN</t>
        </is>
      </c>
      <c r="G326" t="inlineStr">
        <is>
          <t>NYKÖPING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45062</v>
      </c>
      <c r="E327" s="1" t="n">
        <v>46239</v>
      </c>
      <c r="F327" t="inlineStr">
        <is>
          <t>SÖDERMANLANDS LÄN</t>
        </is>
      </c>
      <c r="G327" t="inlineStr">
        <is>
          <t>NYKÖPING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45860</v>
      </c>
      <c r="E328" s="1" t="n">
        <v>46239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45370</v>
      </c>
      <c r="E329" s="1" t="n">
        <v>46239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Kommuner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46239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46575-2021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44445</v>
      </c>
      <c r="E331" s="1" t="n">
        <v>46239</v>
      </c>
      <c r="F331" t="inlineStr">
        <is>
          <t>SÖDERMANLANDS LÄN</t>
        </is>
      </c>
      <c r="G331" t="inlineStr">
        <is>
          <t>NYKÖPING</t>
        </is>
      </c>
      <c r="I331" t="n">
        <v>19.1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51556-2024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45604</v>
      </c>
      <c r="E332" s="1" t="n">
        <v>46239</v>
      </c>
      <c r="F332" t="inlineStr">
        <is>
          <t>SÖDERMANLANDS LÄN</t>
        </is>
      </c>
      <c r="G332" t="inlineStr">
        <is>
          <t>NYKÖPING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46239</v>
      </c>
      <c r="F333" t="inlineStr">
        <is>
          <t>SÖDERMANLANDS LÄN</t>
        </is>
      </c>
      <c r="G333" t="inlineStr">
        <is>
          <t>NYKÖPING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46239</v>
      </c>
      <c r="F334" t="inlineStr">
        <is>
          <t>SÖDERMANLANDS LÄN</t>
        </is>
      </c>
      <c r="G334" t="inlineStr">
        <is>
          <t>NYKÖPING</t>
        </is>
      </c>
      <c r="I334" t="n">
        <v>14.9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46239</v>
      </c>
      <c r="F335" t="inlineStr">
        <is>
          <t>SÖDERMANLANDS LÄN</t>
        </is>
      </c>
      <c r="G335" t="inlineStr">
        <is>
          <t>NYKÖPING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46239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41646-2021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44425</v>
      </c>
      <c r="E337" s="1" t="n">
        <v>46239</v>
      </c>
      <c r="F337" t="inlineStr">
        <is>
          <t>SÖDERMANLANDS LÄN</t>
        </is>
      </c>
      <c r="G337" t="inlineStr">
        <is>
          <t>NYKÖPING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45424</v>
      </c>
      <c r="E338" s="1" t="n">
        <v>46239</v>
      </c>
      <c r="F338" t="inlineStr">
        <is>
          <t>SÖDERMANLANDS LÄN</t>
        </is>
      </c>
      <c r="G338" t="inlineStr">
        <is>
          <t>NYKÖPING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44959</v>
      </c>
      <c r="E339" s="1" t="n">
        <v>46239</v>
      </c>
      <c r="F339" t="inlineStr">
        <is>
          <t>SÖDERMANLANDS LÄN</t>
        </is>
      </c>
      <c r="G339" t="inlineStr">
        <is>
          <t>NYKÖPING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44837</v>
      </c>
      <c r="E340" s="1" t="n">
        <v>46239</v>
      </c>
      <c r="F340" t="inlineStr">
        <is>
          <t>SÖDERMANLANDS LÄN</t>
        </is>
      </c>
      <c r="G340" t="inlineStr">
        <is>
          <t>NYKÖPING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45027</v>
      </c>
      <c r="E341" s="1" t="n">
        <v>46239</v>
      </c>
      <c r="F341" t="inlineStr">
        <is>
          <t>SÖDERMANLANDS LÄN</t>
        </is>
      </c>
      <c r="G341" t="inlineStr">
        <is>
          <t>NYKÖPING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44949</v>
      </c>
      <c r="E342" s="1" t="n">
        <v>46239</v>
      </c>
      <c r="F342" t="inlineStr">
        <is>
          <t>SÖDERMANLANDS LÄN</t>
        </is>
      </c>
      <c r="G342" t="inlineStr">
        <is>
          <t>NYKÖPING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44430</v>
      </c>
      <c r="E343" s="1" t="n">
        <v>46239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46239</v>
      </c>
      <c r="F344" t="inlineStr">
        <is>
          <t>SÖDERMANLANDS LÄN</t>
        </is>
      </c>
      <c r="G344" t="inlineStr">
        <is>
          <t>NYKÖPING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45216</v>
      </c>
      <c r="E345" s="1" t="n">
        <v>46239</v>
      </c>
      <c r="F345" t="inlineStr">
        <is>
          <t>SÖDERMANLANDS LÄN</t>
        </is>
      </c>
      <c r="G345" t="inlineStr">
        <is>
          <t>NYKÖPING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46239</v>
      </c>
      <c r="F346" t="inlineStr">
        <is>
          <t>SÖDERMANLANDS LÄN</t>
        </is>
      </c>
      <c r="G346" t="inlineStr">
        <is>
          <t>NYKÖPING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53374-2021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44468</v>
      </c>
      <c r="E347" s="1" t="n">
        <v>46239</v>
      </c>
      <c r="F347" t="inlineStr">
        <is>
          <t>SÖDERMANLANDS LÄN</t>
        </is>
      </c>
      <c r="G347" t="inlineStr">
        <is>
          <t>NYKÖPING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72666-2021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44546</v>
      </c>
      <c r="E348" s="1" t="n">
        <v>46239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55983-2021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44477</v>
      </c>
      <c r="E349" s="1" t="n">
        <v>46239</v>
      </c>
      <c r="F349" t="inlineStr">
        <is>
          <t>SÖDERMANLANDS LÄN</t>
        </is>
      </c>
      <c r="G349" t="inlineStr">
        <is>
          <t>NYKÖPING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44968</v>
      </c>
      <c r="E350" s="1" t="n">
        <v>46239</v>
      </c>
      <c r="F350" t="inlineStr">
        <is>
          <t>SÖDERMANLANDS LÄN</t>
        </is>
      </c>
      <c r="G350" t="inlineStr">
        <is>
          <t>NYKÖPING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46239</v>
      </c>
      <c r="F351" t="inlineStr">
        <is>
          <t>SÖDERMANLANDS LÄN</t>
        </is>
      </c>
      <c r="G351" t="inlineStr">
        <is>
          <t>NYKÖPING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46239</v>
      </c>
      <c r="F352" t="inlineStr">
        <is>
          <t>SÖDERMANLANDS LÄN</t>
        </is>
      </c>
      <c r="G352" t="inlineStr">
        <is>
          <t>NYKÖPING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39253-2023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45166</v>
      </c>
      <c r="E353" s="1" t="n">
        <v>46239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27563-2024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45474</v>
      </c>
      <c r="E354" s="1" t="n">
        <v>46239</v>
      </c>
      <c r="F354" t="inlineStr">
        <is>
          <t>SÖDERMANLANDS LÄN</t>
        </is>
      </c>
      <c r="G354" t="inlineStr">
        <is>
          <t>NYKÖPING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72117-2021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44543</v>
      </c>
      <c r="E355" s="1" t="n">
        <v>46239</v>
      </c>
      <c r="F355" t="inlineStr">
        <is>
          <t>SÖDERMANLANDS LÄN</t>
        </is>
      </c>
      <c r="G355" t="inlineStr">
        <is>
          <t>NYKÖPING</t>
        </is>
      </c>
      <c r="I355" t="n">
        <v>14.9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48819-2021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44452</v>
      </c>
      <c r="E356" s="1" t="n">
        <v>46239</v>
      </c>
      <c r="F356" t="inlineStr">
        <is>
          <t>SÖDERMANLANDS LÄN</t>
        </is>
      </c>
      <c r="G356" t="inlineStr">
        <is>
          <t>NYKÖPING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46239</v>
      </c>
      <c r="F357" t="inlineStr">
        <is>
          <t>SÖDERMANLANDS LÄN</t>
        </is>
      </c>
      <c r="G357" t="inlineStr">
        <is>
          <t>NYKÖPING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9469-2022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46239</v>
      </c>
      <c r="F358" t="inlineStr">
        <is>
          <t>SÖDERMANLANDS LÄN</t>
        </is>
      </c>
      <c r="G358" t="inlineStr">
        <is>
          <t>NYKÖPING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46239</v>
      </c>
      <c r="F359" t="inlineStr">
        <is>
          <t>SÖDERMANLANDS LÄN</t>
        </is>
      </c>
      <c r="G359" t="inlineStr">
        <is>
          <t>NYKÖPING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46239</v>
      </c>
      <c r="F360" t="inlineStr">
        <is>
          <t>SÖDERMANLANDS LÄN</t>
        </is>
      </c>
      <c r="G360" t="inlineStr">
        <is>
          <t>NYKÖPING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46239</v>
      </c>
      <c r="F361" t="inlineStr">
        <is>
          <t>SÖDERMANLANDS LÄN</t>
        </is>
      </c>
      <c r="G361" t="inlineStr">
        <is>
          <t>NYKÖPING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45098</v>
      </c>
      <c r="E362" s="1" t="n">
        <v>46239</v>
      </c>
      <c r="F362" t="inlineStr">
        <is>
          <t>SÖDERMANLANDS LÄN</t>
        </is>
      </c>
      <c r="G362" t="inlineStr">
        <is>
          <t>NYKÖPING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46239</v>
      </c>
      <c r="F363" t="inlineStr">
        <is>
          <t>SÖDERMANLANDS LÄN</t>
        </is>
      </c>
      <c r="G363" t="inlineStr">
        <is>
          <t>NYKÖPING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45029</v>
      </c>
      <c r="E364" s="1" t="n">
        <v>46239</v>
      </c>
      <c r="F364" t="inlineStr">
        <is>
          <t>SÖDERMANLANDS LÄN</t>
        </is>
      </c>
      <c r="G364" t="inlineStr">
        <is>
          <t>NYKÖPING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46239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27975-2022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44744</v>
      </c>
      <c r="E366" s="1" t="n">
        <v>46239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68401-2021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44529</v>
      </c>
      <c r="E367" s="1" t="n">
        <v>46239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16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67736-2021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44525</v>
      </c>
      <c r="E368" s="1" t="n">
        <v>46239</v>
      </c>
      <c r="F368" t="inlineStr">
        <is>
          <t>SÖDERMANLANDS LÄN</t>
        </is>
      </c>
      <c r="G368" t="inlineStr">
        <is>
          <t>NYKÖPING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51410-2022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44869</v>
      </c>
      <c r="E369" s="1" t="n">
        <v>46239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46239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46239</v>
      </c>
      <c r="F371" t="inlineStr">
        <is>
          <t>SÖDERMANLANDS LÄN</t>
        </is>
      </c>
      <c r="G371" t="inlineStr">
        <is>
          <t>NYKÖPING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46239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Övriga Aktiebolag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56491-2022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44893</v>
      </c>
      <c r="E373" s="1" t="n">
        <v>46239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Övriga Aktiebolag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59733-2021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44494</v>
      </c>
      <c r="E374" s="1" t="n">
        <v>46239</v>
      </c>
      <c r="F374" t="inlineStr">
        <is>
          <t>SÖDERMANLANDS LÄN</t>
        </is>
      </c>
      <c r="G374" t="inlineStr">
        <is>
          <t>NYKÖPING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46239</v>
      </c>
      <c r="F375" t="inlineStr">
        <is>
          <t>SÖDERMANLANDS LÄN</t>
        </is>
      </c>
      <c r="G375" t="inlineStr">
        <is>
          <t>NYKÖPING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44936</v>
      </c>
      <c r="E376" s="1" t="n">
        <v>46239</v>
      </c>
      <c r="F376" t="inlineStr">
        <is>
          <t>SÖDERMANLANDS LÄN</t>
        </is>
      </c>
      <c r="G376" t="inlineStr">
        <is>
          <t>NYKÖPING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45365</v>
      </c>
      <c r="E377" s="1" t="n">
        <v>46239</v>
      </c>
      <c r="F377" t="inlineStr">
        <is>
          <t>SÖDERMANLANDS LÄN</t>
        </is>
      </c>
      <c r="G377" t="inlineStr">
        <is>
          <t>NYKÖPING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68401-2021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44529</v>
      </c>
      <c r="E378" s="1" t="n">
        <v>46239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45034</v>
      </c>
      <c r="E379" s="1" t="n">
        <v>46239</v>
      </c>
      <c r="F379" t="inlineStr">
        <is>
          <t>SÖDERMANLANDS LÄN</t>
        </is>
      </c>
      <c r="G379" t="inlineStr">
        <is>
          <t>NYKÖPING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70749-2021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44536</v>
      </c>
      <c r="E380" s="1" t="n">
        <v>46239</v>
      </c>
      <c r="F380" t="inlineStr">
        <is>
          <t>SÖDERMANLANDS LÄN</t>
        </is>
      </c>
      <c r="G380" t="inlineStr">
        <is>
          <t>NYKÖPING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44976</v>
      </c>
      <c r="E381" s="1" t="n">
        <v>46239</v>
      </c>
      <c r="F381" t="inlineStr">
        <is>
          <t>SÖDERMANLANDS LÄN</t>
        </is>
      </c>
      <c r="G381" t="inlineStr">
        <is>
          <t>NYKÖPING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46239</v>
      </c>
      <c r="F382" t="inlineStr">
        <is>
          <t>SÖDERMANLANDS LÄN</t>
        </is>
      </c>
      <c r="G382" t="inlineStr">
        <is>
          <t>NYKÖPING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38317-2022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44812</v>
      </c>
      <c r="E383" s="1" t="n">
        <v>46239</v>
      </c>
      <c r="F383" t="inlineStr">
        <is>
          <t>SÖDERMANLANDS LÄN</t>
        </is>
      </c>
      <c r="G383" t="inlineStr">
        <is>
          <t>NYKÖPING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46239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44510</v>
      </c>
      <c r="E385" s="1" t="n">
        <v>46239</v>
      </c>
      <c r="F385" t="inlineStr">
        <is>
          <t>SÖDERMANLANDS LÄN</t>
        </is>
      </c>
      <c r="G385" t="inlineStr">
        <is>
          <t>NYKÖPING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45373</v>
      </c>
      <c r="E386" s="1" t="n">
        <v>46239</v>
      </c>
      <c r="F386" t="inlineStr">
        <is>
          <t>SÖDERMANLANDS LÄN</t>
        </is>
      </c>
      <c r="G386" t="inlineStr">
        <is>
          <t>NYKÖPING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45160</v>
      </c>
      <c r="E387" s="1" t="n">
        <v>46239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46239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Kommuner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51689-2021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44462</v>
      </c>
      <c r="E389" s="1" t="n">
        <v>46239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18827-2022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44690</v>
      </c>
      <c r="E390" s="1" t="n">
        <v>46239</v>
      </c>
      <c r="F390" t="inlineStr">
        <is>
          <t>SÖDERMANLANDS LÄN</t>
        </is>
      </c>
      <c r="G390" t="inlineStr">
        <is>
          <t>NYKÖPING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46239</v>
      </c>
      <c r="F391" t="inlineStr">
        <is>
          <t>SÖDERMANLANDS LÄN</t>
        </is>
      </c>
      <c r="G391" t="inlineStr">
        <is>
          <t>NYKÖPING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56228-2024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45624</v>
      </c>
      <c r="E392" s="1" t="n">
        <v>46239</v>
      </c>
      <c r="F392" t="inlineStr">
        <is>
          <t>SÖDERMANLANDS LÄN</t>
        </is>
      </c>
      <c r="G392" t="inlineStr">
        <is>
          <t>NYKÖPING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43657-2022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44837</v>
      </c>
      <c r="E393" s="1" t="n">
        <v>46239</v>
      </c>
      <c r="F393" t="inlineStr">
        <is>
          <t>SÖDERMANLANDS LÄN</t>
        </is>
      </c>
      <c r="G393" t="inlineStr">
        <is>
          <t>NYKÖPING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42368-2024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45564</v>
      </c>
      <c r="E394" s="1" t="n">
        <v>46239</v>
      </c>
      <c r="F394" t="inlineStr">
        <is>
          <t>SÖDERMANLANDS LÄN</t>
        </is>
      </c>
      <c r="G394" t="inlineStr">
        <is>
          <t>NYKÖPING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44978</v>
      </c>
      <c r="E395" s="1" t="n">
        <v>46239</v>
      </c>
      <c r="F395" t="inlineStr">
        <is>
          <t>SÖDERMANLANDS LÄN</t>
        </is>
      </c>
      <c r="G395" t="inlineStr">
        <is>
          <t>NYKÖPING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45856-2021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44433</v>
      </c>
      <c r="E396" s="1" t="n">
        <v>46239</v>
      </c>
      <c r="F396" t="inlineStr">
        <is>
          <t>SÖDERMANLANDS LÄN</t>
        </is>
      </c>
      <c r="G396" t="inlineStr">
        <is>
          <t>NYKÖPING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61007-2021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44497</v>
      </c>
      <c r="E397" s="1" t="n">
        <v>46239</v>
      </c>
      <c r="F397" t="inlineStr">
        <is>
          <t>SÖDERMANLANDS LÄN</t>
        </is>
      </c>
      <c r="G397" t="inlineStr">
        <is>
          <t>NYKÖPING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45329</v>
      </c>
      <c r="E398" s="1" t="n">
        <v>46239</v>
      </c>
      <c r="F398" t="inlineStr">
        <is>
          <t>SÖDERMANLANDS LÄN</t>
        </is>
      </c>
      <c r="G398" t="inlineStr">
        <is>
          <t>NYKÖPING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68041-2021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46239</v>
      </c>
      <c r="F399" t="inlineStr">
        <is>
          <t>SÖDERMANLANDS LÄN</t>
        </is>
      </c>
      <c r="G399" t="inlineStr">
        <is>
          <t>NYKÖPING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45729</v>
      </c>
      <c r="E400" s="1" t="n">
        <v>46239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44938</v>
      </c>
      <c r="E401" s="1" t="n">
        <v>46239</v>
      </c>
      <c r="F401" t="inlineStr">
        <is>
          <t>SÖDERMANLANDS LÄN</t>
        </is>
      </c>
      <c r="G401" t="inlineStr">
        <is>
          <t>NYKÖPING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46239</v>
      </c>
      <c r="F402" t="inlineStr">
        <is>
          <t>SÖDERMANLANDS LÄN</t>
        </is>
      </c>
      <c r="G402" t="inlineStr">
        <is>
          <t>NYKÖPING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36573-2024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45537</v>
      </c>
      <c r="E403" s="1" t="n">
        <v>46239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Kommuner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44960</v>
      </c>
      <c r="E404" s="1" t="n">
        <v>46239</v>
      </c>
      <c r="F404" t="inlineStr">
        <is>
          <t>SÖDERMANLANDS LÄN</t>
        </is>
      </c>
      <c r="G404" t="inlineStr">
        <is>
          <t>NYKÖPING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49494-2021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44454</v>
      </c>
      <c r="E405" s="1" t="n">
        <v>46239</v>
      </c>
      <c r="F405" t="inlineStr">
        <is>
          <t>SÖDERMANLANDS LÄN</t>
        </is>
      </c>
      <c r="G405" t="inlineStr">
        <is>
          <t>NYKÖPING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46239</v>
      </c>
      <c r="F406" t="inlineStr">
        <is>
          <t>SÖDERMANLANDS LÄN</t>
        </is>
      </c>
      <c r="G406" t="inlineStr">
        <is>
          <t>NYKÖPING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44977</v>
      </c>
      <c r="E407" s="1" t="n">
        <v>46239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Övriga Aktiebolag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6392-2023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44965</v>
      </c>
      <c r="E408" s="1" t="n">
        <v>46239</v>
      </c>
      <c r="F408" t="inlineStr">
        <is>
          <t>SÖDERMANLANDS LÄN</t>
        </is>
      </c>
      <c r="G408" t="inlineStr">
        <is>
          <t>NYKÖPING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64099-2021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44509</v>
      </c>
      <c r="E409" s="1" t="n">
        <v>46239</v>
      </c>
      <c r="F409" t="inlineStr">
        <is>
          <t>SÖDERMANLANDS LÄN</t>
        </is>
      </c>
      <c r="G409" t="inlineStr">
        <is>
          <t>NYKÖPING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57836-2023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45247</v>
      </c>
      <c r="E410" s="1" t="n">
        <v>46239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Övriga Aktiebolag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45061</v>
      </c>
      <c r="E411" s="1" t="n">
        <v>46239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46239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Sveaskog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6519-2023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44965</v>
      </c>
      <c r="E413" s="1" t="n">
        <v>46239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Kyrkan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44988</v>
      </c>
      <c r="E414" s="1" t="n">
        <v>46239</v>
      </c>
      <c r="F414" t="inlineStr">
        <is>
          <t>SÖDERMANLANDS LÄN</t>
        </is>
      </c>
      <c r="G414" t="inlineStr">
        <is>
          <t>NYKÖPING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8388-2024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45352</v>
      </c>
      <c r="E415" s="1" t="n">
        <v>46239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45352</v>
      </c>
      <c r="E416" s="1" t="n">
        <v>46239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Kommuner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56268-2022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44890</v>
      </c>
      <c r="E417" s="1" t="n">
        <v>46239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Övriga Aktiebolag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44579</v>
      </c>
      <c r="E418" s="1" t="n">
        <v>46239</v>
      </c>
      <c r="F418" t="inlineStr">
        <is>
          <t>SÖDERMANLANDS LÄN</t>
        </is>
      </c>
      <c r="G418" t="inlineStr">
        <is>
          <t>NYKÖPING</t>
        </is>
      </c>
      <c r="I418" t="n">
        <v>10.8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44579</v>
      </c>
      <c r="E419" s="1" t="n">
        <v>46239</v>
      </c>
      <c r="F419" t="inlineStr">
        <is>
          <t>SÖDERMANLANDS LÄN</t>
        </is>
      </c>
      <c r="G419" t="inlineStr">
        <is>
          <t>NYKÖPING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46239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17315-2024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45414</v>
      </c>
      <c r="E421" s="1" t="n">
        <v>46239</v>
      </c>
      <c r="F421" t="inlineStr">
        <is>
          <t>SÖDERMANLANDS LÄN</t>
        </is>
      </c>
      <c r="G421" t="inlineStr">
        <is>
          <t>NYKÖPING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43359-2021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44432</v>
      </c>
      <c r="E422" s="1" t="n">
        <v>46239</v>
      </c>
      <c r="F422" t="inlineStr">
        <is>
          <t>SÖDERMANLANDS LÄN</t>
        </is>
      </c>
      <c r="G422" t="inlineStr">
        <is>
          <t>NYKÖPING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35019-2023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45143</v>
      </c>
      <c r="E423" s="1" t="n">
        <v>46239</v>
      </c>
      <c r="F423" t="inlineStr">
        <is>
          <t>SÖDERMANLANDS LÄN</t>
        </is>
      </c>
      <c r="G423" t="inlineStr">
        <is>
          <t>NYKÖPING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44579</v>
      </c>
      <c r="E424" s="1" t="n">
        <v>46239</v>
      </c>
      <c r="F424" t="inlineStr">
        <is>
          <t>SÖDERMANLANDS LÄN</t>
        </is>
      </c>
      <c r="G424" t="inlineStr">
        <is>
          <t>NYKÖPING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45393</v>
      </c>
      <c r="E425" s="1" t="n">
        <v>46239</v>
      </c>
      <c r="F425" t="inlineStr">
        <is>
          <t>SÖDERMANLANDS LÄN</t>
        </is>
      </c>
      <c r="G425" t="inlineStr">
        <is>
          <t>NYKÖPING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38846-2023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46239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44578</v>
      </c>
      <c r="E427" s="1" t="n">
        <v>46239</v>
      </c>
      <c r="F427" t="inlineStr">
        <is>
          <t>SÖDERMANLANDS LÄN</t>
        </is>
      </c>
      <c r="G427" t="inlineStr">
        <is>
          <t>NYKÖPING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45520</v>
      </c>
      <c r="E428" s="1" t="n">
        <v>46239</v>
      </c>
      <c r="F428" t="inlineStr">
        <is>
          <t>SÖDERMANLANDS LÄN</t>
        </is>
      </c>
      <c r="G428" t="inlineStr">
        <is>
          <t>NYKÖPING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46239</v>
      </c>
      <c r="F429" t="inlineStr">
        <is>
          <t>SÖDERMANLANDS LÄN</t>
        </is>
      </c>
      <c r="G429" t="inlineStr">
        <is>
          <t>NYKÖPING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45062</v>
      </c>
      <c r="E430" s="1" t="n">
        <v>46239</v>
      </c>
      <c r="F430" t="inlineStr">
        <is>
          <t>SÖDERMANLANDS LÄN</t>
        </is>
      </c>
      <c r="G430" t="inlineStr">
        <is>
          <t>NYKÖPING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45282-2022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44844</v>
      </c>
      <c r="E431" s="1" t="n">
        <v>46239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45143</v>
      </c>
      <c r="E432" s="1" t="n">
        <v>46239</v>
      </c>
      <c r="F432" t="inlineStr">
        <is>
          <t>SÖDERMANLANDS LÄN</t>
        </is>
      </c>
      <c r="G432" t="inlineStr">
        <is>
          <t>NYKÖPING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18941-2023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45044</v>
      </c>
      <c r="E433" s="1" t="n">
        <v>46239</v>
      </c>
      <c r="F433" t="inlineStr">
        <is>
          <t>SÖDERMANLANDS LÄN</t>
        </is>
      </c>
      <c r="G433" t="inlineStr">
        <is>
          <t>NYKÖPING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68024-2021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46239</v>
      </c>
      <c r="F434" t="inlineStr">
        <is>
          <t>SÖDERMANLANDS LÄN</t>
        </is>
      </c>
      <c r="G434" t="inlineStr">
        <is>
          <t>NYKÖPING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68030-2021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46239</v>
      </c>
      <c r="F435" t="inlineStr">
        <is>
          <t>SÖDERMANLANDS LÄN</t>
        </is>
      </c>
      <c r="G435" t="inlineStr">
        <is>
          <t>NYKÖPING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46239</v>
      </c>
      <c r="F436" t="inlineStr">
        <is>
          <t>SÖDERMANLANDS LÄN</t>
        </is>
      </c>
      <c r="G436" t="inlineStr">
        <is>
          <t>NYKÖPING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44725</v>
      </c>
      <c r="E437" s="1" t="n">
        <v>46239</v>
      </c>
      <c r="F437" t="inlineStr">
        <is>
          <t>SÖDERMANLANDS LÄN</t>
        </is>
      </c>
      <c r="G437" t="inlineStr">
        <is>
          <t>NYKÖPING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46239</v>
      </c>
      <c r="F438" t="inlineStr">
        <is>
          <t>SÖDERMANLANDS LÄN</t>
        </is>
      </c>
      <c r="G438" t="inlineStr">
        <is>
          <t>NYKÖPING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14848-2024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45398</v>
      </c>
      <c r="E439" s="1" t="n">
        <v>46239</v>
      </c>
      <c r="F439" t="inlineStr">
        <is>
          <t>SÖDERMANLANDS LÄN</t>
        </is>
      </c>
      <c r="G439" t="inlineStr">
        <is>
          <t>NYKÖPING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46239</v>
      </c>
      <c r="F440" t="inlineStr">
        <is>
          <t>SÖDERMANLANDS LÄN</t>
        </is>
      </c>
      <c r="G440" t="inlineStr">
        <is>
          <t>NYKÖPING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44998</v>
      </c>
      <c r="E441" s="1" t="n">
        <v>46239</v>
      </c>
      <c r="F441" t="inlineStr">
        <is>
          <t>SÖDERMANLANDS LÄN</t>
        </is>
      </c>
      <c r="G441" t="inlineStr">
        <is>
          <t>NYKÖPING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45410</v>
      </c>
      <c r="E442" s="1" t="n">
        <v>46239</v>
      </c>
      <c r="F442" t="inlineStr">
        <is>
          <t>SÖDERMANLANDS LÄN</t>
        </is>
      </c>
      <c r="G442" t="inlineStr">
        <is>
          <t>NYKÖPING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44678</v>
      </c>
      <c r="E443" s="1" t="n">
        <v>46239</v>
      </c>
      <c r="F443" t="inlineStr">
        <is>
          <t>SÖDERMANLANDS LÄN</t>
        </is>
      </c>
      <c r="G443" t="inlineStr">
        <is>
          <t>NYKÖPING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35361-2025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45854</v>
      </c>
      <c r="E444" s="1" t="n">
        <v>46239</v>
      </c>
      <c r="F444" t="inlineStr">
        <is>
          <t>SÖDERMANLANDS LÄN</t>
        </is>
      </c>
      <c r="G444" t="inlineStr">
        <is>
          <t>NYKÖPING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39068-2025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45888</v>
      </c>
      <c r="E445" s="1" t="n">
        <v>46239</v>
      </c>
      <c r="F445" t="inlineStr">
        <is>
          <t>SÖDERMANLANDS LÄN</t>
        </is>
      </c>
      <c r="G445" t="inlineStr">
        <is>
          <t>NYKÖPING</t>
        </is>
      </c>
      <c r="I445" t="n">
        <v>15.2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45033</v>
      </c>
      <c r="E446" s="1" t="n">
        <v>46239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16.5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46239</v>
      </c>
      <c r="F447" t="inlineStr">
        <is>
          <t>SÖDERMANLANDS LÄN</t>
        </is>
      </c>
      <c r="G447" t="inlineStr">
        <is>
          <t>NYKÖPING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45385</v>
      </c>
      <c r="E448" s="1" t="n">
        <v>46239</v>
      </c>
      <c r="F448" t="inlineStr">
        <is>
          <t>SÖDERMANLANDS LÄN</t>
        </is>
      </c>
      <c r="G448" t="inlineStr">
        <is>
          <t>NYKÖPING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45005</v>
      </c>
      <c r="E449" s="1" t="n">
        <v>46239</v>
      </c>
      <c r="F449" t="inlineStr">
        <is>
          <t>SÖDERMANLANDS LÄN</t>
        </is>
      </c>
      <c r="G449" t="inlineStr">
        <is>
          <t>NYKÖPING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46239</v>
      </c>
      <c r="F450" t="inlineStr">
        <is>
          <t>SÖDERMANLANDS LÄN</t>
        </is>
      </c>
      <c r="G450" t="inlineStr">
        <is>
          <t>NYKÖPING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45310</v>
      </c>
      <c r="E451" s="1" t="n">
        <v>46239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46239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Övriga Aktiebolag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45602</v>
      </c>
      <c r="E453" s="1" t="n">
        <v>46239</v>
      </c>
      <c r="F453" t="inlineStr">
        <is>
          <t>SÖDERMANLANDS LÄN</t>
        </is>
      </c>
      <c r="G453" t="inlineStr">
        <is>
          <t>NYKÖPING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44938</v>
      </c>
      <c r="E454" s="1" t="n">
        <v>46239</v>
      </c>
      <c r="F454" t="inlineStr">
        <is>
          <t>SÖDERMANLANDS LÄN</t>
        </is>
      </c>
      <c r="G454" t="inlineStr">
        <is>
          <t>NYKÖPING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45062</v>
      </c>
      <c r="E455" s="1" t="n">
        <v>46239</v>
      </c>
      <c r="F455" t="inlineStr">
        <is>
          <t>SÖDERMANLANDS LÄN</t>
        </is>
      </c>
      <c r="G455" t="inlineStr">
        <is>
          <t>NYKÖPING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31401-2022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44774</v>
      </c>
      <c r="E456" s="1" t="n">
        <v>46239</v>
      </c>
      <c r="F456" t="inlineStr">
        <is>
          <t>SÖDERMANLANDS LÄN</t>
        </is>
      </c>
      <c r="G456" t="inlineStr">
        <is>
          <t>NYKÖPING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45685</v>
      </c>
      <c r="E457" s="1" t="n">
        <v>46239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45110</v>
      </c>
      <c r="E458" s="1" t="n">
        <v>46239</v>
      </c>
      <c r="F458" t="inlineStr">
        <is>
          <t>SÖDERMANLANDS LÄN</t>
        </is>
      </c>
      <c r="G458" t="inlineStr">
        <is>
          <t>NYKÖPING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9842-2022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44620</v>
      </c>
      <c r="E459" s="1" t="n">
        <v>46239</v>
      </c>
      <c r="F459" t="inlineStr">
        <is>
          <t>SÖDERMANLANDS LÄN</t>
        </is>
      </c>
      <c r="G459" t="inlineStr">
        <is>
          <t>NYKÖPING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7036-2023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44968</v>
      </c>
      <c r="E460" s="1" t="n">
        <v>46239</v>
      </c>
      <c r="F460" t="inlineStr">
        <is>
          <t>SÖDERMANLANDS LÄN</t>
        </is>
      </c>
      <c r="G460" t="inlineStr">
        <is>
          <t>NYKÖPING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18604-2023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45043</v>
      </c>
      <c r="E461" s="1" t="n">
        <v>46239</v>
      </c>
      <c r="F461" t="inlineStr">
        <is>
          <t>SÖDERMANLANDS LÄN</t>
        </is>
      </c>
      <c r="G461" t="inlineStr">
        <is>
          <t>NYKÖPING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46239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Övriga Aktiebolag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45370</v>
      </c>
      <c r="E463" s="1" t="n">
        <v>46239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Kommuner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42749-2025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45908</v>
      </c>
      <c r="E464" s="1" t="n">
        <v>46239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45546</v>
      </c>
      <c r="E465" s="1" t="n">
        <v>46239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46239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59159-2022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44896</v>
      </c>
      <c r="E467" s="1" t="n">
        <v>46239</v>
      </c>
      <c r="F467" t="inlineStr">
        <is>
          <t>SÖDERMANLANDS LÄN</t>
        </is>
      </c>
      <c r="G467" t="inlineStr">
        <is>
          <t>NYKÖPING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46239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45364</v>
      </c>
      <c r="E469" s="1" t="n">
        <v>46239</v>
      </c>
      <c r="F469" t="inlineStr">
        <is>
          <t>SÖDERMANLANDS LÄN</t>
        </is>
      </c>
      <c r="G469" t="inlineStr">
        <is>
          <t>NYKÖPING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54183-2022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44881</v>
      </c>
      <c r="E470" s="1" t="n">
        <v>46239</v>
      </c>
      <c r="F470" t="inlineStr">
        <is>
          <t>SÖDERMANLANDS LÄN</t>
        </is>
      </c>
      <c r="G470" t="inlineStr">
        <is>
          <t>NYKÖPING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45762</v>
      </c>
      <c r="E471" s="1" t="n">
        <v>46239</v>
      </c>
      <c r="F471" t="inlineStr">
        <is>
          <t>SÖDERMANLANDS LÄN</t>
        </is>
      </c>
      <c r="G471" t="inlineStr">
        <is>
          <t>NYKÖPING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44733</v>
      </c>
      <c r="E472" s="1" t="n">
        <v>46239</v>
      </c>
      <c r="F472" t="inlineStr">
        <is>
          <t>SÖDERMANLANDS LÄN</t>
        </is>
      </c>
      <c r="G472" t="inlineStr">
        <is>
          <t>NYKÖPING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45148</v>
      </c>
      <c r="E473" s="1" t="n">
        <v>46239</v>
      </c>
      <c r="F473" t="inlineStr">
        <is>
          <t>SÖDERMANLANDS LÄN</t>
        </is>
      </c>
      <c r="G473" t="inlineStr">
        <is>
          <t>NYKÖPING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32875-2022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44784</v>
      </c>
      <c r="E474" s="1" t="n">
        <v>46239</v>
      </c>
      <c r="F474" t="inlineStr">
        <is>
          <t>SÖDERMANLANDS LÄN</t>
        </is>
      </c>
      <c r="G474" t="inlineStr">
        <is>
          <t>NYKÖPING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49291-2023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46239</v>
      </c>
      <c r="F475" t="inlineStr">
        <is>
          <t>SÖDERMANLANDS LÄN</t>
        </is>
      </c>
      <c r="G475" t="inlineStr">
        <is>
          <t>NYKÖPING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71115-2021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46239</v>
      </c>
      <c r="F476" t="inlineStr">
        <is>
          <t>SÖDERMANLANDS LÄN</t>
        </is>
      </c>
      <c r="G476" t="inlineStr">
        <is>
          <t>NYKÖPING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44957</v>
      </c>
      <c r="E477" s="1" t="n">
        <v>46239</v>
      </c>
      <c r="F477" t="inlineStr">
        <is>
          <t>SÖDERMANLANDS LÄN</t>
        </is>
      </c>
      <c r="G477" t="inlineStr">
        <is>
          <t>NYKÖPING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60634-2022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46239</v>
      </c>
      <c r="F478" t="inlineStr">
        <is>
          <t>SÖDERMANLANDS LÄN</t>
        </is>
      </c>
      <c r="G478" t="inlineStr">
        <is>
          <t>NYKÖPING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21137-2023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45062</v>
      </c>
      <c r="E479" s="1" t="n">
        <v>46239</v>
      </c>
      <c r="F479" t="inlineStr">
        <is>
          <t>SÖDERMANLANDS LÄN</t>
        </is>
      </c>
      <c r="G479" t="inlineStr">
        <is>
          <t>NYKÖPING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45721</v>
      </c>
      <c r="E480" s="1" t="n">
        <v>46239</v>
      </c>
      <c r="F480" t="inlineStr">
        <is>
          <t>SÖDERMANLANDS LÄN</t>
        </is>
      </c>
      <c r="G480" t="inlineStr">
        <is>
          <t>NYKÖPING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44236-2025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45915</v>
      </c>
      <c r="E481" s="1" t="n">
        <v>46239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Holmen skog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45051</v>
      </c>
      <c r="E482" s="1" t="n">
        <v>46239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44944</v>
      </c>
      <c r="E483" s="1" t="n">
        <v>46239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Sveaskog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44932</v>
      </c>
      <c r="E484" s="1" t="n">
        <v>46239</v>
      </c>
      <c r="F484" t="inlineStr">
        <is>
          <t>SÖDERMANLANDS LÄN</t>
        </is>
      </c>
      <c r="G484" t="inlineStr">
        <is>
          <t>NYKÖPING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44932</v>
      </c>
      <c r="E485" s="1" t="n">
        <v>46239</v>
      </c>
      <c r="F485" t="inlineStr">
        <is>
          <t>SÖDERMANLANDS LÄN</t>
        </is>
      </c>
      <c r="G485" t="inlineStr">
        <is>
          <t>NYKÖPING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55312-2021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44475</v>
      </c>
      <c r="E486" s="1" t="n">
        <v>46239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44942</v>
      </c>
      <c r="E487" s="1" t="n">
        <v>46239</v>
      </c>
      <c r="F487" t="inlineStr">
        <is>
          <t>SÖDERMANLANDS LÄN</t>
        </is>
      </c>
      <c r="G487" t="inlineStr">
        <is>
          <t>NYKÖPING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44936</v>
      </c>
      <c r="E488" s="1" t="n">
        <v>46239</v>
      </c>
      <c r="F488" t="inlineStr">
        <is>
          <t>SÖDERMANLANDS LÄN</t>
        </is>
      </c>
      <c r="G488" t="inlineStr">
        <is>
          <t>NYKÖPING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41288-2023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45174</v>
      </c>
      <c r="E489" s="1" t="n">
        <v>46239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45123-2025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45919</v>
      </c>
      <c r="E490" s="1" t="n">
        <v>46239</v>
      </c>
      <c r="F490" t="inlineStr">
        <is>
          <t>SÖDERMANLANDS LÄN</t>
        </is>
      </c>
      <c r="G490" t="inlineStr">
        <is>
          <t>NYKÖPING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24631-2022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46239</v>
      </c>
      <c r="F491" t="inlineStr">
        <is>
          <t>SÖDERMANLANDS LÄN</t>
        </is>
      </c>
      <c r="G491" t="inlineStr">
        <is>
          <t>NYKÖPING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31392-2022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44774</v>
      </c>
      <c r="E492" s="1" t="n">
        <v>46239</v>
      </c>
      <c r="F492" t="inlineStr">
        <is>
          <t>SÖDERMANLANDS LÄN</t>
        </is>
      </c>
      <c r="G492" t="inlineStr">
        <is>
          <t>NYKÖPING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42251-2022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44830</v>
      </c>
      <c r="E493" s="1" t="n">
        <v>46239</v>
      </c>
      <c r="F493" t="inlineStr">
        <is>
          <t>SÖDERMANLANDS LÄN</t>
        </is>
      </c>
      <c r="G493" t="inlineStr">
        <is>
          <t>NYKÖPING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44965</v>
      </c>
      <c r="E494" s="1" t="n">
        <v>46239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Kyrkan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11554-2025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45727</v>
      </c>
      <c r="E495" s="1" t="n">
        <v>46239</v>
      </c>
      <c r="F495" t="inlineStr">
        <is>
          <t>SÖDERMANLANDS LÄN</t>
        </is>
      </c>
      <c r="G495" t="inlineStr">
        <is>
          <t>NYKÖPING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45540</v>
      </c>
      <c r="E496" s="1" t="n">
        <v>46239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44740</v>
      </c>
      <c r="E497" s="1" t="n">
        <v>46239</v>
      </c>
      <c r="F497" t="inlineStr">
        <is>
          <t>SÖDERMANLANDS LÄN</t>
        </is>
      </c>
      <c r="G497" t="inlineStr">
        <is>
          <t>NYKÖPING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45855</v>
      </c>
      <c r="E498" s="1" t="n">
        <v>46239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35415-2025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45855</v>
      </c>
      <c r="E499" s="1" t="n">
        <v>46239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45729</v>
      </c>
      <c r="E500" s="1" t="n">
        <v>46239</v>
      </c>
      <c r="F500" t="inlineStr">
        <is>
          <t>SÖDERMANLANDS LÄN</t>
        </is>
      </c>
      <c r="G500" t="inlineStr">
        <is>
          <t>NYKÖPING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45729</v>
      </c>
      <c r="E501" s="1" t="n">
        <v>46239</v>
      </c>
      <c r="F501" t="inlineStr">
        <is>
          <t>SÖDERMANLANDS LÄN</t>
        </is>
      </c>
      <c r="G501" t="inlineStr">
        <is>
          <t>NYKÖPING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45268</v>
      </c>
      <c r="E502" s="1" t="n">
        <v>46239</v>
      </c>
      <c r="F502" t="inlineStr">
        <is>
          <t>SÖDERMANLANDS LÄN</t>
        </is>
      </c>
      <c r="G502" t="inlineStr">
        <is>
          <t>NYKÖPING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32837-2022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44784</v>
      </c>
      <c r="E503" s="1" t="n">
        <v>46239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Kommuner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52546-2023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45218</v>
      </c>
      <c r="E504" s="1" t="n">
        <v>46239</v>
      </c>
      <c r="F504" t="inlineStr">
        <is>
          <t>SÖDERMANLANDS LÄN</t>
        </is>
      </c>
      <c r="G504" t="inlineStr">
        <is>
          <t>NYKÖPING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65174-2023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45288</v>
      </c>
      <c r="E505" s="1" t="n">
        <v>46239</v>
      </c>
      <c r="F505" t="inlineStr">
        <is>
          <t>SÖDERMANLANDS LÄN</t>
        </is>
      </c>
      <c r="G505" t="inlineStr">
        <is>
          <t>NYKÖPING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45072</v>
      </c>
      <c r="E506" s="1" t="n">
        <v>46239</v>
      </c>
      <c r="F506" t="inlineStr">
        <is>
          <t>SÖDERMANLANDS LÄN</t>
        </is>
      </c>
      <c r="G506" t="inlineStr">
        <is>
          <t>NYKÖPING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68500-2021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44529</v>
      </c>
      <c r="E507" s="1" t="n">
        <v>46239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Övriga Aktiebolag</t>
        </is>
      </c>
      <c r="I507" t="n">
        <v>13.1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39429-2021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44414</v>
      </c>
      <c r="E508" s="1" t="n">
        <v>46239</v>
      </c>
      <c r="F508" t="inlineStr">
        <is>
          <t>SÖDERMANLANDS LÄN</t>
        </is>
      </c>
      <c r="G508" t="inlineStr">
        <is>
          <t>NYKÖPING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42856-2021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44430</v>
      </c>
      <c r="E509" s="1" t="n">
        <v>46239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45384</v>
      </c>
      <c r="E510" s="1" t="n">
        <v>46239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46239</v>
      </c>
      <c r="F511" t="inlineStr">
        <is>
          <t>SÖDERMANLANDS LÄN</t>
        </is>
      </c>
      <c r="G511" t="inlineStr">
        <is>
          <t>NYKÖPING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35467-2025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45855</v>
      </c>
      <c r="E512" s="1" t="n">
        <v>46239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35455-2025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45855</v>
      </c>
      <c r="E513" s="1" t="n">
        <v>46239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45106</v>
      </c>
      <c r="E514" s="1" t="n">
        <v>46239</v>
      </c>
      <c r="F514" t="inlineStr">
        <is>
          <t>SÖDERMANLANDS LÄN</t>
        </is>
      </c>
      <c r="G514" t="inlineStr">
        <is>
          <t>NYKÖPING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1558-2024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45306</v>
      </c>
      <c r="E515" s="1" t="n">
        <v>46239</v>
      </c>
      <c r="F515" t="inlineStr">
        <is>
          <t>SÖDERMANLANDS LÄN</t>
        </is>
      </c>
      <c r="G515" t="inlineStr">
        <is>
          <t>NYKÖPING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51259-2024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45603</v>
      </c>
      <c r="E516" s="1" t="n">
        <v>46239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Sveaskog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44977</v>
      </c>
      <c r="E517" s="1" t="n">
        <v>46239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45443</v>
      </c>
      <c r="E518" s="1" t="n">
        <v>46239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44676</v>
      </c>
      <c r="E519" s="1" t="n">
        <v>46239</v>
      </c>
      <c r="F519" t="inlineStr">
        <is>
          <t>SÖDERMANLANDS LÄN</t>
        </is>
      </c>
      <c r="G519" t="inlineStr">
        <is>
          <t>NYKÖPING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45424</v>
      </c>
      <c r="E520" s="1" t="n">
        <v>46239</v>
      </c>
      <c r="F520" t="inlineStr">
        <is>
          <t>SÖDERMANLANDS LÄN</t>
        </is>
      </c>
      <c r="G520" t="inlineStr">
        <is>
          <t>NYKÖPING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44950</v>
      </c>
      <c r="E521" s="1" t="n">
        <v>46239</v>
      </c>
      <c r="F521" t="inlineStr">
        <is>
          <t>SÖDERMANLANDS LÄN</t>
        </is>
      </c>
      <c r="G521" t="inlineStr">
        <is>
          <t>NYKÖPING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46239</v>
      </c>
      <c r="F522" t="inlineStr">
        <is>
          <t>SÖDERMANLANDS LÄN</t>
        </is>
      </c>
      <c r="G522" t="inlineStr">
        <is>
          <t>NYKÖPING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21676-2026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46149</v>
      </c>
      <c r="E523" s="1" t="n">
        <v>46239</v>
      </c>
      <c r="F523" t="inlineStr">
        <is>
          <t>SÖDERMANLANDS LÄN</t>
        </is>
      </c>
      <c r="G523" t="inlineStr">
        <is>
          <t>NYKÖPING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8324-2024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45350</v>
      </c>
      <c r="E524" s="1" t="n">
        <v>46239</v>
      </c>
      <c r="F524" t="inlineStr">
        <is>
          <t>SÖDERMANLANDS LÄN</t>
        </is>
      </c>
      <c r="G524" t="inlineStr">
        <is>
          <t>NYKÖPING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46239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46239</v>
      </c>
      <c r="F526" t="inlineStr">
        <is>
          <t>SÖDERMANLANDS LÄN</t>
        </is>
      </c>
      <c r="G526" t="inlineStr">
        <is>
          <t>NYKÖPING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50340-2025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45944</v>
      </c>
      <c r="E527" s="1" t="n">
        <v>46239</v>
      </c>
      <c r="F527" t="inlineStr">
        <is>
          <t>SÖDERMANLANDS LÄN</t>
        </is>
      </c>
      <c r="G527" t="inlineStr">
        <is>
          <t>NYKÖPING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45315</v>
      </c>
      <c r="E528" s="1" t="n">
        <v>46239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Kyrkan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45938</v>
      </c>
      <c r="E529" s="1" t="n">
        <v>46239</v>
      </c>
      <c r="F529" t="inlineStr">
        <is>
          <t>SÖDERMANLANDS LÄN</t>
        </is>
      </c>
      <c r="G529" t="inlineStr">
        <is>
          <t>NYKÖPING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50688-2025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45945</v>
      </c>
      <c r="E530" s="1" t="n">
        <v>46239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Kyrkan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50691-2025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46239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Kyrkan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45946</v>
      </c>
      <c r="E532" s="1" t="n">
        <v>46239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44824-2023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45190</v>
      </c>
      <c r="E533" s="1" t="n">
        <v>46239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7045-2023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44968</v>
      </c>
      <c r="E534" s="1" t="n">
        <v>46239</v>
      </c>
      <c r="F534" t="inlineStr">
        <is>
          <t>SÖDERMANLANDS LÄN</t>
        </is>
      </c>
      <c r="G534" t="inlineStr">
        <is>
          <t>NYKÖPING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45775</v>
      </c>
      <c r="E535" s="1" t="n">
        <v>46239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Kommuner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44582</v>
      </c>
      <c r="E536" s="1" t="n">
        <v>46239</v>
      </c>
      <c r="F536" t="inlineStr">
        <is>
          <t>SÖDERMANLANDS LÄN</t>
        </is>
      </c>
      <c r="G536" t="inlineStr">
        <is>
          <t>NYKÖPING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45900</v>
      </c>
      <c r="E537" s="1" t="n">
        <v>46239</v>
      </c>
      <c r="F537" t="inlineStr">
        <is>
          <t>SÖDERMANLANDS LÄN</t>
        </is>
      </c>
      <c r="G537" t="inlineStr">
        <is>
          <t>NYKÖPING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52572-2025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45954</v>
      </c>
      <c r="E538" s="1" t="n">
        <v>46239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22475-2026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46155</v>
      </c>
      <c r="E539" s="1" t="n">
        <v>46239</v>
      </c>
      <c r="F539" t="inlineStr">
        <is>
          <t>SÖDERMANLANDS LÄN</t>
        </is>
      </c>
      <c r="G539" t="inlineStr">
        <is>
          <t>NYKÖPING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45940</v>
      </c>
      <c r="E540" s="1" t="n">
        <v>46239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Sveaskog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8378-2024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45351</v>
      </c>
      <c r="E541" s="1" t="n">
        <v>46239</v>
      </c>
      <c r="F541" t="inlineStr">
        <is>
          <t>SÖDERMANLANDS LÄN</t>
        </is>
      </c>
      <c r="G541" t="inlineStr">
        <is>
          <t>NYKÖPING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46239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45820</v>
      </c>
      <c r="E543" s="1" t="n">
        <v>46239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45798</v>
      </c>
      <c r="E544" s="1" t="n">
        <v>46239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45635</v>
      </c>
      <c r="E545" s="1" t="n">
        <v>46239</v>
      </c>
      <c r="F545" t="inlineStr">
        <is>
          <t>SÖDERMANLANDS LÄN</t>
        </is>
      </c>
      <c r="G545" t="inlineStr">
        <is>
          <t>NYKÖPING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34203-2024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45524</v>
      </c>
      <c r="E546" s="1" t="n">
        <v>46239</v>
      </c>
      <c r="F546" t="inlineStr">
        <is>
          <t>SÖDERMANLANDS LÄN</t>
        </is>
      </c>
      <c r="G546" t="inlineStr">
        <is>
          <t>NYKÖPING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45216</v>
      </c>
      <c r="E547" s="1" t="n">
        <v>46239</v>
      </c>
      <c r="F547" t="inlineStr">
        <is>
          <t>SÖDERMANLANDS LÄN</t>
        </is>
      </c>
      <c r="G547" t="inlineStr">
        <is>
          <t>NYKÖPING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46239</v>
      </c>
      <c r="F548" t="inlineStr">
        <is>
          <t>SÖDERMANLANDS LÄN</t>
        </is>
      </c>
      <c r="G548" t="inlineStr">
        <is>
          <t>NYKÖPING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42977-2021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44430</v>
      </c>
      <c r="E549" s="1" t="n">
        <v>46239</v>
      </c>
      <c r="F549" t="inlineStr">
        <is>
          <t>SÖDERMANLANDS LÄN</t>
        </is>
      </c>
      <c r="G549" t="inlineStr">
        <is>
          <t>NYKÖPING</t>
        </is>
      </c>
      <c r="I549" t="n">
        <v>25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53071-2024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45611</v>
      </c>
      <c r="E550" s="1" t="n">
        <v>46239</v>
      </c>
      <c r="F550" t="inlineStr">
        <is>
          <t>SÖDERMANLANDS LÄN</t>
        </is>
      </c>
      <c r="G550" t="inlineStr">
        <is>
          <t>NYKÖPING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46239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45970</v>
      </c>
      <c r="E552" s="1" t="n">
        <v>46239</v>
      </c>
      <c r="F552" t="inlineStr">
        <is>
          <t>SÖDERMANLANDS LÄN</t>
        </is>
      </c>
      <c r="G552" t="inlineStr">
        <is>
          <t>NYKÖPING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45974</v>
      </c>
      <c r="E553" s="1" t="n">
        <v>46239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56845-2025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46239</v>
      </c>
      <c r="F554" t="inlineStr">
        <is>
          <t>SÖDERMANLANDS LÄN</t>
        </is>
      </c>
      <c r="G554" t="inlineStr">
        <is>
          <t>NYKÖPING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46084</v>
      </c>
      <c r="E555" s="1" t="n">
        <v>46239</v>
      </c>
      <c r="F555" t="inlineStr">
        <is>
          <t>SÖDERMANLANDS LÄN</t>
        </is>
      </c>
      <c r="G555" t="inlineStr">
        <is>
          <t>NYKÖPING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38149-2024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45545</v>
      </c>
      <c r="E556" s="1" t="n">
        <v>46239</v>
      </c>
      <c r="F556" t="inlineStr">
        <is>
          <t>SÖDERMANLANDS LÄN</t>
        </is>
      </c>
      <c r="G556" t="inlineStr">
        <is>
          <t>NYKÖPING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56342-2025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46239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46239</v>
      </c>
      <c r="F558" t="inlineStr">
        <is>
          <t>SÖDERMANLANDS LÄN</t>
        </is>
      </c>
      <c r="G558" t="inlineStr">
        <is>
          <t>NYKÖPING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46161</v>
      </c>
      <c r="E559" s="1" t="n">
        <v>46239</v>
      </c>
      <c r="F559" t="inlineStr">
        <is>
          <t>SÖDERMANLANDS LÄN</t>
        </is>
      </c>
      <c r="G559" t="inlineStr">
        <is>
          <t>NYKÖPING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46239</v>
      </c>
      <c r="F560" t="inlineStr">
        <is>
          <t>SÖDERMANLANDS LÄN</t>
        </is>
      </c>
      <c r="G560" t="inlineStr">
        <is>
          <t>NYKÖPING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48484-2022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46239</v>
      </c>
      <c r="F561" t="inlineStr">
        <is>
          <t>SÖDERMANLANDS LÄN</t>
        </is>
      </c>
      <c r="G561" t="inlineStr">
        <is>
          <t>NYKÖPING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46239</v>
      </c>
      <c r="F562" t="inlineStr">
        <is>
          <t>SÖDERMANLANDS LÄN</t>
        </is>
      </c>
      <c r="G562" t="inlineStr">
        <is>
          <t>NYKÖPING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46239</v>
      </c>
      <c r="F563" t="inlineStr">
        <is>
          <t>SÖDERMANLANDS LÄN</t>
        </is>
      </c>
      <c r="G563" t="inlineStr">
        <is>
          <t>NYKÖPING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46239</v>
      </c>
      <c r="F564" t="inlineStr">
        <is>
          <t>SÖDERMANLANDS LÄN</t>
        </is>
      </c>
      <c r="G564" t="inlineStr">
        <is>
          <t>NYKÖPING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46239</v>
      </c>
      <c r="F565" t="inlineStr">
        <is>
          <t>SÖDERMANLANDS LÄN</t>
        </is>
      </c>
      <c r="G565" t="inlineStr">
        <is>
          <t>NYKÖPING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57324-2025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46239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57074-2025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45979</v>
      </c>
      <c r="E567" s="1" t="n">
        <v>46239</v>
      </c>
      <c r="F567" t="inlineStr">
        <is>
          <t>SÖDERMANLANDS LÄN</t>
        </is>
      </c>
      <c r="G567" t="inlineStr">
        <is>
          <t>NYKÖPING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46239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30198-2022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44757</v>
      </c>
      <c r="E569" s="1" t="n">
        <v>46239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23637-2026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46163</v>
      </c>
      <c r="E570" s="1" t="n">
        <v>46239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58786-2025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46239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Sveaskog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45986</v>
      </c>
      <c r="E572" s="1" t="n">
        <v>46239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45224</v>
      </c>
      <c r="E573" s="1" t="n">
        <v>46239</v>
      </c>
      <c r="F573" t="inlineStr">
        <is>
          <t>SÖDERMANLANDS LÄN</t>
        </is>
      </c>
      <c r="G573" t="inlineStr">
        <is>
          <t>NYKÖPING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41719-2021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44425</v>
      </c>
      <c r="E574" s="1" t="n">
        <v>46239</v>
      </c>
      <c r="F574" t="inlineStr">
        <is>
          <t>SÖDERMANLANDS LÄN</t>
        </is>
      </c>
      <c r="G574" t="inlineStr">
        <is>
          <t>NYKÖPING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12135-2025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45729</v>
      </c>
      <c r="E575" s="1" t="n">
        <v>46239</v>
      </c>
      <c r="F575" t="inlineStr">
        <is>
          <t>SÖDERMANLANDS LÄN</t>
        </is>
      </c>
      <c r="G575" t="inlineStr">
        <is>
          <t>NYKÖPING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44473-2021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44435</v>
      </c>
      <c r="E576" s="1" t="n">
        <v>46239</v>
      </c>
      <c r="F576" t="inlineStr">
        <is>
          <t>SÖDERMANLANDS LÄN</t>
        </is>
      </c>
      <c r="G576" t="inlineStr">
        <is>
          <t>NYKÖPING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12111-2026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46086</v>
      </c>
      <c r="E577" s="1" t="n">
        <v>46239</v>
      </c>
      <c r="F577" t="inlineStr">
        <is>
          <t>SÖDERMANLANDS LÄN</t>
        </is>
      </c>
      <c r="G577" t="inlineStr">
        <is>
          <t>NYKÖPING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59906-2025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46239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46239</v>
      </c>
      <c r="F579" t="inlineStr">
        <is>
          <t>SÖDERMANLANDS LÄN</t>
        </is>
      </c>
      <c r="G579" t="inlineStr">
        <is>
          <t>NYKÖPING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59991-2025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45993</v>
      </c>
      <c r="E580" s="1" t="n">
        <v>46239</v>
      </c>
      <c r="F580" t="inlineStr">
        <is>
          <t>SÖDERMANLANDS LÄN</t>
        </is>
      </c>
      <c r="G580" t="inlineStr">
        <is>
          <t>NYKÖPING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45993</v>
      </c>
      <c r="E581" s="1" t="n">
        <v>46239</v>
      </c>
      <c r="F581" t="inlineStr">
        <is>
          <t>SÖDERMANLANDS LÄN</t>
        </is>
      </c>
      <c r="G581" t="inlineStr">
        <is>
          <t>NYKÖPING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59998-2025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46239</v>
      </c>
      <c r="F582" t="inlineStr">
        <is>
          <t>SÖDERMANLANDS LÄN</t>
        </is>
      </c>
      <c r="G582" t="inlineStr">
        <is>
          <t>NYKÖPING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59917-2025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45993</v>
      </c>
      <c r="E583" s="1" t="n">
        <v>46239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44575</v>
      </c>
      <c r="E584" s="1" t="n">
        <v>46239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46239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Kyrkan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12144-2025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45729</v>
      </c>
      <c r="E586" s="1" t="n">
        <v>46239</v>
      </c>
      <c r="F586" t="inlineStr">
        <is>
          <t>SÖDERMANLANDS LÄN</t>
        </is>
      </c>
      <c r="G586" t="inlineStr">
        <is>
          <t>NYKÖPING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49289-2023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45210</v>
      </c>
      <c r="E587" s="1" t="n">
        <v>46239</v>
      </c>
      <c r="F587" t="inlineStr">
        <is>
          <t>SÖDERMANLANDS LÄN</t>
        </is>
      </c>
      <c r="G587" t="inlineStr">
        <is>
          <t>NYKÖPING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46239</v>
      </c>
      <c r="F588" t="inlineStr">
        <is>
          <t>SÖDERMANLANDS LÄN</t>
        </is>
      </c>
      <c r="G588" t="inlineStr">
        <is>
          <t>NYKÖPING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46169</v>
      </c>
      <c r="E589" s="1" t="n">
        <v>46239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Kyrkan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61253-2025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46239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Allmännings- och besparingsskogar</t>
        </is>
      </c>
      <c r="I590" t="n">
        <v>13.5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46239</v>
      </c>
      <c r="F591" t="inlineStr">
        <is>
          <t>SÖDERMANLANDS LÄN</t>
        </is>
      </c>
      <c r="G591" t="inlineStr">
        <is>
          <t>NYKÖPING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30695-2026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46211</v>
      </c>
      <c r="E592" s="1" t="n">
        <v>46239</v>
      </c>
      <c r="F592" t="inlineStr">
        <is>
          <t>SÖDERMANLANDS LÄN</t>
        </is>
      </c>
      <c r="G592" t="inlineStr">
        <is>
          <t>NYKÖPING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45999</v>
      </c>
      <c r="E593" s="1" t="n">
        <v>46239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Allmännings- och besparingsskogar</t>
        </is>
      </c>
      <c r="I593" t="n">
        <v>10.6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45761</v>
      </c>
      <c r="E594" s="1" t="n">
        <v>46239</v>
      </c>
      <c r="F594" t="inlineStr">
        <is>
          <t>SÖDERMANLANDS LÄN</t>
        </is>
      </c>
      <c r="G594" t="inlineStr">
        <is>
          <t>NYKÖPING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30855-2023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45110</v>
      </c>
      <c r="E595" s="1" t="n">
        <v>46239</v>
      </c>
      <c r="F595" t="inlineStr">
        <is>
          <t>SÖDERMANLANDS LÄN</t>
        </is>
      </c>
      <c r="G595" t="inlineStr">
        <is>
          <t>NYKÖPING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47260-2023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45202</v>
      </c>
      <c r="E596" s="1" t="n">
        <v>46239</v>
      </c>
      <c r="F596" t="inlineStr">
        <is>
          <t>SÖDERMANLANDS LÄN</t>
        </is>
      </c>
      <c r="G596" t="inlineStr">
        <is>
          <t>NYKÖPING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46239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45672</v>
      </c>
      <c r="E598" s="1" t="n">
        <v>46239</v>
      </c>
      <c r="F598" t="inlineStr">
        <is>
          <t>SÖDERMANLANDS LÄN</t>
        </is>
      </c>
      <c r="G598" t="inlineStr">
        <is>
          <t>NYKÖPING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46239</v>
      </c>
      <c r="F599" t="inlineStr">
        <is>
          <t>SÖDERMANLANDS LÄN</t>
        </is>
      </c>
      <c r="G599" t="inlineStr">
        <is>
          <t>NYKÖPING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50156-2021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44456</v>
      </c>
      <c r="E600" s="1" t="n">
        <v>46239</v>
      </c>
      <c r="F600" t="inlineStr">
        <is>
          <t>SÖDERMANLANDS LÄN</t>
        </is>
      </c>
      <c r="G600" t="inlineStr">
        <is>
          <t>NYKÖPING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46003</v>
      </c>
      <c r="E601" s="1" t="n">
        <v>46239</v>
      </c>
      <c r="F601" t="inlineStr">
        <is>
          <t>SÖDERMANLANDS LÄN</t>
        </is>
      </c>
      <c r="G601" t="inlineStr">
        <is>
          <t>NYKÖPING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46239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41735-2021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44425</v>
      </c>
      <c r="E603" s="1" t="n">
        <v>46239</v>
      </c>
      <c r="F603" t="inlineStr">
        <is>
          <t>SÖDERMANLANDS LÄN</t>
        </is>
      </c>
      <c r="G603" t="inlineStr">
        <is>
          <t>NYKÖPING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62113-2025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46006</v>
      </c>
      <c r="E604" s="1" t="n">
        <v>46239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62517-2025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46007</v>
      </c>
      <c r="E605" s="1" t="n">
        <v>46239</v>
      </c>
      <c r="F605" t="inlineStr">
        <is>
          <t>SÖDERMANLANDS LÄN</t>
        </is>
      </c>
      <c r="G605" t="inlineStr">
        <is>
          <t>NYKÖPING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46007</v>
      </c>
      <c r="E606" s="1" t="n">
        <v>46239</v>
      </c>
      <c r="F606" t="inlineStr">
        <is>
          <t>SÖDERMANLANDS LÄN</t>
        </is>
      </c>
      <c r="G606" t="inlineStr">
        <is>
          <t>NYKÖPING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46007</v>
      </c>
      <c r="E607" s="1" t="n">
        <v>46239</v>
      </c>
      <c r="F607" t="inlineStr">
        <is>
          <t>SÖDERMANLANDS LÄN</t>
        </is>
      </c>
      <c r="G607" t="inlineStr">
        <is>
          <t>NYKÖPING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63293-2025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46239</v>
      </c>
      <c r="F608" t="inlineStr">
        <is>
          <t>SÖDERMANLANDS LÄN</t>
        </is>
      </c>
      <c r="G608" t="inlineStr">
        <is>
          <t>NYKÖPING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46239</v>
      </c>
      <c r="F609" t="inlineStr">
        <is>
          <t>SÖDERMANLANDS LÄN</t>
        </is>
      </c>
      <c r="G609" t="inlineStr">
        <is>
          <t>NYKÖPING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62917-2025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46009</v>
      </c>
      <c r="E610" s="1" t="n">
        <v>46239</v>
      </c>
      <c r="F610" t="inlineStr">
        <is>
          <t>SÖDERMANLANDS LÄN</t>
        </is>
      </c>
      <c r="G610" t="inlineStr">
        <is>
          <t>NYKÖPING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63322-2025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46239</v>
      </c>
      <c r="F611" t="inlineStr">
        <is>
          <t>SÖDERMANLANDS LÄN</t>
        </is>
      </c>
      <c r="G611" t="inlineStr">
        <is>
          <t>NYKÖPING</t>
        </is>
      </c>
      <c r="I611" t="n">
        <v>21.2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46239</v>
      </c>
      <c r="F612" t="inlineStr">
        <is>
          <t>SÖDERMANLANDS LÄN</t>
        </is>
      </c>
      <c r="G612" t="inlineStr">
        <is>
          <t>NYKÖPING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45855</v>
      </c>
      <c r="E613" s="1" t="n">
        <v>46239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43306-2023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45183</v>
      </c>
      <c r="E614" s="1" t="n">
        <v>46239</v>
      </c>
      <c r="F614" t="inlineStr">
        <is>
          <t>SÖDERMANLANDS LÄN</t>
        </is>
      </c>
      <c r="G614" t="inlineStr">
        <is>
          <t>NYKÖPING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13967-2026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46239</v>
      </c>
      <c r="F615" t="inlineStr">
        <is>
          <t>SÖDERMANLANDS LÄN</t>
        </is>
      </c>
      <c r="G615" t="inlineStr">
        <is>
          <t>NYKÖPING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25334-2026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46239</v>
      </c>
      <c r="F616" t="inlineStr">
        <is>
          <t>SÖDERMANLANDS LÄN</t>
        </is>
      </c>
      <c r="G616" t="inlineStr">
        <is>
          <t>NYKÖPING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46027</v>
      </c>
      <c r="E617" s="1" t="n">
        <v>46239</v>
      </c>
      <c r="F617" t="inlineStr">
        <is>
          <t>SÖDERMANLANDS LÄN</t>
        </is>
      </c>
      <c r="G617" t="inlineStr">
        <is>
          <t>NYKÖPING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46239</v>
      </c>
      <c r="F618" t="inlineStr">
        <is>
          <t>SÖDERMANLANDS LÄN</t>
        </is>
      </c>
      <c r="G618" t="inlineStr">
        <is>
          <t>NYKÖPING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25336-2026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46176</v>
      </c>
      <c r="E619" s="1" t="n">
        <v>46239</v>
      </c>
      <c r="F619" t="inlineStr">
        <is>
          <t>SÖDERMANLANDS LÄN</t>
        </is>
      </c>
      <c r="G619" t="inlineStr">
        <is>
          <t>NYKÖPING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46239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46239</v>
      </c>
      <c r="F621" t="inlineStr">
        <is>
          <t>SÖDERMANLANDS LÄN</t>
        </is>
      </c>
      <c r="G621" t="inlineStr">
        <is>
          <t>NYKÖPING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44582</v>
      </c>
      <c r="E622" s="1" t="n">
        <v>46239</v>
      </c>
      <c r="F622" t="inlineStr">
        <is>
          <t>SÖDERMANLANDS LÄN</t>
        </is>
      </c>
      <c r="G622" t="inlineStr">
        <is>
          <t>NYKÖPING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46239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45069</v>
      </c>
      <c r="E624" s="1" t="n">
        <v>46239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46222</v>
      </c>
      <c r="E625" s="1" t="n">
        <v>46239</v>
      </c>
      <c r="F625" t="inlineStr">
        <is>
          <t>SÖDERMANLANDS LÄN</t>
        </is>
      </c>
      <c r="G625" t="inlineStr">
        <is>
          <t>NYKÖPING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46239</v>
      </c>
      <c r="F626" t="inlineStr">
        <is>
          <t>SÖDERMANLANDS LÄN</t>
        </is>
      </c>
      <c r="G626" t="inlineStr">
        <is>
          <t>NYKÖPING</t>
        </is>
      </c>
      <c r="I626" t="n">
        <v>10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46036</v>
      </c>
      <c r="E627" s="1" t="n">
        <v>46239</v>
      </c>
      <c r="F627" t="inlineStr">
        <is>
          <t>SÖDERMANLANDS LÄN</t>
        </is>
      </c>
      <c r="G627" t="inlineStr">
        <is>
          <t>NYKÖPING</t>
        </is>
      </c>
      <c r="I627" t="n">
        <v>11.7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46036</v>
      </c>
      <c r="E628" s="1" t="n">
        <v>46239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46036</v>
      </c>
      <c r="E629" s="1" t="n">
        <v>46239</v>
      </c>
      <c r="F629" t="inlineStr">
        <is>
          <t>SÖDERMANLANDS LÄN</t>
        </is>
      </c>
      <c r="G629" t="inlineStr">
        <is>
          <t>NYKÖPING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60210-2022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44910</v>
      </c>
      <c r="E630" s="1" t="n">
        <v>46239</v>
      </c>
      <c r="F630" t="inlineStr">
        <is>
          <t>SÖDERMANLANDS LÄN</t>
        </is>
      </c>
      <c r="G630" t="inlineStr">
        <is>
          <t>NYKÖPING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46042</v>
      </c>
      <c r="E631" s="1" t="n">
        <v>46239</v>
      </c>
      <c r="F631" t="inlineStr">
        <is>
          <t>SÖDERMANLANDS LÄN</t>
        </is>
      </c>
      <c r="G631" t="inlineStr">
        <is>
          <t>NYKÖPING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46041</v>
      </c>
      <c r="E632" s="1" t="n">
        <v>46239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45733</v>
      </c>
      <c r="E633" s="1" t="n">
        <v>46239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46041</v>
      </c>
      <c r="E634" s="1" t="n">
        <v>46239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46131</v>
      </c>
      <c r="E635" s="1" t="n">
        <v>46239</v>
      </c>
      <c r="F635" t="inlineStr">
        <is>
          <t>SÖDERMANLANDS LÄN</t>
        </is>
      </c>
      <c r="G635" t="inlineStr">
        <is>
          <t>NYKÖPING</t>
        </is>
      </c>
      <c r="I635" t="n">
        <v>12.4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46239</v>
      </c>
      <c r="F636" t="inlineStr">
        <is>
          <t>SÖDERMANLANDS LÄN</t>
        </is>
      </c>
      <c r="G636" t="inlineStr">
        <is>
          <t>NYKÖPING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46239</v>
      </c>
      <c r="F637" t="inlineStr">
        <is>
          <t>SÖDERMANLANDS LÄN</t>
        </is>
      </c>
      <c r="G637" t="inlineStr">
        <is>
          <t>NYKÖPING</t>
        </is>
      </c>
      <c r="I637" t="n">
        <v>5.9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26503-2026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46239</v>
      </c>
      <c r="F638" t="inlineStr">
        <is>
          <t>SÖDERMANLANDS LÄN</t>
        </is>
      </c>
      <c r="G638" t="inlineStr">
        <is>
          <t>NYKÖPING</t>
        </is>
      </c>
      <c r="I638" t="n">
        <v>7.2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46184</v>
      </c>
      <c r="E639" s="1" t="n">
        <v>46239</v>
      </c>
      <c r="F639" t="inlineStr">
        <is>
          <t>SÖDERMANLANDS LÄN</t>
        </is>
      </c>
      <c r="G639" t="inlineStr">
        <is>
          <t>NYKÖPING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41099-2022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44825</v>
      </c>
      <c r="E640" s="1" t="n">
        <v>46239</v>
      </c>
      <c r="F640" t="inlineStr">
        <is>
          <t>SÖDERMANLANDS LÄN</t>
        </is>
      </c>
      <c r="G640" t="inlineStr">
        <is>
          <t>NYKÖPING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46050</v>
      </c>
      <c r="E641" s="1" t="n">
        <v>46239</v>
      </c>
      <c r="F641" t="inlineStr">
        <is>
          <t>SÖDERMANLANDS LÄN</t>
        </is>
      </c>
      <c r="G641" t="inlineStr">
        <is>
          <t>NYKÖPING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46239</v>
      </c>
      <c r="F642" t="inlineStr">
        <is>
          <t>SÖDERMANLANDS LÄN</t>
        </is>
      </c>
      <c r="G642" t="inlineStr">
        <is>
          <t>NYKÖPING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46239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46239</v>
      </c>
      <c r="F644" t="inlineStr">
        <is>
          <t>SÖDERMANLANDS LÄN</t>
        </is>
      </c>
      <c r="G644" t="inlineStr">
        <is>
          <t>NYKÖPING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46239</v>
      </c>
      <c r="F645" t="inlineStr">
        <is>
          <t>SÖDERMANLANDS LÄN</t>
        </is>
      </c>
      <c r="G645" t="inlineStr">
        <is>
          <t>NYKÖPING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46239</v>
      </c>
      <c r="F646" t="inlineStr">
        <is>
          <t>SÖDERMANLANDS LÄN</t>
        </is>
      </c>
      <c r="G646" t="inlineStr">
        <is>
          <t>NYKÖPING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46239</v>
      </c>
      <c r="F647" t="inlineStr">
        <is>
          <t>SÖDERMANLANDS LÄN</t>
        </is>
      </c>
      <c r="G647" t="inlineStr">
        <is>
          <t>NYKÖPING</t>
        </is>
      </c>
      <c r="I647" t="n">
        <v>9.5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46049</v>
      </c>
      <c r="E648" s="1" t="n">
        <v>46239</v>
      </c>
      <c r="F648" t="inlineStr">
        <is>
          <t>SÖDERMANLANDS LÄN</t>
        </is>
      </c>
      <c r="G648" t="inlineStr">
        <is>
          <t>NYKÖPING</t>
        </is>
      </c>
      <c r="I648" t="n">
        <v>6.9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46239</v>
      </c>
      <c r="F649" t="inlineStr">
        <is>
          <t>SÖDERMANLANDS LÄN</t>
        </is>
      </c>
      <c r="G649" t="inlineStr">
        <is>
          <t>NYKÖPING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46239</v>
      </c>
      <c r="F650" t="inlineStr">
        <is>
          <t>SÖDERMANLANDS LÄN</t>
        </is>
      </c>
      <c r="G650" t="inlineStr">
        <is>
          <t>NYKÖPING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44943</v>
      </c>
      <c r="E651" s="1" t="n">
        <v>46239</v>
      </c>
      <c r="F651" t="inlineStr">
        <is>
          <t>SÖDERMANLANDS LÄN</t>
        </is>
      </c>
      <c r="G651" t="inlineStr">
        <is>
          <t>NYKÖPING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44943</v>
      </c>
      <c r="E652" s="1" t="n">
        <v>46239</v>
      </c>
      <c r="F652" t="inlineStr">
        <is>
          <t>SÖDERMANLANDS LÄN</t>
        </is>
      </c>
      <c r="G652" t="inlineStr">
        <is>
          <t>NYKÖPING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46239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45076</v>
      </c>
      <c r="E654" s="1" t="n">
        <v>46239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Övriga Aktiebolag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31760-2026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46228</v>
      </c>
      <c r="E655" s="1" t="n">
        <v>46239</v>
      </c>
      <c r="F655" t="inlineStr">
        <is>
          <t>SÖDERMANLANDS LÄN</t>
        </is>
      </c>
      <c r="G655" t="inlineStr">
        <is>
          <t>NYKÖPING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53335-2023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45229</v>
      </c>
      <c r="E656" s="1" t="n">
        <v>46239</v>
      </c>
      <c r="F656" t="inlineStr">
        <is>
          <t>SÖDERMANLANDS LÄN</t>
        </is>
      </c>
      <c r="G656" t="inlineStr">
        <is>
          <t>NYKÖPING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52045-2021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44463</v>
      </c>
      <c r="E657" s="1" t="n">
        <v>46239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52055-2021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44462</v>
      </c>
      <c r="E658" s="1" t="n">
        <v>46239</v>
      </c>
      <c r="F658" t="inlineStr">
        <is>
          <t>SÖDERMANLANDS LÄN</t>
        </is>
      </c>
      <c r="G658" t="inlineStr">
        <is>
          <t>NYKÖPING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58653-2025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45986</v>
      </c>
      <c r="E659" s="1" t="n">
        <v>46239</v>
      </c>
      <c r="F659" t="inlineStr">
        <is>
          <t>SÖDERMANLANDS LÄN</t>
        </is>
      </c>
      <c r="G659" t="inlineStr">
        <is>
          <t>NYKÖPING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51725-2021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44462</v>
      </c>
      <c r="E660" s="1" t="n">
        <v>46239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Sveaskog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58650-2025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45986</v>
      </c>
      <c r="E661" s="1" t="n">
        <v>46239</v>
      </c>
      <c r="F661" t="inlineStr">
        <is>
          <t>SÖDERMANLANDS LÄN</t>
        </is>
      </c>
      <c r="G661" t="inlineStr">
        <is>
          <t>NYKÖPING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31998-2026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46232</v>
      </c>
      <c r="E662" s="1" t="n">
        <v>46239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Sveaskog</t>
        </is>
      </c>
      <c r="I662" t="n">
        <v>12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58676-2025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45986</v>
      </c>
      <c r="E663" s="1" t="n">
        <v>46239</v>
      </c>
      <c r="F663" t="inlineStr">
        <is>
          <t>SÖDERMANLANDS LÄN</t>
        </is>
      </c>
      <c r="G663" t="inlineStr">
        <is>
          <t>NYKÖPING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45686</v>
      </c>
      <c r="E664" s="1" t="n">
        <v>46239</v>
      </c>
      <c r="F664" t="inlineStr">
        <is>
          <t>SÖDERMANLANDS LÄN</t>
        </is>
      </c>
      <c r="G664" t="inlineStr">
        <is>
          <t>NYKÖPING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46239</v>
      </c>
      <c r="F665" t="inlineStr">
        <is>
          <t>SÖDERMANLANDS LÄN</t>
        </is>
      </c>
      <c r="G665" t="inlineStr">
        <is>
          <t>NYKÖPING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20798-2023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45058</v>
      </c>
      <c r="E666" s="1" t="n">
        <v>46239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46239</v>
      </c>
      <c r="F667" t="inlineStr">
        <is>
          <t>SÖDERMANLANDS LÄN</t>
        </is>
      </c>
      <c r="G667" t="inlineStr">
        <is>
          <t>NYKÖPING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46239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12887-2025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46239</v>
      </c>
      <c r="F669" t="inlineStr">
        <is>
          <t>SÖDERMANLANDS LÄN</t>
        </is>
      </c>
      <c r="G669" t="inlineStr">
        <is>
          <t>NYKÖPING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41222-2023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45170</v>
      </c>
      <c r="E670" s="1" t="n">
        <v>46239</v>
      </c>
      <c r="F670" t="inlineStr">
        <is>
          <t>SÖDERMANLANDS LÄN</t>
        </is>
      </c>
      <c r="G670" t="inlineStr">
        <is>
          <t>NYKÖPING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45162</v>
      </c>
      <c r="E671" s="1" t="n">
        <v>46239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Kommuner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44901</v>
      </c>
      <c r="E672" s="1" t="n">
        <v>46239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8710-2024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46239</v>
      </c>
      <c r="F673" t="inlineStr">
        <is>
          <t>SÖDERMANLANDS LÄN</t>
        </is>
      </c>
      <c r="G673" t="inlineStr">
        <is>
          <t>NYKÖPING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45307</v>
      </c>
      <c r="E674" s="1" t="n">
        <v>46239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Kommuner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31868-2023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45107</v>
      </c>
      <c r="E675" s="1" t="n">
        <v>46239</v>
      </c>
      <c r="F675" t="inlineStr">
        <is>
          <t>SÖDERMANLANDS LÄN</t>
        </is>
      </c>
      <c r="G675" t="inlineStr">
        <is>
          <t>NYKÖPING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12529-2024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46239</v>
      </c>
      <c r="F676" t="inlineStr">
        <is>
          <t>SÖDERMANLANDS LÄN</t>
        </is>
      </c>
      <c r="G676" t="inlineStr">
        <is>
          <t>NYKÖPING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44960</v>
      </c>
      <c r="E677" s="1" t="n">
        <v>46239</v>
      </c>
      <c r="F677" t="inlineStr">
        <is>
          <t>SÖDERMANLANDS LÄN</t>
        </is>
      </c>
      <c r="G677" t="inlineStr">
        <is>
          <t>NYKÖPING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45756</v>
      </c>
      <c r="E678" s="1" t="n">
        <v>46239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46234</v>
      </c>
      <c r="E679" s="1" t="n">
        <v>46239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24447-2023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45082</v>
      </c>
      <c r="E680" s="1" t="n">
        <v>46239</v>
      </c>
      <c r="F680" t="inlineStr">
        <is>
          <t>SÖDERMANLANDS LÄN</t>
        </is>
      </c>
      <c r="G680" t="inlineStr">
        <is>
          <t>NYKÖPING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45040</v>
      </c>
      <c r="E681" s="1" t="n">
        <v>46239</v>
      </c>
      <c r="F681" t="inlineStr">
        <is>
          <t>SÖDERMANLANDS LÄN</t>
        </is>
      </c>
      <c r="G681" t="inlineStr">
        <is>
          <t>NYKÖPING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58493-2025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45985</v>
      </c>
      <c r="E682" s="1" t="n">
        <v>46239</v>
      </c>
      <c r="F682" t="inlineStr">
        <is>
          <t>SÖDERMANLANDS LÄN</t>
        </is>
      </c>
      <c r="G682" t="inlineStr">
        <is>
          <t>NYKÖPING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46239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69244-2021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44530</v>
      </c>
      <c r="E684" s="1" t="n">
        <v>46239</v>
      </c>
      <c r="F684" t="inlineStr">
        <is>
          <t>SÖDERMANLANDS LÄN</t>
        </is>
      </c>
      <c r="G684" t="inlineStr">
        <is>
          <t>NYKÖPING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33683-2023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45132</v>
      </c>
      <c r="E685" s="1" t="n">
        <v>46239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60512-2021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44496</v>
      </c>
      <c r="E686" s="1" t="n">
        <v>46239</v>
      </c>
      <c r="F686" t="inlineStr">
        <is>
          <t>SÖDERMANLANDS LÄN</t>
        </is>
      </c>
      <c r="G686" t="inlineStr">
        <is>
          <t>NYKÖPING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10435-2022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44623</v>
      </c>
      <c r="E687" s="1" t="n">
        <v>46239</v>
      </c>
      <c r="F687" t="inlineStr">
        <is>
          <t>SÖDERMANLANDS LÄN</t>
        </is>
      </c>
      <c r="G687" t="inlineStr">
        <is>
          <t>NYKÖPING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58685-2025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45986</v>
      </c>
      <c r="E688" s="1" t="n">
        <v>46239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46239</v>
      </c>
      <c r="F689" t="inlineStr">
        <is>
          <t>SÖDERMANLANDS LÄN</t>
        </is>
      </c>
      <c r="G689" t="inlineStr">
        <is>
          <t>NYKÖPING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44579</v>
      </c>
      <c r="E690" s="1" t="n">
        <v>46239</v>
      </c>
      <c r="F690" t="inlineStr">
        <is>
          <t>SÖDERMANLANDS LÄN</t>
        </is>
      </c>
      <c r="G690" t="inlineStr">
        <is>
          <t>NYKÖPING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46239</v>
      </c>
      <c r="F691" t="inlineStr">
        <is>
          <t>SÖDERMANLANDS LÄN</t>
        </is>
      </c>
      <c r="G691" t="inlineStr">
        <is>
          <t>NYKÖPING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46239</v>
      </c>
      <c r="F692" t="inlineStr">
        <is>
          <t>SÖDERMANLANDS LÄN</t>
        </is>
      </c>
      <c r="G692" t="inlineStr">
        <is>
          <t>NYKÖPING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5835-2024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45335</v>
      </c>
      <c r="E693" s="1" t="n">
        <v>46239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64081-2023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46239</v>
      </c>
      <c r="F694" t="inlineStr">
        <is>
          <t>SÖDERMANLANDS LÄN</t>
        </is>
      </c>
      <c r="G694" t="inlineStr">
        <is>
          <t>NYKÖPING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28137-2026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46239</v>
      </c>
      <c r="F695" t="inlineStr">
        <is>
          <t>SÖDERMANLANDS LÄN</t>
        </is>
      </c>
      <c r="G695" t="inlineStr">
        <is>
          <t>NYKÖPING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46239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29487-2026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46239</v>
      </c>
      <c r="F697" t="inlineStr">
        <is>
          <t>SÖDERMANLANDS LÄN</t>
        </is>
      </c>
      <c r="G697" t="inlineStr">
        <is>
          <t>NYKÖPING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46239</v>
      </c>
      <c r="F698" t="inlineStr">
        <is>
          <t>SÖDERMANLANDS LÄN</t>
        </is>
      </c>
      <c r="G698" t="inlineStr">
        <is>
          <t>NYKÖPING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17897-2024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45419</v>
      </c>
      <c r="E699" s="1" t="n">
        <v>46239</v>
      </c>
      <c r="F699" t="inlineStr">
        <is>
          <t>SÖDERMANLANDS LÄN</t>
        </is>
      </c>
      <c r="G699" t="inlineStr">
        <is>
          <t>NYKÖPING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17900-2024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45419</v>
      </c>
      <c r="E700" s="1" t="n">
        <v>46239</v>
      </c>
      <c r="F700" t="inlineStr">
        <is>
          <t>SÖDERMANLANDS LÄN</t>
        </is>
      </c>
      <c r="G700" t="inlineStr">
        <is>
          <t>NYKÖPING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45159</v>
      </c>
      <c r="E701" s="1" t="n">
        <v>46239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Kommuner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24497-2025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45798</v>
      </c>
      <c r="E702" s="1" t="n">
        <v>46239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46239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73877-2021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44553</v>
      </c>
      <c r="E704" s="1" t="n">
        <v>46239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9167-2023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44980</v>
      </c>
      <c r="E705" s="1" t="n">
        <v>46239</v>
      </c>
      <c r="F705" t="inlineStr">
        <is>
          <t>SÖDERMANLANDS LÄN</t>
        </is>
      </c>
      <c r="G705" t="inlineStr">
        <is>
          <t>NYKÖPING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44995</v>
      </c>
      <c r="E706" s="1" t="n">
        <v>46239</v>
      </c>
      <c r="F706" t="inlineStr">
        <is>
          <t>SÖDERMANLANDS LÄN</t>
        </is>
      </c>
      <c r="G706" t="inlineStr">
        <is>
          <t>NYKÖPING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46239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9200-2023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44976</v>
      </c>
      <c r="E708" s="1" t="n">
        <v>46239</v>
      </c>
      <c r="F708" t="inlineStr">
        <is>
          <t>SÖDERMANLANDS LÄN</t>
        </is>
      </c>
      <c r="G708" t="inlineStr">
        <is>
          <t>NYKÖPING</t>
        </is>
      </c>
      <c r="I708" t="n">
        <v>11.1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47138-2023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45201</v>
      </c>
      <c r="E709" s="1" t="n">
        <v>46239</v>
      </c>
      <c r="F709" t="inlineStr">
        <is>
          <t>SÖDERMANLANDS LÄN</t>
        </is>
      </c>
      <c r="G709" t="inlineStr">
        <is>
          <t>NYKÖPING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16460-2023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45029</v>
      </c>
      <c r="E710" s="1" t="n">
        <v>46239</v>
      </c>
      <c r="F710" t="inlineStr">
        <is>
          <t>SÖDERMANLANDS LÄN</t>
        </is>
      </c>
      <c r="G710" t="inlineStr">
        <is>
          <t>NYKÖPING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14384-2026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46100</v>
      </c>
      <c r="E711" s="1" t="n">
        <v>46239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44579</v>
      </c>
      <c r="E712" s="1" t="n">
        <v>46239</v>
      </c>
      <c r="F712" t="inlineStr">
        <is>
          <t>SÖDERMANLANDS LÄN</t>
        </is>
      </c>
      <c r="G712" t="inlineStr">
        <is>
          <t>NYKÖPING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67857-2021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44525</v>
      </c>
      <c r="E713" s="1" t="n">
        <v>46239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Sveaskog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17832-2024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45418</v>
      </c>
      <c r="E714" s="1" t="n">
        <v>46239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Kommuner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44938</v>
      </c>
      <c r="E715" s="1" t="n">
        <v>46239</v>
      </c>
      <c r="F715" t="inlineStr">
        <is>
          <t>SÖDERMANLANDS LÄN</t>
        </is>
      </c>
      <c r="G715" t="inlineStr">
        <is>
          <t>NYKÖPING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1912-2022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44575</v>
      </c>
      <c r="E716" s="1" t="n">
        <v>46239</v>
      </c>
      <c r="F716" t="inlineStr">
        <is>
          <t>SÖDERMANLANDS LÄN</t>
        </is>
      </c>
      <c r="G716" t="inlineStr">
        <is>
          <t>NYKÖPING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45148</v>
      </c>
      <c r="E717" s="1" t="n">
        <v>46239</v>
      </c>
      <c r="F717" t="inlineStr">
        <is>
          <t>SÖDERMANLANDS LÄN</t>
        </is>
      </c>
      <c r="G717" t="inlineStr">
        <is>
          <t>NYKÖPING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72679-2021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44546</v>
      </c>
      <c r="E718" s="1" t="n">
        <v>46239</v>
      </c>
      <c r="F718" t="inlineStr">
        <is>
          <t>SÖDERMANLANDS LÄN</t>
        </is>
      </c>
      <c r="G718" t="inlineStr">
        <is>
          <t>NYKÖPING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27206-2023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45096</v>
      </c>
      <c r="E719" s="1" t="n">
        <v>46239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Övriga Aktiebolag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57633-2024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45630</v>
      </c>
      <c r="E720" s="1" t="n">
        <v>46239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45306</v>
      </c>
      <c r="E721" s="1" t="n">
        <v>46239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Kommuner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45452</v>
      </c>
      <c r="E722" s="1" t="n">
        <v>46239</v>
      </c>
      <c r="F722" t="inlineStr">
        <is>
          <t>SÖDERMANLANDS LÄN</t>
        </is>
      </c>
      <c r="G722" t="inlineStr">
        <is>
          <t>NYKÖPING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36163-2023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45149</v>
      </c>
      <c r="E723" s="1" t="n">
        <v>46239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Kommuner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45173</v>
      </c>
      <c r="E724" s="1" t="n">
        <v>46239</v>
      </c>
      <c r="F724" t="inlineStr">
        <is>
          <t>SÖDERMANLANDS LÄN</t>
        </is>
      </c>
      <c r="G724" t="inlineStr">
        <is>
          <t>NYKÖPING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46022-2025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45924</v>
      </c>
      <c r="E725" s="1" t="n">
        <v>46239</v>
      </c>
      <c r="F725" t="inlineStr">
        <is>
          <t>SÖDERMANLANDS LÄN</t>
        </is>
      </c>
      <c r="G725" t="inlineStr">
        <is>
          <t>NYKÖPING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70092-2021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44536</v>
      </c>
      <c r="E726" s="1" t="n">
        <v>46239</v>
      </c>
      <c r="F726" t="inlineStr">
        <is>
          <t>SÖDERMANLANDS LÄN</t>
        </is>
      </c>
      <c r="G726" t="inlineStr">
        <is>
          <t>NYKÖPING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17074-2026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46114</v>
      </c>
      <c r="E727" s="1" t="n">
        <v>46239</v>
      </c>
      <c r="F727" t="inlineStr">
        <is>
          <t>SÖDERMANLANDS LÄN</t>
        </is>
      </c>
      <c r="G727" t="inlineStr">
        <is>
          <t>NYKÖPING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33669-2023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45132</v>
      </c>
      <c r="E728" s="1" t="n">
        <v>46239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33670-2023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45132</v>
      </c>
      <c r="E729" s="1" t="n">
        <v>46239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45148</v>
      </c>
      <c r="E730" s="1" t="n">
        <v>46239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Kommuner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38472-2023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46239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Kommuner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38512-2023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45162</v>
      </c>
      <c r="E732" s="1" t="n">
        <v>46239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Kommuner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46737-2025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45926</v>
      </c>
      <c r="E733" s="1" t="n">
        <v>46239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9.4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56322-2023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45243</v>
      </c>
      <c r="E734" s="1" t="n">
        <v>46239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Kommuner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46239</v>
      </c>
      <c r="F735" t="inlineStr">
        <is>
          <t>SÖDERMANLANDS LÄN</t>
        </is>
      </c>
      <c r="G735" t="inlineStr">
        <is>
          <t>NYKÖPING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44575</v>
      </c>
      <c r="E736" s="1" t="n">
        <v>46239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42525-2023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45181</v>
      </c>
      <c r="E737" s="1" t="n">
        <v>46239</v>
      </c>
      <c r="F737" t="inlineStr">
        <is>
          <t>SÖDERMANLANDS LÄN</t>
        </is>
      </c>
      <c r="G737" t="inlineStr">
        <is>
          <t>NYKÖPING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2939-2022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44581</v>
      </c>
      <c r="E738" s="1" t="n">
        <v>46239</v>
      </c>
      <c r="F738" t="inlineStr">
        <is>
          <t>SÖDERMANLANDS LÄN</t>
        </is>
      </c>
      <c r="G738" t="inlineStr">
        <is>
          <t>NYKÖPING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35469-2023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45146</v>
      </c>
      <c r="E739" s="1" t="n">
        <v>46239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38034-2023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45160</v>
      </c>
      <c r="E740" s="1" t="n">
        <v>46239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Kommuner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11908-2023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44995</v>
      </c>
      <c r="E741" s="1" t="n">
        <v>46239</v>
      </c>
      <c r="F741" t="inlineStr">
        <is>
          <t>SÖDERMANLANDS LÄN</t>
        </is>
      </c>
      <c r="G741" t="inlineStr">
        <is>
          <t>NYKÖPING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65109-2021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44515</v>
      </c>
      <c r="E742" s="1" t="n">
        <v>46239</v>
      </c>
      <c r="F742" t="inlineStr">
        <is>
          <t>SÖDERMANLANDS LÄN</t>
        </is>
      </c>
      <c r="G742" t="inlineStr">
        <is>
          <t>NYKÖPING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45721</v>
      </c>
      <c r="E743" s="1" t="n">
        <v>46239</v>
      </c>
      <c r="F743" t="inlineStr">
        <is>
          <t>SÖDERMANLANDS LÄN</t>
        </is>
      </c>
      <c r="G743" t="inlineStr">
        <is>
          <t>NYKÖPING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45329</v>
      </c>
      <c r="E744" s="1" t="n">
        <v>46239</v>
      </c>
      <c r="F744" t="inlineStr">
        <is>
          <t>SÖDERMANLANDS LÄN</t>
        </is>
      </c>
      <c r="G744" t="inlineStr">
        <is>
          <t>NYKÖPING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4932-2024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45329</v>
      </c>
      <c r="E745" s="1" t="n">
        <v>46239</v>
      </c>
      <c r="F745" t="inlineStr">
        <is>
          <t>SÖDERMANLANDS LÄN</t>
        </is>
      </c>
      <c r="G745" t="inlineStr">
        <is>
          <t>NYKÖPING</t>
        </is>
      </c>
      <c r="I745" t="n">
        <v>17.8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3353-2022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44585</v>
      </c>
      <c r="E746" s="1" t="n">
        <v>46239</v>
      </c>
      <c r="F746" t="inlineStr">
        <is>
          <t>SÖDERMANLANDS LÄN</t>
        </is>
      </c>
      <c r="G746" t="inlineStr">
        <is>
          <t>NYKÖPING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45114</v>
      </c>
      <c r="E747" s="1" t="n">
        <v>46239</v>
      </c>
      <c r="F747" t="inlineStr">
        <is>
          <t>SÖDERMANLANDS LÄN</t>
        </is>
      </c>
      <c r="G747" t="inlineStr">
        <is>
          <t>NYKÖPING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58654-2025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45986</v>
      </c>
      <c r="E748" s="1" t="n">
        <v>46239</v>
      </c>
      <c r="F748" t="inlineStr">
        <is>
          <t>SÖDERMANLANDS LÄN</t>
        </is>
      </c>
      <c r="G748" t="inlineStr">
        <is>
          <t>NYKÖPING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13863-2022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44649</v>
      </c>
      <c r="E749" s="1" t="n">
        <v>46239</v>
      </c>
      <c r="F749" t="inlineStr">
        <is>
          <t>SÖDERMANLANDS LÄN</t>
        </is>
      </c>
      <c r="G749" t="inlineStr">
        <is>
          <t>NYKÖPING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45819</v>
      </c>
      <c r="E750" s="1" t="n">
        <v>46239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40635-2023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45170</v>
      </c>
      <c r="E751" s="1" t="n">
        <v>46239</v>
      </c>
      <c r="F751" t="inlineStr">
        <is>
          <t>SÖDERMANLANDS LÄN</t>
        </is>
      </c>
      <c r="G751" t="inlineStr">
        <is>
          <t>NYKÖPING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41165-2024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45559</v>
      </c>
      <c r="E752" s="1" t="n">
        <v>46239</v>
      </c>
      <c r="F752" t="inlineStr">
        <is>
          <t>SÖDERMANLANDS LÄN</t>
        </is>
      </c>
      <c r="G752" t="inlineStr">
        <is>
          <t>NYKÖPING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46239</v>
      </c>
      <c r="F753" t="inlineStr">
        <is>
          <t>SÖDERMANLANDS LÄN</t>
        </is>
      </c>
      <c r="G753" t="inlineStr">
        <is>
          <t>NYKÖPING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54065-2025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45964</v>
      </c>
      <c r="E754" s="1" t="n">
        <v>46239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41132-2024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45559</v>
      </c>
      <c r="E755" s="1" t="n">
        <v>46239</v>
      </c>
      <c r="F755" t="inlineStr">
        <is>
          <t>SÖDERMANLANDS LÄN</t>
        </is>
      </c>
      <c r="G755" t="inlineStr">
        <is>
          <t>NYKÖPING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47390-2025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45930</v>
      </c>
      <c r="E756" s="1" t="n">
        <v>46239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45819</v>
      </c>
      <c r="E757" s="1" t="n">
        <v>46239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Sveaskog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29846-2025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45826</v>
      </c>
      <c r="E758" s="1" t="n">
        <v>46239</v>
      </c>
      <c r="F758" t="inlineStr">
        <is>
          <t>SÖDERMANLANDS LÄN</t>
        </is>
      </c>
      <c r="G758" t="inlineStr">
        <is>
          <t>NYKÖPING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41748-2021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44425</v>
      </c>
      <c r="E759" s="1" t="n">
        <v>46239</v>
      </c>
      <c r="F759" t="inlineStr">
        <is>
          <t>SÖDERMANLANDS LÄN</t>
        </is>
      </c>
      <c r="G759" t="inlineStr">
        <is>
          <t>NYKÖPING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7807-2025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46239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Kyrkan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20179-2026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46239</v>
      </c>
      <c r="F761" t="inlineStr">
        <is>
          <t>SÖDERMANLANDS LÄN</t>
        </is>
      </c>
      <c r="G761" t="inlineStr">
        <is>
          <t>NYKÖPING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51241-2024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45603</v>
      </c>
      <c r="E762" s="1" t="n">
        <v>46239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7253-2022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44606</v>
      </c>
      <c r="E763" s="1" t="n">
        <v>46239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Allmännings- och besparingsskogar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10689-2023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44988</v>
      </c>
      <c r="E764" s="1" t="n">
        <v>46239</v>
      </c>
      <c r="F764" t="inlineStr">
        <is>
          <t>SÖDERMANLANDS LÄN</t>
        </is>
      </c>
      <c r="G764" t="inlineStr">
        <is>
          <t>NYKÖPING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52551-2023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45218</v>
      </c>
      <c r="E765" s="1" t="n">
        <v>46239</v>
      </c>
      <c r="F765" t="inlineStr">
        <is>
          <t>SÖDERMANLANDS LÄN</t>
        </is>
      </c>
      <c r="G765" t="inlineStr">
        <is>
          <t>NYKÖPING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18551-2024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45425</v>
      </c>
      <c r="E766" s="1" t="n">
        <v>46239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Kommuner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44820-2022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44839</v>
      </c>
      <c r="E767" s="1" t="n">
        <v>46239</v>
      </c>
      <c r="F767" t="inlineStr">
        <is>
          <t>SÖDERMANLANDS LÄN</t>
        </is>
      </c>
      <c r="G767" t="inlineStr">
        <is>
          <t>NYKÖPING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44908-2022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44840</v>
      </c>
      <c r="E768" s="1" t="n">
        <v>46239</v>
      </c>
      <c r="F768" t="inlineStr">
        <is>
          <t>SÖDERMANLANDS LÄN</t>
        </is>
      </c>
      <c r="G768" t="inlineStr">
        <is>
          <t>NYKÖPING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39149-2023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45166</v>
      </c>
      <c r="E769" s="1" t="n">
        <v>46239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21917-2022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44711</v>
      </c>
      <c r="E770" s="1" t="n">
        <v>46239</v>
      </c>
      <c r="F770" t="inlineStr">
        <is>
          <t>SÖDERMANLANDS LÄN</t>
        </is>
      </c>
      <c r="G770" t="inlineStr">
        <is>
          <t>NYKÖPING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8006-2024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45350</v>
      </c>
      <c r="E771" s="1" t="n">
        <v>46239</v>
      </c>
      <c r="F771" t="inlineStr">
        <is>
          <t>SÖDERMANLANDS LÄN</t>
        </is>
      </c>
      <c r="G771" t="inlineStr">
        <is>
          <t>NYKÖPING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36714-2023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45153</v>
      </c>
      <c r="E772" s="1" t="n">
        <v>46239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Kommuner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14370-2022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44652</v>
      </c>
      <c r="E773" s="1" t="n">
        <v>46239</v>
      </c>
      <c r="F773" t="inlineStr">
        <is>
          <t>SÖDERMANLANDS LÄN</t>
        </is>
      </c>
      <c r="G773" t="inlineStr">
        <is>
          <t>NYKÖPING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18918-2023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45044</v>
      </c>
      <c r="E774" s="1" t="n">
        <v>46239</v>
      </c>
      <c r="F774" t="inlineStr">
        <is>
          <t>SÖDERMANLANDS LÄN</t>
        </is>
      </c>
      <c r="G774" t="inlineStr">
        <is>
          <t>NYKÖPING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18926-2023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45044</v>
      </c>
      <c r="E775" s="1" t="n">
        <v>46239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12538-2025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45730</v>
      </c>
      <c r="E776" s="1" t="n">
        <v>46239</v>
      </c>
      <c r="F776" t="inlineStr">
        <is>
          <t>SÖDERMANLANDS LÄN</t>
        </is>
      </c>
      <c r="G776" t="inlineStr">
        <is>
          <t>NYKÖPING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11728-2022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44634</v>
      </c>
      <c r="E777" s="1" t="n">
        <v>46239</v>
      </c>
      <c r="F777" t="inlineStr">
        <is>
          <t>SÖDERMANLANDS LÄN</t>
        </is>
      </c>
      <c r="G777" t="inlineStr">
        <is>
          <t>NYKÖPING</t>
        </is>
      </c>
      <c r="I777" t="n">
        <v>11.4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21062-2023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45061</v>
      </c>
      <c r="E778" s="1" t="n">
        <v>46239</v>
      </c>
      <c r="F778" t="inlineStr">
        <is>
          <t>SÖDERMANLANDS LÄN</t>
        </is>
      </c>
      <c r="G778" t="inlineStr">
        <is>
          <t>NYKÖPING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46239</v>
      </c>
      <c r="F779" t="inlineStr">
        <is>
          <t>SÖDERMANLANDS LÄN</t>
        </is>
      </c>
      <c r="G779" t="inlineStr">
        <is>
          <t>NYKÖPING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43880-2023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45187</v>
      </c>
      <c r="E780" s="1" t="n">
        <v>46239</v>
      </c>
      <c r="F780" t="inlineStr">
        <is>
          <t>SÖDERMANLANDS LÄN</t>
        </is>
      </c>
      <c r="G780" t="inlineStr">
        <is>
          <t>NYKÖPING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20497-2026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46140</v>
      </c>
      <c r="E781" s="1" t="n">
        <v>46239</v>
      </c>
      <c r="F781" t="inlineStr">
        <is>
          <t>SÖDERMANLANDS LÄN</t>
        </is>
      </c>
      <c r="G781" t="inlineStr">
        <is>
          <t>NYKÖPING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2598-2025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45674</v>
      </c>
      <c r="E782" s="1" t="n">
        <v>46239</v>
      </c>
      <c r="F782" t="inlineStr">
        <is>
          <t>SÖDERMANLANDS LÄN</t>
        </is>
      </c>
      <c r="G782" t="inlineStr">
        <is>
          <t>NYKÖPING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38745-2023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45161</v>
      </c>
      <c r="E783" s="1" t="n">
        <v>46239</v>
      </c>
      <c r="F783" t="inlineStr">
        <is>
          <t>SÖDERMANLANDS LÄN</t>
        </is>
      </c>
      <c r="G783" t="inlineStr">
        <is>
          <t>NYKÖPING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35458-2023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45146</v>
      </c>
      <c r="E784" s="1" t="n">
        <v>46239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39356-2023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45166</v>
      </c>
      <c r="E785" s="1" t="n">
        <v>46239</v>
      </c>
      <c r="F785" t="inlineStr">
        <is>
          <t>SÖDERMANLANDS LÄN</t>
        </is>
      </c>
      <c r="G785" t="inlineStr">
        <is>
          <t>NYKÖPING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46058</v>
      </c>
      <c r="E786" s="1" t="n">
        <v>46239</v>
      </c>
      <c r="F786" t="inlineStr">
        <is>
          <t>SÖDERMANLANDS LÄN</t>
        </is>
      </c>
      <c r="G786" t="inlineStr">
        <is>
          <t>NYKÖPING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21925-2022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44711</v>
      </c>
      <c r="E787" s="1" t="n">
        <v>46239</v>
      </c>
      <c r="F787" t="inlineStr">
        <is>
          <t>SÖDERMANLANDS LÄN</t>
        </is>
      </c>
      <c r="G787" t="inlineStr">
        <is>
          <t>NYKÖPING</t>
        </is>
      </c>
      <c r="I787" t="n">
        <v>5.7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13858-2022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44649</v>
      </c>
      <c r="E788" s="1" t="n">
        <v>46239</v>
      </c>
      <c r="F788" t="inlineStr">
        <is>
          <t>SÖDERMANLANDS LÄN</t>
        </is>
      </c>
      <c r="G788" t="inlineStr">
        <is>
          <t>NYKÖPING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37907-2022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44811</v>
      </c>
      <c r="E789" s="1" t="n">
        <v>46239</v>
      </c>
      <c r="F789" t="inlineStr">
        <is>
          <t>SÖDERMANLANDS LÄN</t>
        </is>
      </c>
      <c r="G789" t="inlineStr">
        <is>
          <t>NYKÖPING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37911-2022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44810</v>
      </c>
      <c r="E790" s="1" t="n">
        <v>46239</v>
      </c>
      <c r="F790" t="inlineStr">
        <is>
          <t>SÖDERMANLANDS LÄN</t>
        </is>
      </c>
      <c r="G790" t="inlineStr">
        <is>
          <t>NYKÖPING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43952-2022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44838</v>
      </c>
      <c r="E791" s="1" t="n">
        <v>46239</v>
      </c>
      <c r="F791" t="inlineStr">
        <is>
          <t>SÖDERMANLANDS LÄN</t>
        </is>
      </c>
      <c r="G791" t="inlineStr">
        <is>
          <t>NYKÖPING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44191-2022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44839</v>
      </c>
      <c r="E792" s="1" t="n">
        <v>46239</v>
      </c>
      <c r="F792" t="inlineStr">
        <is>
          <t>SÖDERMANLANDS LÄN</t>
        </is>
      </c>
      <c r="G792" t="inlineStr">
        <is>
          <t>NYKÖPING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24798-2022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44728</v>
      </c>
      <c r="E793" s="1" t="n">
        <v>46239</v>
      </c>
      <c r="F793" t="inlineStr">
        <is>
          <t>SÖDERMANLANDS LÄN</t>
        </is>
      </c>
      <c r="G793" t="inlineStr">
        <is>
          <t>NYKÖPING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21022-2026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46145</v>
      </c>
      <c r="E794" s="1" t="n">
        <v>46239</v>
      </c>
      <c r="F794" t="inlineStr">
        <is>
          <t>SÖDERMANLANDS LÄN</t>
        </is>
      </c>
      <c r="G794" t="inlineStr">
        <is>
          <t>NYKÖPING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39321-2023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45166</v>
      </c>
      <c r="E795" s="1" t="n">
        <v>46239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21020-2026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46145</v>
      </c>
      <c r="E796" s="1" t="n">
        <v>46239</v>
      </c>
      <c r="F796" t="inlineStr">
        <is>
          <t>SÖDERMANLANDS LÄN</t>
        </is>
      </c>
      <c r="G796" t="inlineStr">
        <is>
          <t>NYKÖPING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4124-2025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45685</v>
      </c>
      <c r="E797" s="1" t="n">
        <v>46239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4182-2025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45685</v>
      </c>
      <c r="E798" s="1" t="n">
        <v>46239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24280-2022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44725</v>
      </c>
      <c r="E799" s="1" t="n">
        <v>46239</v>
      </c>
      <c r="F799" t="inlineStr">
        <is>
          <t>SÖDERMANLANDS LÄN</t>
        </is>
      </c>
      <c r="G799" t="inlineStr">
        <is>
          <t>NYKÖPING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31424-2022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44774</v>
      </c>
      <c r="E800" s="1" t="n">
        <v>46239</v>
      </c>
      <c r="F800" t="inlineStr">
        <is>
          <t>SÖDERMANLANDS LÄN</t>
        </is>
      </c>
      <c r="G800" t="inlineStr">
        <is>
          <t>NYKÖPING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47370-2022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44853</v>
      </c>
      <c r="E801" s="1" t="n">
        <v>46239</v>
      </c>
      <c r="F801" t="inlineStr">
        <is>
          <t>SÖDERMANLANDS LÄN</t>
        </is>
      </c>
      <c r="G801" t="inlineStr">
        <is>
          <t>NYKÖPING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38508-2023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45162</v>
      </c>
      <c r="E802" s="1" t="n">
        <v>46239</v>
      </c>
      <c r="F802" t="inlineStr">
        <is>
          <t>SÖDERMANLANDS LÄN</t>
        </is>
      </c>
      <c r="G802" t="inlineStr">
        <is>
          <t>NYKÖPING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13455-2022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44645</v>
      </c>
      <c r="E803" s="1" t="n">
        <v>46239</v>
      </c>
      <c r="F803" t="inlineStr">
        <is>
          <t>SÖDERMANLANDS LÄN</t>
        </is>
      </c>
      <c r="G803" t="inlineStr">
        <is>
          <t>NYKÖPING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49223-2022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44858</v>
      </c>
      <c r="E804" s="1" t="n">
        <v>46239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Övriga statliga verk och myndigheter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51699-2023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45222</v>
      </c>
      <c r="E805" s="1" t="n">
        <v>46239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Holmen skog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24829-2024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45461</v>
      </c>
      <c r="E806" s="1" t="n">
        <v>46239</v>
      </c>
      <c r="F806" t="inlineStr">
        <is>
          <t>SÖDERMANLANDS LÄN</t>
        </is>
      </c>
      <c r="G806" t="inlineStr">
        <is>
          <t>NYKÖPING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35532-2022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44799</v>
      </c>
      <c r="E807" s="1" t="n">
        <v>46239</v>
      </c>
      <c r="F807" t="inlineStr">
        <is>
          <t>SÖDERMANLANDS LÄN</t>
        </is>
      </c>
      <c r="G807" t="inlineStr">
        <is>
          <t>NYKÖPING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7428-2025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45705</v>
      </c>
      <c r="E808" s="1" t="n">
        <v>46239</v>
      </c>
      <c r="F808" t="inlineStr">
        <is>
          <t>SÖDERMANLANDS LÄN</t>
        </is>
      </c>
      <c r="G808" t="inlineStr">
        <is>
          <t>NYKÖPING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8787-2025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45712</v>
      </c>
      <c r="E809" s="1" t="n">
        <v>46239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24197-2022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44725</v>
      </c>
      <c r="E810" s="1" t="n">
        <v>46239</v>
      </c>
      <c r="F810" t="inlineStr">
        <is>
          <t>SÖDERMANLANDS LÄN</t>
        </is>
      </c>
      <c r="G810" t="inlineStr">
        <is>
          <t>NYKÖPING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65231-2023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45289</v>
      </c>
      <c r="E811" s="1" t="n">
        <v>46239</v>
      </c>
      <c r="F811" t="inlineStr">
        <is>
          <t>SÖDERMANLANDS LÄN</t>
        </is>
      </c>
      <c r="G811" t="inlineStr">
        <is>
          <t>NYKÖPING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35252-2022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44798</v>
      </c>
      <c r="E812" s="1" t="n">
        <v>46239</v>
      </c>
      <c r="F812" t="inlineStr">
        <is>
          <t>SÖDERMANLANDS LÄN</t>
        </is>
      </c>
      <c r="G812" t="inlineStr">
        <is>
          <t>NYKÖPING</t>
        </is>
      </c>
      <c r="I812" t="n">
        <v>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46239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46239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46239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3579-2022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44735</v>
      </c>
      <c r="E816" s="1" t="n">
        <v>46239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46239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46239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46239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46239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46239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46239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46239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46239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2026-08-05T20:37:18Z</dcterms:created>
  <dcterms:modified xmlns:dcterms="http://purl.org/dc/terms/" xmlns:xsi="http://www.w3.org/2001/XMLSchema-instance" xsi:type="dcterms:W3CDTF">2026-08-05T20:37:18Z</dcterms:modified>
</cp:coreProperties>
</file>