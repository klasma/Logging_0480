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45793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45793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45793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45793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45793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45793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45793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45793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45793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45793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45793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45793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23898-2024</t>
        </is>
      </c>
      <c r="B14" s="1" t="n">
        <v>45455</v>
      </c>
      <c r="C14" s="1" t="n">
        <v>45793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7.4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Skogsalm
Blodticka
Blåmossa
Brandticka
Stubbspretmossa
Ögonpyrola
Revlummer</t>
        </is>
      </c>
      <c r="S14">
        <f>HYPERLINK("https://klasma.github.io/Logging_0480/artfynd/A 23898-2024 artfynd.xlsx", "A 23898-2024")</f>
        <v/>
      </c>
      <c r="T14">
        <f>HYPERLINK("https://klasma.github.io/Logging_0480/kartor/A 23898-2024 karta.png", "A 23898-2024")</f>
        <v/>
      </c>
      <c r="V14">
        <f>HYPERLINK("https://klasma.github.io/Logging_0480/klagomål/A 23898-2024 FSC-klagomål.docx", "A 23898-2024")</f>
        <v/>
      </c>
      <c r="W14">
        <f>HYPERLINK("https://klasma.github.io/Logging_0480/klagomålsmail/A 23898-2024 FSC-klagomål mail.docx", "A 23898-2024")</f>
        <v/>
      </c>
      <c r="X14">
        <f>HYPERLINK("https://klasma.github.io/Logging_0480/tillsyn/A 23898-2024 tillsynsbegäran.docx", "A 23898-2024")</f>
        <v/>
      </c>
      <c r="Y14">
        <f>HYPERLINK("https://klasma.github.io/Logging_0480/tillsynsmail/A 23898-2024 tillsynsbegäran mail.docx", "A 23898-2024")</f>
        <v/>
      </c>
    </row>
    <row r="15" ht="15" customHeight="1">
      <c r="A15" t="inlineStr">
        <is>
          <t>A 49039-2024</t>
        </is>
      </c>
      <c r="B15" s="1" t="n">
        <v>45594</v>
      </c>
      <c r="C15" s="1" t="n">
        <v>45793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21.6</v>
      </c>
      <c r="H15" t="n">
        <v>0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Dvärgbägarlav
Kolflarnlav
Kortskaftad ärgspik
Motaggsvamp
Tallticka
Vedskivlav
Blåmossa</t>
        </is>
      </c>
      <c r="S15">
        <f>HYPERLINK("https://klasma.github.io/Logging_0480/artfynd/A 49039-2024 artfynd.xlsx", "A 49039-2024")</f>
        <v/>
      </c>
      <c r="T15">
        <f>HYPERLINK("https://klasma.github.io/Logging_0480/kartor/A 49039-2024 karta.png", "A 49039-2024")</f>
        <v/>
      </c>
      <c r="V15">
        <f>HYPERLINK("https://klasma.github.io/Logging_0480/klagomål/A 49039-2024 FSC-klagomål.docx", "A 49039-2024")</f>
        <v/>
      </c>
      <c r="W15">
        <f>HYPERLINK("https://klasma.github.io/Logging_0480/klagomålsmail/A 49039-2024 FSC-klagomål mail.docx", "A 49039-2024")</f>
        <v/>
      </c>
      <c r="X15">
        <f>HYPERLINK("https://klasma.github.io/Logging_0480/tillsyn/A 49039-2024 tillsynsbegäran.docx", "A 49039-2024")</f>
        <v/>
      </c>
      <c r="Y15">
        <f>HYPERLINK("https://klasma.github.io/Logging_0480/tillsynsmail/A 49039-2024 tillsynsbegäran mail.docx", "A 49039-2024")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45793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45793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45793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45793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45793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45793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45793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45793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45793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45793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45793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64594-2019</t>
        </is>
      </c>
      <c r="B27" s="1" t="n">
        <v>43798</v>
      </c>
      <c r="C27" s="1" t="n">
        <v>45793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2.6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Kricka
Gröngöling
Järnsparv
Åkergroda</t>
        </is>
      </c>
      <c r="S27">
        <f>HYPERLINK("https://klasma.github.io/Logging_0480/artfynd/A 64594-2019 artfynd.xlsx", "A 64594-2019")</f>
        <v/>
      </c>
      <c r="T27">
        <f>HYPERLINK("https://klasma.github.io/Logging_0480/kartor/A 64594-2019 karta.png", "A 64594-2019")</f>
        <v/>
      </c>
      <c r="V27">
        <f>HYPERLINK("https://klasma.github.io/Logging_0480/klagomål/A 64594-2019 FSC-klagomål.docx", "A 64594-2019")</f>
        <v/>
      </c>
      <c r="W27">
        <f>HYPERLINK("https://klasma.github.io/Logging_0480/klagomålsmail/A 64594-2019 FSC-klagomål mail.docx", "A 64594-2019")</f>
        <v/>
      </c>
      <c r="X27">
        <f>HYPERLINK("https://klasma.github.io/Logging_0480/tillsyn/A 64594-2019 tillsynsbegäran.docx", "A 64594-2019")</f>
        <v/>
      </c>
      <c r="Y27">
        <f>HYPERLINK("https://klasma.github.io/Logging_0480/tillsynsmail/A 64594-2019 tillsynsbegäran mail.docx", "A 64594-2019")</f>
        <v/>
      </c>
      <c r="Z27">
        <f>HYPERLINK("https://klasma.github.io/Logging_0480/fåglar/A 64594-2019 prioriterade fågelarter.docx", "A 64594-2019")</f>
        <v/>
      </c>
    </row>
    <row r="28" ht="15" customHeight="1">
      <c r="A28" t="inlineStr">
        <is>
          <t>A 6487-2020</t>
        </is>
      </c>
      <c r="B28" s="1" t="n">
        <v>43866</v>
      </c>
      <c r="C28" s="1" t="n">
        <v>45793</v>
      </c>
      <c r="D28" t="inlineStr">
        <is>
          <t>SÖDERMANLANDS LÄN</t>
        </is>
      </c>
      <c r="E28" t="inlineStr">
        <is>
          <t>NYKÖPING</t>
        </is>
      </c>
      <c r="G28" t="n">
        <v>4.9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Gränsticka
Tallticka
Ullticka
Vintertagging</t>
        </is>
      </c>
      <c r="S28">
        <f>HYPERLINK("https://klasma.github.io/Logging_0480/artfynd/A 6487-2020 artfynd.xlsx", "A 6487-2020")</f>
        <v/>
      </c>
      <c r="T28">
        <f>HYPERLINK("https://klasma.github.io/Logging_0480/kartor/A 6487-2020 karta.png", "A 6487-2020")</f>
        <v/>
      </c>
      <c r="V28">
        <f>HYPERLINK("https://klasma.github.io/Logging_0480/klagomål/A 6487-2020 FSC-klagomål.docx", "A 6487-2020")</f>
        <v/>
      </c>
      <c r="W28">
        <f>HYPERLINK("https://klasma.github.io/Logging_0480/klagomålsmail/A 6487-2020 FSC-klagomål mail.docx", "A 6487-2020")</f>
        <v/>
      </c>
      <c r="X28">
        <f>HYPERLINK("https://klasma.github.io/Logging_0480/tillsyn/A 6487-2020 tillsynsbegäran.docx", "A 6487-2020")</f>
        <v/>
      </c>
      <c r="Y28">
        <f>HYPERLINK("https://klasma.github.io/Logging_0480/tillsynsmail/A 6487-2020 tillsynsbegäran mail.docx", "A 6487-2020")</f>
        <v/>
      </c>
    </row>
    <row r="29" ht="15" customHeight="1">
      <c r="A29" t="inlineStr">
        <is>
          <t>A 25823-2020</t>
        </is>
      </c>
      <c r="B29" s="1" t="n">
        <v>43983</v>
      </c>
      <c r="C29" s="1" t="n">
        <v>45793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8.9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Svinrot
Ängsskära
Revlummer</t>
        </is>
      </c>
      <c r="S29">
        <f>HYPERLINK("https://klasma.github.io/Logging_0480/artfynd/A 25823-2020 artfynd.xlsx", "A 25823-2020")</f>
        <v/>
      </c>
      <c r="T29">
        <f>HYPERLINK("https://klasma.github.io/Logging_0480/kartor/A 25823-2020 karta.png", "A 25823-2020")</f>
        <v/>
      </c>
      <c r="V29">
        <f>HYPERLINK("https://klasma.github.io/Logging_0480/klagomål/A 25823-2020 FSC-klagomål.docx", "A 25823-2020")</f>
        <v/>
      </c>
      <c r="W29">
        <f>HYPERLINK("https://klasma.github.io/Logging_0480/klagomålsmail/A 25823-2020 FSC-klagomål mail.docx", "A 25823-2020")</f>
        <v/>
      </c>
      <c r="X29">
        <f>HYPERLINK("https://klasma.github.io/Logging_0480/tillsyn/A 25823-2020 tillsynsbegäran.docx", "A 25823-2020")</f>
        <v/>
      </c>
      <c r="Y29">
        <f>HYPERLINK("https://klasma.github.io/Logging_0480/tillsynsmail/A 25823-2020 tillsynsbegäran mail.docx", "A 25823-2020")</f>
        <v/>
      </c>
    </row>
    <row r="30" ht="15" customHeight="1">
      <c r="A30" t="inlineStr">
        <is>
          <t>A 38419-2021</t>
        </is>
      </c>
      <c r="B30" s="1" t="n">
        <v>44406</v>
      </c>
      <c r="C30" s="1" t="n">
        <v>45793</v>
      </c>
      <c r="D30" t="inlineStr">
        <is>
          <t>SÖDERMANLANDS LÄN</t>
        </is>
      </c>
      <c r="E30" t="inlineStr">
        <is>
          <t>NYKÖPING</t>
        </is>
      </c>
      <c r="F30" t="inlineStr">
        <is>
          <t>Övriga Aktiebolag</t>
        </is>
      </c>
      <c r="G30" t="n">
        <v>5.9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Treuddsaftonfly
Blåmossa
Plattlummer
Revlummer</t>
        </is>
      </c>
      <c r="S30">
        <f>HYPERLINK("https://klasma.github.io/Logging_0480/artfynd/A 38419-2021 artfynd.xlsx", "A 38419-2021")</f>
        <v/>
      </c>
      <c r="T30">
        <f>HYPERLINK("https://klasma.github.io/Logging_0480/kartor/A 38419-2021 karta.png", "A 38419-2021")</f>
        <v/>
      </c>
      <c r="V30">
        <f>HYPERLINK("https://klasma.github.io/Logging_0480/klagomål/A 38419-2021 FSC-klagomål.docx", "A 38419-2021")</f>
        <v/>
      </c>
      <c r="W30">
        <f>HYPERLINK("https://klasma.github.io/Logging_0480/klagomålsmail/A 38419-2021 FSC-klagomål mail.docx", "A 38419-2021")</f>
        <v/>
      </c>
      <c r="X30">
        <f>HYPERLINK("https://klasma.github.io/Logging_0480/tillsyn/A 38419-2021 tillsynsbegäran.docx", "A 38419-2021")</f>
        <v/>
      </c>
      <c r="Y30">
        <f>HYPERLINK("https://klasma.github.io/Logging_0480/tillsynsmail/A 38419-2021 tillsynsbegäran mail.docx", "A 38419-2021")</f>
        <v/>
      </c>
    </row>
    <row r="31" ht="15" customHeight="1">
      <c r="A31" t="inlineStr">
        <is>
          <t>A 8663-2022</t>
        </is>
      </c>
      <c r="B31" s="1" t="n">
        <v>44613</v>
      </c>
      <c r="C31" s="1" t="n">
        <v>45793</v>
      </c>
      <c r="D31" t="inlineStr">
        <is>
          <t>SÖDERMANLANDS LÄN</t>
        </is>
      </c>
      <c r="E31" t="inlineStr">
        <is>
          <t>NYKÖPING</t>
        </is>
      </c>
      <c r="G31" t="n">
        <v>6.5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Orange taggsvamp
Blomkålssvamp
Fjällig taggsvamp s.str.
Stubbspretmossa</t>
        </is>
      </c>
      <c r="S31">
        <f>HYPERLINK("https://klasma.github.io/Logging_0480/artfynd/A 8663-2022 artfynd.xlsx", "A 8663-2022")</f>
        <v/>
      </c>
      <c r="T31">
        <f>HYPERLINK("https://klasma.github.io/Logging_0480/kartor/A 8663-2022 karta.png", "A 8663-2022")</f>
        <v/>
      </c>
      <c r="V31">
        <f>HYPERLINK("https://klasma.github.io/Logging_0480/klagomål/A 8663-2022 FSC-klagomål.docx", "A 8663-2022")</f>
        <v/>
      </c>
      <c r="W31">
        <f>HYPERLINK("https://klasma.github.io/Logging_0480/klagomålsmail/A 8663-2022 FSC-klagomål mail.docx", "A 8663-2022")</f>
        <v/>
      </c>
      <c r="X31">
        <f>HYPERLINK("https://klasma.github.io/Logging_0480/tillsyn/A 8663-2022 tillsynsbegäran.docx", "A 8663-2022")</f>
        <v/>
      </c>
      <c r="Y31">
        <f>HYPERLINK("https://klasma.github.io/Logging_0480/tillsynsmail/A 8663-2022 tillsynsbegäran mail.docx", "A 8663-2022")</f>
        <v/>
      </c>
    </row>
    <row r="32" ht="15" customHeight="1">
      <c r="A32" t="inlineStr">
        <is>
          <t>A 1509-2023</t>
        </is>
      </c>
      <c r="B32" s="1" t="n">
        <v>44937</v>
      </c>
      <c r="C32" s="1" t="n">
        <v>45793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6.3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Asppraktbagge
Skorpgelélav
Aspvedgnagare
Stor aspticka</t>
        </is>
      </c>
      <c r="S32">
        <f>HYPERLINK("https://klasma.github.io/Logging_0480/artfynd/A 1509-2023 artfynd.xlsx", "A 1509-2023")</f>
        <v/>
      </c>
      <c r="T32">
        <f>HYPERLINK("https://klasma.github.io/Logging_0480/kartor/A 1509-2023 karta.png", "A 1509-2023")</f>
        <v/>
      </c>
      <c r="V32">
        <f>HYPERLINK("https://klasma.github.io/Logging_0480/klagomål/A 1509-2023 FSC-klagomål.docx", "A 1509-2023")</f>
        <v/>
      </c>
      <c r="W32">
        <f>HYPERLINK("https://klasma.github.io/Logging_0480/klagomålsmail/A 1509-2023 FSC-klagomål mail.docx", "A 1509-2023")</f>
        <v/>
      </c>
      <c r="X32">
        <f>HYPERLINK("https://klasma.github.io/Logging_0480/tillsyn/A 1509-2023 tillsynsbegäran.docx", "A 1509-2023")</f>
        <v/>
      </c>
      <c r="Y32">
        <f>HYPERLINK("https://klasma.github.io/Logging_0480/tillsynsmail/A 1509-2023 tillsynsbegäran mail.docx", "A 1509-2023")</f>
        <v/>
      </c>
    </row>
    <row r="33" ht="15" customHeight="1">
      <c r="A33" t="inlineStr">
        <is>
          <t>A 4753-2024</t>
        </is>
      </c>
      <c r="B33" s="1" t="n">
        <v>45328</v>
      </c>
      <c r="C33" s="1" t="n">
        <v>45793</v>
      </c>
      <c r="D33" t="inlineStr">
        <is>
          <t>SÖDERMANLANDS LÄN</t>
        </is>
      </c>
      <c r="E33" t="inlineStr">
        <is>
          <t>NYKÖPING</t>
        </is>
      </c>
      <c r="G33" t="n">
        <v>11.8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Orange taggsvamp
Svart taggsvamp
Tallticka
Dropptaggsvamp</t>
        </is>
      </c>
      <c r="S33">
        <f>HYPERLINK("https://klasma.github.io/Logging_0480/artfynd/A 4753-2024 artfynd.xlsx", "A 4753-2024")</f>
        <v/>
      </c>
      <c r="T33">
        <f>HYPERLINK("https://klasma.github.io/Logging_0480/kartor/A 4753-2024 karta.png", "A 4753-2024")</f>
        <v/>
      </c>
      <c r="V33">
        <f>HYPERLINK("https://klasma.github.io/Logging_0480/klagomål/A 4753-2024 FSC-klagomål.docx", "A 4753-2024")</f>
        <v/>
      </c>
      <c r="W33">
        <f>HYPERLINK("https://klasma.github.io/Logging_0480/klagomålsmail/A 4753-2024 FSC-klagomål mail.docx", "A 4753-2024")</f>
        <v/>
      </c>
      <c r="X33">
        <f>HYPERLINK("https://klasma.github.io/Logging_0480/tillsyn/A 4753-2024 tillsynsbegäran.docx", "A 4753-2024")</f>
        <v/>
      </c>
      <c r="Y33">
        <f>HYPERLINK("https://klasma.github.io/Logging_0480/tillsynsmail/A 4753-2024 tillsynsbegäran mail.docx", "A 4753-2024")</f>
        <v/>
      </c>
    </row>
    <row r="34" ht="15" customHeight="1">
      <c r="A34" t="inlineStr">
        <is>
          <t>A 33265-2024</t>
        </is>
      </c>
      <c r="B34" s="1" t="n">
        <v>45518</v>
      </c>
      <c r="C34" s="1" t="n">
        <v>45793</v>
      </c>
      <c r="D34" t="inlineStr">
        <is>
          <t>SÖDERMANLANDS LÄN</t>
        </is>
      </c>
      <c r="E34" t="inlineStr">
        <is>
          <t>NYKÖPING</t>
        </is>
      </c>
      <c r="G34" t="n">
        <v>7.8</v>
      </c>
      <c r="H34" t="n">
        <v>2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Fjällig taggsvamp s.str.
Granbarkgnagare
Blåsippa</t>
        </is>
      </c>
      <c r="S34">
        <f>HYPERLINK("https://klasma.github.io/Logging_0480/artfynd/A 33265-2024 artfynd.xlsx", "A 33265-2024")</f>
        <v/>
      </c>
      <c r="T34">
        <f>HYPERLINK("https://klasma.github.io/Logging_0480/kartor/A 33265-2024 karta.png", "A 33265-2024")</f>
        <v/>
      </c>
      <c r="U34">
        <f>HYPERLINK("https://klasma.github.io/Logging_0480/knärot/A 33265-2024 karta knärot.png", "A 33265-2024")</f>
        <v/>
      </c>
      <c r="V34">
        <f>HYPERLINK("https://klasma.github.io/Logging_0480/klagomål/A 33265-2024 FSC-klagomål.docx", "A 33265-2024")</f>
        <v/>
      </c>
      <c r="W34">
        <f>HYPERLINK("https://klasma.github.io/Logging_0480/klagomålsmail/A 33265-2024 FSC-klagomål mail.docx", "A 33265-2024")</f>
        <v/>
      </c>
      <c r="X34">
        <f>HYPERLINK("https://klasma.github.io/Logging_0480/tillsyn/A 33265-2024 tillsynsbegäran.docx", "A 33265-2024")</f>
        <v/>
      </c>
      <c r="Y34">
        <f>HYPERLINK("https://klasma.github.io/Logging_0480/tillsynsmail/A 33265-2024 tillsynsbegäran mail.docx", "A 33265-2024")</f>
        <v/>
      </c>
    </row>
    <row r="35" ht="15" customHeight="1">
      <c r="A35" t="inlineStr">
        <is>
          <t>A 37372-2024</t>
        </is>
      </c>
      <c r="B35" s="1" t="n">
        <v>45540</v>
      </c>
      <c r="C35" s="1" t="n">
        <v>45793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3.4</v>
      </c>
      <c r="H35" t="n">
        <v>1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Spillkråka
Blåmossa
Vågbandad barkbock</t>
        </is>
      </c>
      <c r="S35">
        <f>HYPERLINK("https://klasma.github.io/Logging_0480/artfynd/A 37372-2024 artfynd.xlsx", "A 37372-2024")</f>
        <v/>
      </c>
      <c r="T35">
        <f>HYPERLINK("https://klasma.github.io/Logging_0480/kartor/A 37372-2024 karta.png", "A 37372-2024")</f>
        <v/>
      </c>
      <c r="V35">
        <f>HYPERLINK("https://klasma.github.io/Logging_0480/klagomål/A 37372-2024 FSC-klagomål.docx", "A 37372-2024")</f>
        <v/>
      </c>
      <c r="W35">
        <f>HYPERLINK("https://klasma.github.io/Logging_0480/klagomålsmail/A 37372-2024 FSC-klagomål mail.docx", "A 37372-2024")</f>
        <v/>
      </c>
      <c r="X35">
        <f>HYPERLINK("https://klasma.github.io/Logging_0480/tillsyn/A 37372-2024 tillsynsbegäran.docx", "A 37372-2024")</f>
        <v/>
      </c>
      <c r="Y35">
        <f>HYPERLINK("https://klasma.github.io/Logging_0480/tillsynsmail/A 37372-2024 tillsynsbegäran mail.docx", "A 37372-2024")</f>
        <v/>
      </c>
      <c r="Z35">
        <f>HYPERLINK("https://klasma.github.io/Logging_0480/fåglar/A 37372-2024 prioriterade fågelarter.docx", "A 37372-2024")</f>
        <v/>
      </c>
    </row>
    <row r="36" ht="15" customHeight="1">
      <c r="A36" t="inlineStr">
        <is>
          <t>A 38456-2024</t>
        </is>
      </c>
      <c r="B36" s="1" t="n">
        <v>45546</v>
      </c>
      <c r="C36" s="1" t="n">
        <v>45793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1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Ask
Tallticka
Grovticka
Blåsippa</t>
        </is>
      </c>
      <c r="S36">
        <f>HYPERLINK("https://klasma.github.io/Logging_0480/artfynd/A 38456-2024 artfynd.xlsx", "A 38456-2024")</f>
        <v/>
      </c>
      <c r="T36">
        <f>HYPERLINK("https://klasma.github.io/Logging_0480/kartor/A 38456-2024 karta.png", "A 38456-2024")</f>
        <v/>
      </c>
      <c r="V36">
        <f>HYPERLINK("https://klasma.github.io/Logging_0480/klagomål/A 38456-2024 FSC-klagomål.docx", "A 38456-2024")</f>
        <v/>
      </c>
      <c r="W36">
        <f>HYPERLINK("https://klasma.github.io/Logging_0480/klagomålsmail/A 38456-2024 FSC-klagomål mail.docx", "A 38456-2024")</f>
        <v/>
      </c>
      <c r="X36">
        <f>HYPERLINK("https://klasma.github.io/Logging_0480/tillsyn/A 38456-2024 tillsynsbegäran.docx", "A 38456-2024")</f>
        <v/>
      </c>
      <c r="Y36">
        <f>HYPERLINK("https://klasma.github.io/Logging_0480/tillsynsmail/A 38456-2024 tillsynsbegäran mail.docx", "A 38456-2024")</f>
        <v/>
      </c>
    </row>
    <row r="37" ht="15" customHeight="1">
      <c r="A37" t="inlineStr">
        <is>
          <t>A 38735-2019</t>
        </is>
      </c>
      <c r="B37" s="1" t="n">
        <v>43686</v>
      </c>
      <c r="C37" s="1" t="n">
        <v>45793</v>
      </c>
      <c r="D37" t="inlineStr">
        <is>
          <t>SÖDERMANLANDS LÄN</t>
        </is>
      </c>
      <c r="E37" t="inlineStr">
        <is>
          <t>NYKÖPING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Svinrot
Ögonpyrola
Blåsippa</t>
        </is>
      </c>
      <c r="S37">
        <f>HYPERLINK("https://klasma.github.io/Logging_0480/artfynd/A 38735-2019 artfynd.xlsx", "A 38735-2019")</f>
        <v/>
      </c>
      <c r="T37">
        <f>HYPERLINK("https://klasma.github.io/Logging_0480/kartor/A 38735-2019 karta.png", "A 38735-2019")</f>
        <v/>
      </c>
      <c r="V37">
        <f>HYPERLINK("https://klasma.github.io/Logging_0480/klagomål/A 38735-2019 FSC-klagomål.docx", "A 38735-2019")</f>
        <v/>
      </c>
      <c r="W37">
        <f>HYPERLINK("https://klasma.github.io/Logging_0480/klagomålsmail/A 38735-2019 FSC-klagomål mail.docx", "A 38735-2019")</f>
        <v/>
      </c>
      <c r="X37">
        <f>HYPERLINK("https://klasma.github.io/Logging_0480/tillsyn/A 38735-2019 tillsynsbegäran.docx", "A 38735-2019")</f>
        <v/>
      </c>
      <c r="Y37">
        <f>HYPERLINK("https://klasma.github.io/Logging_0480/tillsynsmail/A 38735-2019 tillsynsbegäran mail.docx", "A 38735-2019")</f>
        <v/>
      </c>
    </row>
    <row r="38" ht="15" customHeight="1">
      <c r="A38" t="inlineStr">
        <is>
          <t>A 42633-2019</t>
        </is>
      </c>
      <c r="B38" s="1" t="n">
        <v>43704</v>
      </c>
      <c r="C38" s="1" t="n">
        <v>45793</v>
      </c>
      <c r="D38" t="inlineStr">
        <is>
          <t>SÖDERMANLANDS LÄN</t>
        </is>
      </c>
      <c r="E38" t="inlineStr">
        <is>
          <t>NYKÖPING</t>
        </is>
      </c>
      <c r="G38" t="n">
        <v>12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Entita
Kungsfågel
Blåsippa</t>
        </is>
      </c>
      <c r="S38">
        <f>HYPERLINK("https://klasma.github.io/Logging_0480/artfynd/A 42633-2019 artfynd.xlsx", "A 42633-2019")</f>
        <v/>
      </c>
      <c r="T38">
        <f>HYPERLINK("https://klasma.github.io/Logging_0480/kartor/A 42633-2019 karta.png", "A 42633-2019")</f>
        <v/>
      </c>
      <c r="V38">
        <f>HYPERLINK("https://klasma.github.io/Logging_0480/klagomål/A 42633-2019 FSC-klagomål.docx", "A 42633-2019")</f>
        <v/>
      </c>
      <c r="W38">
        <f>HYPERLINK("https://klasma.github.io/Logging_0480/klagomålsmail/A 42633-2019 FSC-klagomål mail.docx", "A 42633-2019")</f>
        <v/>
      </c>
      <c r="X38">
        <f>HYPERLINK("https://klasma.github.io/Logging_0480/tillsyn/A 42633-2019 tillsynsbegäran.docx", "A 42633-2019")</f>
        <v/>
      </c>
      <c r="Y38">
        <f>HYPERLINK("https://klasma.github.io/Logging_0480/tillsynsmail/A 42633-2019 tillsynsbegäran mail.docx", "A 42633-2019")</f>
        <v/>
      </c>
      <c r="Z38">
        <f>HYPERLINK("https://klasma.github.io/Logging_0480/fåglar/A 42633-2019 prioriterade fågelarter.docx", "A 42633-2019")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45793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45793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45793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45793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45793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45793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45793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45793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45793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45793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45793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45793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45793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45793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45793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45793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45793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45793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45793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45793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45793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45793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45793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45793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45793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45793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45793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45793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45793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45793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45793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45793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45793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45793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45793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45793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45793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45793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45793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45793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45793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45793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45793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45793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45793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45793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45793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45793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45793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45793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45793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45793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45793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45793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45793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45793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45793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45793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45793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45793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45793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45793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45793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45793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45793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45793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45793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45793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45793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45793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45793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45793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45793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45793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45793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45793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45793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45793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45793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45793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45793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45793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45793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45793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45793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45793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45793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45793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45793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45793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45793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45793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45793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45793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45793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45793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45793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45793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45793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45793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45793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45793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45793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45793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45793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45793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45793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45793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45793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45793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45793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45793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45793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45793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45793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45793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45793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45793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45793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45793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45793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45793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45793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45793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45793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45793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45793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45793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45793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45793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45793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45793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45793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45793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45793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45793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45793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45793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45793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45793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45793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45793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45793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45793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45793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45793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45793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45793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45793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45793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45793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45793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45793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45793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45793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45793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45793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45793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45793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45793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45793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45793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45793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45793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45793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45793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45793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45793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45793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45793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45793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45793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45793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45793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45793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45793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45793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45793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45793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45793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45793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45793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45793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45793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45793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45793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45793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45793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45793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45793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45793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45793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45793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45793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45793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45793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45793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45793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45793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45793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45793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45793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45793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45793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45793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45793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45793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45793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45793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45793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45793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45793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45793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45793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45793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45793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45793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45793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45793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45793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45793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45793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45793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45793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45793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45793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45793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45793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45793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45793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45793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45793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45793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45793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45793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45793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45793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45793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45793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45793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45793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45793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45793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45793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45793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45793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45793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45793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45793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45793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45793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45793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45793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45793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45793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45793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45793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45793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45793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45793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45793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45793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45793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45793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45793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45793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45793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45793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45793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45793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45793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45793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45793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45793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45793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45793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45793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45793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45793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45793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45793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45793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45793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45793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45793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45793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45793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45793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45793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45793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45793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45793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45793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45793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45793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45793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45793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45793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45793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45793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45793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45793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45793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45793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45793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45793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45793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45793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45793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45793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45793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45793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45793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45793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45793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45793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45793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45793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45793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45793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45793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45793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45793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45793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45793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45793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45793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45793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45793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45793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45793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45793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45793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45793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45793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45793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45793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45793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45793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45793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45793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45793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45793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45793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45793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45793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45793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45793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45793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45793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45793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45793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45793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45793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45793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45793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45793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45793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45793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45793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45793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45793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45793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45793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45793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45793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45793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45793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45793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45793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45793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45793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45793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45793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45793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45793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45793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45793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45793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45793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45793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45793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45793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45793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45793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45793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45793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45793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45793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45793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45793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45793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45793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45793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45793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45793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45793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45793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45793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45793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45793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45793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45793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45793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45793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45793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45793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45793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45793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45793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45793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45793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45793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45793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45793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45793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45793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45793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45793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45793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45793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45793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45793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45793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45793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45793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45793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45793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45793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45793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45793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45793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45793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45793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45793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45793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45793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45793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45793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45793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45793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45793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45793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45793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45793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45793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45793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45793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45793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45793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45793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45793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45793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45793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45793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45793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45793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45793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45793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45793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45793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45793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45793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45793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45793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45793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45793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45793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45793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45793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45793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45793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45793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45793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45793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45793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45793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45793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45793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45793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45793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45793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45793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45793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45793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45793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45793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45793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45793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45793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45793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45793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45793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45793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45793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45793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45793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45793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45793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45793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45793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45793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45793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45793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45793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45793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45793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45793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45793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45793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45793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45793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45793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45793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45793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45793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45793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45793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45793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45793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45793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45793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45793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45793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45793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45793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45793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45793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45793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45793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45793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45793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45793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45793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45793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45793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45793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45793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45793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45793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45793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45793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45793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45793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45793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45793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45793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45793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45793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45793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45793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45793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45793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45793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45793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45793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45793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45793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45793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45793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45793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45793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45793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45793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45793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45793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45793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45793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45793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45793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45793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45793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45793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45793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45793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45793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45793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45793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45793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45793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45793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45793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45793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45793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45793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45793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45793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45793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45793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45793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45793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45793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45793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45793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45793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45793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45793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45793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45793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45793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45793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45793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45793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45793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45793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45793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45793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45793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45793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45793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45793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45793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45793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45793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45793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45793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45793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45793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45793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45793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45793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45793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45793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45793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45793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45793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45793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45793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45793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45793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45793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45793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45793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45793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45793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45793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45793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45793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45793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45793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45793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45793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45793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45793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45793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45793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45793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45793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45793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45793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45793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45793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45793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45793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45793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45793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45793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45793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45793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45793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45793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45793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45793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45793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45793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45793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45793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45793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45793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45793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45793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45793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45793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45793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45793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45793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45793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45793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45793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45793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45793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45793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45793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45793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45793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45793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45793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45793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45793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45793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45793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45793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45793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45793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45793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45793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45793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45793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45793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45793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45793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45793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45793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45793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45793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45793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45793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45793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45793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45793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45793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45793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45793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45793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45793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45793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45793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45793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45793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45793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45793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45793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45793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45793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45793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45793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45793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45793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45793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45793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45793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45793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45793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45793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45793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45793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45793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45793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45793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45793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45793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45793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45793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45793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45793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45793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45793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45793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45793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45793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45793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45793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45793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45793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45793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45793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45793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45793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45793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45793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45793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45793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45793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45793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45793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45793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45793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45793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45793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45793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45793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45793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45793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45793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45793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45793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45793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45793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45793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45793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45793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45793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45793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45793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45793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45793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45793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45793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45793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45793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45793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45793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45793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45793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45793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45793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45793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45793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45793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45793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45793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45793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45793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45793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45793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45793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45793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45793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45793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45793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45793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45793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45793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45793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45793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45793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45793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45793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45793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45793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45793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45793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45793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45793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45793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45793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45793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45793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45793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45793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45793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45793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45793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45793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45793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45793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45793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45793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45793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45793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45793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45793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45793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45793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45793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45793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45793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45793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45793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45793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45793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45793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45793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45793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45793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45793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45793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45793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45793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45793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45793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45793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45793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45793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45793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45793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45793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45793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45793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45793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45793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45793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45793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45793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45793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45793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45793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45793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45793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45793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45793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45793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45793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45793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45793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45793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45793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45793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45793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45793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45793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45793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45793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45793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45793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45793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45793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45793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45793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45793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45793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45793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45793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45793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45793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45793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45793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45793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45793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45793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45793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45793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45793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45793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45793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45793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45793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45793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45793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45793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45793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45793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45793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45793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45793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45793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45793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45793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45793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45793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45793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45793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45793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45793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45793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45793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45793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45793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45793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45793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45793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45793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45793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45793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45793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45793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45793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45793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45793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45793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45793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45793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45793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45793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45793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45793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45793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45793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45793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45793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45793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45793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45793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45793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45793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45793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45793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45793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45793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45793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45793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45793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45793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45793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45793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45793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45793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45793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45793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45793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45793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45793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45793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45793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45793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45793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45793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45793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45793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45793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45793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45793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45793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45793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45793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45793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45793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45793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45793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45793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45793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45793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45793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45793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45793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45793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45793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45793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45793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45793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45793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45793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45793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45793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45793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45793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45793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45793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45793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45793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45793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45793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45793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45793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45793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45793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45793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45793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45793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45793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45793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45793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45793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45793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45793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45793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45793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45793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45793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45793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45793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45793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45793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45793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45793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45793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45793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45793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45793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45793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45793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45793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45793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45793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45793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45793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45793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45793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45793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45793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45793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45793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45793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45793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45793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45793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45793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45793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45793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45793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45793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45793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45793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45793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45793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45793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45793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45793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45793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45793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45793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45793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45793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45793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45793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45793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45793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45793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45793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45793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45793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45793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45793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45793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45793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45793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45793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45793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45793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45793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45793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45793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45793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45793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45793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45793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45793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45793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45793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45793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45793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45793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45793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45793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45793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45793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45793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45793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45793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45793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45793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45793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45793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45793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45793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45793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45793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45793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45793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45793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45793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45793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45793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45793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45793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45793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45793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45793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45793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45793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45793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45793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45793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45793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45793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45793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45793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45793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45793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45793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45793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45793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45793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45793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45793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45793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45793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45793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45793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45793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45793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45793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45793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45793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45793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45793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45793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45793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45793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45793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45793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45793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45793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45793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45793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45793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45793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45793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45793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45793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45793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45793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45793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45793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45793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45793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45793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45793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45793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45793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45793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45793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45793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45793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45793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45793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45793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45793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45793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45793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45793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45793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45793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45793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45793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45793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45793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45793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45793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45793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45793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45793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45793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45793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45793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45793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45793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45793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45793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45793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45793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45793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45793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45793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45793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45793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45793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45793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45793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45793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45793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45793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45793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45793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45793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45793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45793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45793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45793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45793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45793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45793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45793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45793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45793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45793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45793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45793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45793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45793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45793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45793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45793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45793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45793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45793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45793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45793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45793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45793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45793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45793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45793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45793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45793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45793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45793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45793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45793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45793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45793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45793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45793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45793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45793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45793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45793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45793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45793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45793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45793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45793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45793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45793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45793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45793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45793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45793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45793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45793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45793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45793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45793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45793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45793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45793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45793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45793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45793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45793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45793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45793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45793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45793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45793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45793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45793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45793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45793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45793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45793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45793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45793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45793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45793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45793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45793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45793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45793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45793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45793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45793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45793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45793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45793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45793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45793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45793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45793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45793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45793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45793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45793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45793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45793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45793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45793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45793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45793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45793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45793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45793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45793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45793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45793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45793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45793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45793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45793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45793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45793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45793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45793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45793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45793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45793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45793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45793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45793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45793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45793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45793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45793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45793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45793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45793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45793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45793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45793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45793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45793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45793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45793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45793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45793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45793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45793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45793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45793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45793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45793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45793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45793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45793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45793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45793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45793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45793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45793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45793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45793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45793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45793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45793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45793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45793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45793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45793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45793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45793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45793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45793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45793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45793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45793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45793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45793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45793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45793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45793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45793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45793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45793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45793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45793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45793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45793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45793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45793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45793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45793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45793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45793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45793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45793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45793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45793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45793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45793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45793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45793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45793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45793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45793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45793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45793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45793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45793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45793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45793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45793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45793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45793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45793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45793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45793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45793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45793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45793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45793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45793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45793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45793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45793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45793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45793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45793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45793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45793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45793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45793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45793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45793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45793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45793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45793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45793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45793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45793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45793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45793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45793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45793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45793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45793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45793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45793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45793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45793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45793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45793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45793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45793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45793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45793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45793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45793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45793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45793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45793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45793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45793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45793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45793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45793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45793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45793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45793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45793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45793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45793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45793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45793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45793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45793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45793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45793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45793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45793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45793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45793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45793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45793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45793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45793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45793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45793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45793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45793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45793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45793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45793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45793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45793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45793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45793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45793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45793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45793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45793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45793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45793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45793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45793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45793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45793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45793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45793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45793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45793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45793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45793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45793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45793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45793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45793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45793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45793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45793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45793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45793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45793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45793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45793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45793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45793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45793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45793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45793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45793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45793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45793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45793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45793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45793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45793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45793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45793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45793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45793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45793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45793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45793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45793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45793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45793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45793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45793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45793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45793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45793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45793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45793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45793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45793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45793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45793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45793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45793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45793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45793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45793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45793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45793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45793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45793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45793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45793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45793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45793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45793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45793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45793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45793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45793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45793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45793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45793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45793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45793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45793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45793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45793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45793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45793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45793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45793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45793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45793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45793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45793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45793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45793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45793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45793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45793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45793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45793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45793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45793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45793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45793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45793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45793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45793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45793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45793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45793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45793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45793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45793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45793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45793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45793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45793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45793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45793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45793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45793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45793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45793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45793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45793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45793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45793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45793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45793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45793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45793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45793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45793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45793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45793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45793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45793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45793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45793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45793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45793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45793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45793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45793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45793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45793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45793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45793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45793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45793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45793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45793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45793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45793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45793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45793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45793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45793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45793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45793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45793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45793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45793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45793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45793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45793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45793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45793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45793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45793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45793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45793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45793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45793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45793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45793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45793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45793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45793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45793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45793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45793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45793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45793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45793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45793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45793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45793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45793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45793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45793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45793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45793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45793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45793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45793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45793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45793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45793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45793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45793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45793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45793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45793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45793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45793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45793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45793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45793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45793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45793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45793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45793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45793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45793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45793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45793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45793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45793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45793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45793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45793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45793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45793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45793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45793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45793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45793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45793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45793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45793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45793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45793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45793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45793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45793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45793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45793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45793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45793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45793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45793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45793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45793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45793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45793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45793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45793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45793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45793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45793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45793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45793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18478-2025</t>
        </is>
      </c>
      <c r="B1820" s="1" t="n">
        <v>45762</v>
      </c>
      <c r="C1820" s="1" t="n">
        <v>45793</v>
      </c>
      <c r="D1820" t="inlineStr">
        <is>
          <t>SÖDERMANLANDS LÄN</t>
        </is>
      </c>
      <c r="E1820" t="inlineStr">
        <is>
          <t>NYKÖPING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18479-2025</t>
        </is>
      </c>
      <c r="B1821" s="1" t="n">
        <v>45762</v>
      </c>
      <c r="C1821" s="1" t="n">
        <v>45793</v>
      </c>
      <c r="D1821" t="inlineStr">
        <is>
          <t>SÖDERMANLANDS LÄN</t>
        </is>
      </c>
      <c r="E1821" t="inlineStr">
        <is>
          <t>NYKÖPING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20486-2025</t>
        </is>
      </c>
      <c r="B1822" s="1" t="n">
        <v>45775</v>
      </c>
      <c r="C1822" s="1" t="n">
        <v>45793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45793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21310-2025</t>
        </is>
      </c>
      <c r="B1824" s="1" t="n">
        <v>45781</v>
      </c>
      <c r="C1824" s="1" t="n">
        <v>45793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22698-2025</t>
        </is>
      </c>
      <c r="B1825" s="1" t="n">
        <v>45789</v>
      </c>
      <c r="C1825" s="1" t="n">
        <v>45793</v>
      </c>
      <c r="D1825" t="inlineStr">
        <is>
          <t>SÖDERMANLANDS LÄN</t>
        </is>
      </c>
      <c r="E1825" t="inlineStr">
        <is>
          <t>NYKÖPING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22690-2025</t>
        </is>
      </c>
      <c r="B1826" s="1" t="n">
        <v>45789</v>
      </c>
      <c r="C1826" s="1" t="n">
        <v>45793</v>
      </c>
      <c r="D1826" t="inlineStr">
        <is>
          <t>SÖDERMANLANDS LÄN</t>
        </is>
      </c>
      <c r="E1826" t="inlineStr">
        <is>
          <t>NYKÖPING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22693-2025</t>
        </is>
      </c>
      <c r="B1827" s="1" t="n">
        <v>45789</v>
      </c>
      <c r="C1827" s="1" t="n">
        <v>45793</v>
      </c>
      <c r="D1827" t="inlineStr">
        <is>
          <t>SÖDERMANLANDS LÄN</t>
        </is>
      </c>
      <c r="E1827" t="inlineStr">
        <is>
          <t>NYKÖPING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>
      <c r="A1828" t="inlineStr">
        <is>
          <t>A 22840-2025</t>
        </is>
      </c>
      <c r="B1828" s="1" t="n">
        <v>45790</v>
      </c>
      <c r="C1828" s="1" t="n">
        <v>45793</v>
      </c>
      <c r="D1828" t="inlineStr">
        <is>
          <t>SÖDERMANLANDS LÄN</t>
        </is>
      </c>
      <c r="E1828" t="inlineStr">
        <is>
          <t>NYKÖPING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2025-05-16T17:43:43Z</dcterms:created>
  <dcterms:modified xmlns:dcterms="http://purl.org/dc/terms/" xmlns:xsi="http://www.w3.org/2001/XMLSchema-instance" xsi:type="dcterms:W3CDTF">2025-05-16T17:43:44Z</dcterms:modified>
</cp:coreProperties>
</file>