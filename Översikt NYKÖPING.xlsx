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45826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45826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45826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45826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45826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45826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45826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45826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45826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57006-2023</t>
        </is>
      </c>
      <c r="B11" s="1" t="n">
        <v>45244</v>
      </c>
      <c r="C11" s="1" t="n">
        <v>45826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7</v>
      </c>
      <c r="I11" t="n">
        <v>1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Tornseglare
Kricka
Gulsparv
Skedand
Smådopping
Svartvit flugsnappare
Rödgul trumpetsvamp
Enkelbeckasin</t>
        </is>
      </c>
      <c r="S11">
        <f>HYPERLINK("https://klasma.github.io/Logging_0480/artfynd/A 57006-2023 artfynd.xlsx", "A 57006-2023")</f>
        <v/>
      </c>
      <c r="T11">
        <f>HYPERLINK("https://klasma.github.io/Logging_0480/kartor/A 57006-2023 karta.png", "A 57006-2023")</f>
        <v/>
      </c>
      <c r="V11">
        <f>HYPERLINK("https://klasma.github.io/Logging_0480/klagomål/A 57006-2023 FSC-klagomål.docx", "A 57006-2023")</f>
        <v/>
      </c>
      <c r="W11">
        <f>HYPERLINK("https://klasma.github.io/Logging_0480/klagomålsmail/A 57006-2023 FSC-klagomål mail.docx", "A 57006-2023")</f>
        <v/>
      </c>
      <c r="X11">
        <f>HYPERLINK("https://klasma.github.io/Logging_0480/tillsyn/A 57006-2023 tillsynsbegäran.docx", "A 57006-2023")</f>
        <v/>
      </c>
      <c r="Y11">
        <f>HYPERLINK("https://klasma.github.io/Logging_0480/tillsynsmail/A 57006-2023 tillsynsbegäran mail.docx", "A 57006-2023")</f>
        <v/>
      </c>
      <c r="Z11">
        <f>HYPERLINK("https://klasma.github.io/Logging_0480/fåglar/A 57006-2023 prioriterade fågelarter.docx", "A 57006-2023")</f>
        <v/>
      </c>
    </row>
    <row r="12" ht="15" customHeight="1">
      <c r="A12" t="inlineStr">
        <is>
          <t>A 18443-2019</t>
        </is>
      </c>
      <c r="B12" s="1" t="n">
        <v>43559</v>
      </c>
      <c r="C12" s="1" t="n">
        <v>45826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8.800000000000001</v>
      </c>
      <c r="H12" t="n">
        <v>5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Björktrast
Entita
Spillkråka
Bronshjon
Stubbspretmossa
Kungsfågel
Sångsvan</t>
        </is>
      </c>
      <c r="S12">
        <f>HYPERLINK("https://klasma.github.io/Logging_0480/artfynd/A 18443-2019 artfynd.xlsx", "A 18443-2019")</f>
        <v/>
      </c>
      <c r="T12">
        <f>HYPERLINK("https://klasma.github.io/Logging_0480/kartor/A 18443-2019 karta.png", "A 18443-2019")</f>
        <v/>
      </c>
      <c r="V12">
        <f>HYPERLINK("https://klasma.github.io/Logging_0480/klagomål/A 18443-2019 FSC-klagomål.docx", "A 18443-2019")</f>
        <v/>
      </c>
      <c r="W12">
        <f>HYPERLINK("https://klasma.github.io/Logging_0480/klagomålsmail/A 18443-2019 FSC-klagomål mail.docx", "A 18443-2019")</f>
        <v/>
      </c>
      <c r="X12">
        <f>HYPERLINK("https://klasma.github.io/Logging_0480/tillsyn/A 18443-2019 tillsynsbegäran.docx", "A 18443-2019")</f>
        <v/>
      </c>
      <c r="Y12">
        <f>HYPERLINK("https://klasma.github.io/Logging_0480/tillsynsmail/A 18443-2019 tillsynsbegäran mail.docx", "A 18443-2019")</f>
        <v/>
      </c>
      <c r="Z12">
        <f>HYPERLINK("https://klasma.github.io/Logging_0480/fåglar/A 18443-2019 prioriterade fågelarter.docx", "A 18443-2019")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45826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6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Kricka
Granticka
Rödvingetrast
Ärtsångare
Gröngöling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42096-2022</t>
        </is>
      </c>
      <c r="B14" s="1" t="n">
        <v>44830</v>
      </c>
      <c r="C14" s="1" t="n">
        <v>45826</v>
      </c>
      <c r="D14" t="inlineStr">
        <is>
          <t>SÖDERMANLANDS LÄN</t>
        </is>
      </c>
      <c r="E14" t="inlineStr">
        <is>
          <t>NYKÖPING</t>
        </is>
      </c>
      <c r="G14" t="n">
        <v>6.2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Krusfrö
Svinrot
Trådticka
Vågbandad barkbock
Kopparödla
Blåsippa</t>
        </is>
      </c>
      <c r="S14">
        <f>HYPERLINK("https://klasma.github.io/Logging_0480/artfynd/A 42096-2022 artfynd.xlsx", "A 42096-2022")</f>
        <v/>
      </c>
      <c r="T14">
        <f>HYPERLINK("https://klasma.github.io/Logging_0480/kartor/A 42096-2022 karta.png", "A 42096-2022")</f>
        <v/>
      </c>
      <c r="U14">
        <f>HYPERLINK("https://klasma.github.io/Logging_0480/knärot/A 42096-2022 karta knärot.png", "A 42096-2022")</f>
        <v/>
      </c>
      <c r="V14">
        <f>HYPERLINK("https://klasma.github.io/Logging_0480/klagomål/A 42096-2022 FSC-klagomål.docx", "A 42096-2022")</f>
        <v/>
      </c>
      <c r="W14">
        <f>HYPERLINK("https://klasma.github.io/Logging_0480/klagomålsmail/A 42096-2022 FSC-klagomål mail.docx", "A 42096-2022")</f>
        <v/>
      </c>
      <c r="X14">
        <f>HYPERLINK("https://klasma.github.io/Logging_0480/tillsyn/A 42096-2022 tillsynsbegäran.docx", "A 42096-2022")</f>
        <v/>
      </c>
      <c r="Y14">
        <f>HYPERLINK("https://klasma.github.io/Logging_0480/tillsynsmail/A 42096-2022 tillsynsbegäran mail.docx", "A 42096-2022")</f>
        <v/>
      </c>
    </row>
    <row r="15" ht="15" customHeight="1">
      <c r="A15" t="inlineStr">
        <is>
          <t>A 23898-2024</t>
        </is>
      </c>
      <c r="B15" s="1" t="n">
        <v>45455</v>
      </c>
      <c r="C15" s="1" t="n">
        <v>45826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7.4</v>
      </c>
      <c r="H15" t="n">
        <v>1</v>
      </c>
      <c r="I15" t="n">
        <v>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Skogsalm
Blodticka
Blåmossa
Brandticka
Stubbspretmossa
Ögonpyrola
Revlummer</t>
        </is>
      </c>
      <c r="S15">
        <f>HYPERLINK("https://klasma.github.io/Logging_0480/artfynd/A 23898-2024 artfynd.xlsx", "A 23898-2024")</f>
        <v/>
      </c>
      <c r="T15">
        <f>HYPERLINK("https://klasma.github.io/Logging_0480/kartor/A 23898-2024 karta.png", "A 23898-2024")</f>
        <v/>
      </c>
      <c r="V15">
        <f>HYPERLINK("https://klasma.github.io/Logging_0480/klagomål/A 23898-2024 FSC-klagomål.docx", "A 23898-2024")</f>
        <v/>
      </c>
      <c r="W15">
        <f>HYPERLINK("https://klasma.github.io/Logging_0480/klagomålsmail/A 23898-2024 FSC-klagomål mail.docx", "A 23898-2024")</f>
        <v/>
      </c>
      <c r="X15">
        <f>HYPERLINK("https://klasma.github.io/Logging_0480/tillsyn/A 23898-2024 tillsynsbegäran.docx", "A 23898-2024")</f>
        <v/>
      </c>
      <c r="Y15">
        <f>HYPERLINK("https://klasma.github.io/Logging_0480/tillsynsmail/A 23898-2024 tillsynsbegäran mail.docx", "A 23898-2024")</f>
        <v/>
      </c>
    </row>
    <row r="16" ht="15" customHeight="1">
      <c r="A16" t="inlineStr">
        <is>
          <t>A 49039-2024</t>
        </is>
      </c>
      <c r="B16" s="1" t="n">
        <v>45594</v>
      </c>
      <c r="C16" s="1" t="n">
        <v>45826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21.6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Dvärgbägarlav
Kolflarnlav
Kortskaftad ärgspik
Motaggsvamp
Tallticka
Vedskivlav
Blåmossa</t>
        </is>
      </c>
      <c r="S16">
        <f>HYPERLINK("https://klasma.github.io/Logging_0480/artfynd/A 49039-2024 artfynd.xlsx", "A 49039-2024")</f>
        <v/>
      </c>
      <c r="T16">
        <f>HYPERLINK("https://klasma.github.io/Logging_0480/kartor/A 49039-2024 karta.png", "A 49039-2024")</f>
        <v/>
      </c>
      <c r="V16">
        <f>HYPERLINK("https://klasma.github.io/Logging_0480/klagomål/A 49039-2024 FSC-klagomål.docx", "A 49039-2024")</f>
        <v/>
      </c>
      <c r="W16">
        <f>HYPERLINK("https://klasma.github.io/Logging_0480/klagomålsmail/A 49039-2024 FSC-klagomål mail.docx", "A 49039-2024")</f>
        <v/>
      </c>
      <c r="X16">
        <f>HYPERLINK("https://klasma.github.io/Logging_0480/tillsyn/A 49039-2024 tillsynsbegäran.docx", "A 49039-2024")</f>
        <v/>
      </c>
      <c r="Y16">
        <f>HYPERLINK("https://klasma.github.io/Logging_0480/tillsynsmail/A 49039-2024 tillsynsbegäran mail.docx", "A 49039-2024")</f>
        <v/>
      </c>
    </row>
    <row r="17" ht="15" customHeight="1">
      <c r="A17" t="inlineStr">
        <is>
          <t>A 14667-2020</t>
        </is>
      </c>
      <c r="B17" s="1" t="n">
        <v>43909</v>
      </c>
      <c r="C17" s="1" t="n">
        <v>45826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4.5</v>
      </c>
      <c r="H17" t="n">
        <v>5</v>
      </c>
      <c r="I17" t="n">
        <v>0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Grönfink
Entita
Kråka
Talltita
Vedtrappmossa
Kungsfågel</t>
        </is>
      </c>
      <c r="S17">
        <f>HYPERLINK("https://klasma.github.io/Logging_0480/artfynd/A 14667-2020 artfynd.xlsx", "A 14667-2020")</f>
        <v/>
      </c>
      <c r="T17">
        <f>HYPERLINK("https://klasma.github.io/Logging_0480/kartor/A 14667-2020 karta.png", "A 14667-2020")</f>
        <v/>
      </c>
      <c r="V17">
        <f>HYPERLINK("https://klasma.github.io/Logging_0480/klagomål/A 14667-2020 FSC-klagomål.docx", "A 14667-2020")</f>
        <v/>
      </c>
      <c r="W17">
        <f>HYPERLINK("https://klasma.github.io/Logging_0480/klagomålsmail/A 14667-2020 FSC-klagomål mail.docx", "A 14667-2020")</f>
        <v/>
      </c>
      <c r="X17">
        <f>HYPERLINK("https://klasma.github.io/Logging_0480/tillsyn/A 14667-2020 tillsynsbegäran.docx", "A 14667-2020")</f>
        <v/>
      </c>
      <c r="Y17">
        <f>HYPERLINK("https://klasma.github.io/Logging_0480/tillsynsmail/A 14667-2020 tillsynsbegäran mail.docx", "A 14667-2020")</f>
        <v/>
      </c>
      <c r="Z17">
        <f>HYPERLINK("https://klasma.github.io/Logging_0480/fåglar/A 14667-2020 prioriterade fågelarter.docx", "A 14667-2020")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45826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45826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45826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45826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45826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45826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45826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45826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45826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45826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45826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45826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45826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45826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45826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45826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45826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45826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45826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45826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45826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45826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45826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45826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45826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45826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45826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45826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45826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45826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45826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45826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45826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45826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45826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45826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45826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45826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45826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45826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45826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45826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45826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45826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45826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45826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45826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45826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45826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45826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45826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45826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45826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45826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45826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45826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45826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45826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45826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45826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45826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45826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45826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45826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45826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45826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45826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45826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45826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45826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45826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45826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45826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45826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45826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45826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45826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45826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45826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45826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45826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45826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45826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45826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45826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45826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45826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45826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45826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45826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45826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45826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45826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45826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47107-2021</t>
        </is>
      </c>
      <c r="B112" s="1" t="n">
        <v>44446</v>
      </c>
      <c r="C112" s="1" t="n">
        <v>45826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Kommuner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Enkelbeckasin</t>
        </is>
      </c>
      <c r="S112">
        <f>HYPERLINK("https://klasma.github.io/Logging_0480/artfynd/A 47107-2021 artfynd.xlsx", "A 47107-2021")</f>
        <v/>
      </c>
      <c r="T112">
        <f>HYPERLINK("https://klasma.github.io/Logging_0480/kartor/A 47107-2021 karta.png", "A 47107-2021")</f>
        <v/>
      </c>
      <c r="V112">
        <f>HYPERLINK("https://klasma.github.io/Logging_0480/klagomål/A 47107-2021 FSC-klagomål.docx", "A 47107-2021")</f>
        <v/>
      </c>
      <c r="W112">
        <f>HYPERLINK("https://klasma.github.io/Logging_0480/klagomålsmail/A 47107-2021 FSC-klagomål mail.docx", "A 47107-2021")</f>
        <v/>
      </c>
      <c r="X112">
        <f>HYPERLINK("https://klasma.github.io/Logging_0480/tillsyn/A 47107-2021 tillsynsbegäran.docx", "A 47107-2021")</f>
        <v/>
      </c>
      <c r="Y112">
        <f>HYPERLINK("https://klasma.github.io/Logging_0480/tillsynsmail/A 47107-2021 tillsynsbegäran mail.docx", "A 47107-2021")</f>
        <v/>
      </c>
      <c r="Z112">
        <f>HYPERLINK("https://klasma.github.io/Logging_0480/fåglar/A 47107-2021 prioriterade fågelarter.docx", "A 47107-2021")</f>
        <v/>
      </c>
    </row>
    <row r="113" ht="15" customHeight="1">
      <c r="A113" t="inlineStr">
        <is>
          <t>A 58396-2021</t>
        </is>
      </c>
      <c r="B113" s="1" t="n">
        <v>44488</v>
      </c>
      <c r="C113" s="1" t="n">
        <v>45826</v>
      </c>
      <c r="D113" t="inlineStr">
        <is>
          <t>SÖDERMANLANDS LÄN</t>
        </is>
      </c>
      <c r="E113" t="inlineStr">
        <is>
          <t>NYKÖPING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HYPERLINK("https://klasma.github.io/Logging_0480/artfynd/A 58396-2021 artfynd.xlsx", "A 58396-2021")</f>
        <v/>
      </c>
      <c r="T113">
        <f>HYPERLINK("https://klasma.github.io/Logging_0480/kartor/A 58396-2021 karta.png", "A 58396-2021")</f>
        <v/>
      </c>
      <c r="V113">
        <f>HYPERLINK("https://klasma.github.io/Logging_0480/klagomål/A 58396-2021 FSC-klagomål.docx", "A 58396-2021")</f>
        <v/>
      </c>
      <c r="W113">
        <f>HYPERLINK("https://klasma.github.io/Logging_0480/klagomålsmail/A 58396-2021 FSC-klagomål mail.docx", "A 58396-2021")</f>
        <v/>
      </c>
      <c r="X113">
        <f>HYPERLINK("https://klasma.github.io/Logging_0480/tillsyn/A 58396-2021 tillsynsbegäran.docx", "A 58396-2021")</f>
        <v/>
      </c>
      <c r="Y113">
        <f>HYPERLINK("https://klasma.github.io/Logging_0480/tillsynsmail/A 58396-2021 tillsynsbegäran mail.docx", "A 58396-2021")</f>
        <v/>
      </c>
      <c r="Z113">
        <f>HYPERLINK("https://klasma.github.io/Logging_0480/fåglar/A 58396-2021 prioriterade fågelarter.docx", "A 58396-2021")</f>
        <v/>
      </c>
    </row>
    <row r="114" ht="15" customHeight="1">
      <c r="A114" t="inlineStr">
        <is>
          <t>A 61071-2021</t>
        </is>
      </c>
      <c r="B114" s="1" t="n">
        <v>44497</v>
      </c>
      <c r="C114" s="1" t="n">
        <v>45826</v>
      </c>
      <c r="D114" t="inlineStr">
        <is>
          <t>SÖDERMANLANDS LÄN</t>
        </is>
      </c>
      <c r="E114" t="inlineStr">
        <is>
          <t>NYKÖPING</t>
        </is>
      </c>
      <c r="G114" t="n">
        <v>3.8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Bronshjon</t>
        </is>
      </c>
      <c r="S114">
        <f>HYPERLINK("https://klasma.github.io/Logging_0480/artfynd/A 61071-2021 artfynd.xlsx", "A 61071-2021")</f>
        <v/>
      </c>
      <c r="T114">
        <f>HYPERLINK("https://klasma.github.io/Logging_0480/kartor/A 61071-2021 karta.png", "A 61071-2021")</f>
        <v/>
      </c>
      <c r="V114">
        <f>HYPERLINK("https://klasma.github.io/Logging_0480/klagomål/A 61071-2021 FSC-klagomål.docx", "A 61071-2021")</f>
        <v/>
      </c>
      <c r="W114">
        <f>HYPERLINK("https://klasma.github.io/Logging_0480/klagomålsmail/A 61071-2021 FSC-klagomål mail.docx", "A 61071-2021")</f>
        <v/>
      </c>
      <c r="X114">
        <f>HYPERLINK("https://klasma.github.io/Logging_0480/tillsyn/A 61071-2021 tillsynsbegäran.docx", "A 61071-2021")</f>
        <v/>
      </c>
      <c r="Y114">
        <f>HYPERLINK("https://klasma.github.io/Logging_0480/tillsynsmail/A 61071-2021 tillsynsbegäran mail.docx", "A 61071-2021")</f>
        <v/>
      </c>
    </row>
    <row r="115" ht="15" customHeight="1">
      <c r="A115" t="inlineStr">
        <is>
          <t>A 62716-2021</t>
        </is>
      </c>
      <c r="B115" s="1" t="n">
        <v>44503</v>
      </c>
      <c r="C115" s="1" t="n">
        <v>45826</v>
      </c>
      <c r="D115" t="inlineStr">
        <is>
          <t>SÖDERMANLANDS LÄN</t>
        </is>
      </c>
      <c r="E115" t="inlineStr">
        <is>
          <t>NYKÖPING</t>
        </is>
      </c>
      <c r="G115" t="n">
        <v>2.4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62716-2021 artfynd.xlsx", "A 62716-2021")</f>
        <v/>
      </c>
      <c r="T115">
        <f>HYPERLINK("https://klasma.github.io/Logging_0480/kartor/A 62716-2021 karta.png", "A 62716-2021")</f>
        <v/>
      </c>
      <c r="V115">
        <f>HYPERLINK("https://klasma.github.io/Logging_0480/klagomål/A 62716-2021 FSC-klagomål.docx", "A 62716-2021")</f>
        <v/>
      </c>
      <c r="W115">
        <f>HYPERLINK("https://klasma.github.io/Logging_0480/klagomålsmail/A 62716-2021 FSC-klagomål mail.docx", "A 62716-2021")</f>
        <v/>
      </c>
      <c r="X115">
        <f>HYPERLINK("https://klasma.github.io/Logging_0480/tillsyn/A 62716-2021 tillsynsbegäran.docx", "A 62716-2021")</f>
        <v/>
      </c>
      <c r="Y115">
        <f>HYPERLINK("https://klasma.github.io/Logging_0480/tillsynsmail/A 62716-2021 tillsynsbegäran mail.docx", "A 62716-2021")</f>
        <v/>
      </c>
    </row>
    <row r="116" ht="15" customHeight="1">
      <c r="A116" t="inlineStr">
        <is>
          <t>A 65889-2021</t>
        </is>
      </c>
      <c r="B116" s="1" t="n">
        <v>44517</v>
      </c>
      <c r="C116" s="1" t="n">
        <v>45826</v>
      </c>
      <c r="D116" t="inlineStr">
        <is>
          <t>SÖDERMANLANDS LÄN</t>
        </is>
      </c>
      <c r="E116" t="inlineStr">
        <is>
          <t>NYKÖPING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Backstarr</t>
        </is>
      </c>
      <c r="S116">
        <f>HYPERLINK("https://klasma.github.io/Logging_0480/artfynd/A 65889-2021 artfynd.xlsx", "A 65889-2021")</f>
        <v/>
      </c>
      <c r="T116">
        <f>HYPERLINK("https://klasma.github.io/Logging_0480/kartor/A 65889-2021 karta.png", "A 65889-2021")</f>
        <v/>
      </c>
      <c r="V116">
        <f>HYPERLINK("https://klasma.github.io/Logging_0480/klagomål/A 65889-2021 FSC-klagomål.docx", "A 65889-2021")</f>
        <v/>
      </c>
      <c r="W116">
        <f>HYPERLINK("https://klasma.github.io/Logging_0480/klagomålsmail/A 65889-2021 FSC-klagomål mail.docx", "A 65889-2021")</f>
        <v/>
      </c>
      <c r="X116">
        <f>HYPERLINK("https://klasma.github.io/Logging_0480/tillsyn/A 65889-2021 tillsynsbegäran.docx", "A 65889-2021")</f>
        <v/>
      </c>
      <c r="Y116">
        <f>HYPERLINK("https://klasma.github.io/Logging_0480/tillsynsmail/A 65889-2021 tillsynsbegäran mail.docx", "A 65889-2021")</f>
        <v/>
      </c>
    </row>
    <row r="117" ht="15" customHeight="1">
      <c r="A117" t="inlineStr">
        <is>
          <t>A 65892-2021</t>
        </is>
      </c>
      <c r="B117" s="1" t="n">
        <v>44517</v>
      </c>
      <c r="C117" s="1" t="n">
        <v>45826</v>
      </c>
      <c r="D117" t="inlineStr">
        <is>
          <t>SÖDERMANLANDS LÄN</t>
        </is>
      </c>
      <c r="E117" t="inlineStr">
        <is>
          <t>NYKÖPING</t>
        </is>
      </c>
      <c r="G117" t="n">
        <v>1.9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HYPERLINK("https://klasma.github.io/Logging_0480/artfynd/A 65892-2021 artfynd.xlsx", "A 65892-2021")</f>
        <v/>
      </c>
      <c r="T117">
        <f>HYPERLINK("https://klasma.github.io/Logging_0480/kartor/A 65892-2021 karta.png", "A 65892-2021")</f>
        <v/>
      </c>
      <c r="V117">
        <f>HYPERLINK("https://klasma.github.io/Logging_0480/klagomål/A 65892-2021 FSC-klagomål.docx", "A 65892-2021")</f>
        <v/>
      </c>
      <c r="W117">
        <f>HYPERLINK("https://klasma.github.io/Logging_0480/klagomålsmail/A 65892-2021 FSC-klagomål mail.docx", "A 65892-2021")</f>
        <v/>
      </c>
      <c r="X117">
        <f>HYPERLINK("https://klasma.github.io/Logging_0480/tillsyn/A 65892-2021 tillsynsbegäran.docx", "A 65892-2021")</f>
        <v/>
      </c>
      <c r="Y117">
        <f>HYPERLINK("https://klasma.github.io/Logging_0480/tillsynsmail/A 65892-2021 tillsynsbegäran mail.docx", "A 65892-2021")</f>
        <v/>
      </c>
    </row>
    <row r="118" ht="15" customHeight="1">
      <c r="A118" t="inlineStr">
        <is>
          <t>A 67819-2021</t>
        </is>
      </c>
      <c r="B118" s="1" t="n">
        <v>44525</v>
      </c>
      <c r="C118" s="1" t="n">
        <v>45826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Svedjenäva</t>
        </is>
      </c>
      <c r="S118">
        <f>HYPERLINK("https://klasma.github.io/Logging_0480/artfynd/A 67819-2021 artfynd.xlsx", "A 67819-2021")</f>
        <v/>
      </c>
      <c r="T118">
        <f>HYPERLINK("https://klasma.github.io/Logging_0480/kartor/A 67819-2021 karta.png", "A 67819-2021")</f>
        <v/>
      </c>
      <c r="V118">
        <f>HYPERLINK("https://klasma.github.io/Logging_0480/klagomål/A 67819-2021 FSC-klagomål.docx", "A 67819-2021")</f>
        <v/>
      </c>
      <c r="W118">
        <f>HYPERLINK("https://klasma.github.io/Logging_0480/klagomålsmail/A 67819-2021 FSC-klagomål mail.docx", "A 67819-2021")</f>
        <v/>
      </c>
      <c r="X118">
        <f>HYPERLINK("https://klasma.github.io/Logging_0480/tillsyn/A 67819-2021 tillsynsbegäran.docx", "A 67819-2021")</f>
        <v/>
      </c>
      <c r="Y118">
        <f>HYPERLINK("https://klasma.github.io/Logging_0480/tillsynsmail/A 67819-2021 tillsynsbegäran mail.docx", "A 67819-2021")</f>
        <v/>
      </c>
    </row>
    <row r="119" ht="15" customHeight="1">
      <c r="A119" t="inlineStr">
        <is>
          <t>A 69612-2021</t>
        </is>
      </c>
      <c r="B119" s="1" t="n">
        <v>44531</v>
      </c>
      <c r="C119" s="1" t="n">
        <v>45826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Blomkålssvamp</t>
        </is>
      </c>
      <c r="S119">
        <f>HYPERLINK("https://klasma.github.io/Logging_0480/artfynd/A 69612-2021 artfynd.xlsx", "A 69612-2021")</f>
        <v/>
      </c>
      <c r="T119">
        <f>HYPERLINK("https://klasma.github.io/Logging_0480/kartor/A 69612-2021 karta.png", "A 69612-2021")</f>
        <v/>
      </c>
      <c r="V119">
        <f>HYPERLINK("https://klasma.github.io/Logging_0480/klagomål/A 69612-2021 FSC-klagomål.docx", "A 69612-2021")</f>
        <v/>
      </c>
      <c r="W119">
        <f>HYPERLINK("https://klasma.github.io/Logging_0480/klagomålsmail/A 69612-2021 FSC-klagomål mail.docx", "A 69612-2021")</f>
        <v/>
      </c>
      <c r="X119">
        <f>HYPERLINK("https://klasma.github.io/Logging_0480/tillsyn/A 69612-2021 tillsynsbegäran.docx", "A 69612-2021")</f>
        <v/>
      </c>
      <c r="Y119">
        <f>HYPERLINK("https://klasma.github.io/Logging_0480/tillsynsmail/A 69612-2021 tillsynsbegäran mail.docx", "A 69612-2021")</f>
        <v/>
      </c>
    </row>
    <row r="120" ht="15" customHeight="1">
      <c r="A120" t="inlineStr">
        <is>
          <t>A 9973-2022</t>
        </is>
      </c>
      <c r="B120" s="1" t="n">
        <v>44621</v>
      </c>
      <c r="C120" s="1" t="n">
        <v>45826</v>
      </c>
      <c r="D120" t="inlineStr">
        <is>
          <t>SÖDERMANLANDS LÄN</t>
        </is>
      </c>
      <c r="E120" t="inlineStr">
        <is>
          <t>NYKÖPING</t>
        </is>
      </c>
      <c r="G120" t="n">
        <v>18.3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 sköldmossa</t>
        </is>
      </c>
      <c r="S120">
        <f>HYPERLINK("https://klasma.github.io/Logging_0480/artfynd/A 9973-2022 artfynd.xlsx", "A 9973-2022")</f>
        <v/>
      </c>
      <c r="T120">
        <f>HYPERLINK("https://klasma.github.io/Logging_0480/kartor/A 9973-2022 karta.png", "A 9973-2022")</f>
        <v/>
      </c>
      <c r="V120">
        <f>HYPERLINK("https://klasma.github.io/Logging_0480/klagomål/A 9973-2022 FSC-klagomål.docx", "A 9973-2022")</f>
        <v/>
      </c>
      <c r="W120">
        <f>HYPERLINK("https://klasma.github.io/Logging_0480/klagomålsmail/A 9973-2022 FSC-klagomål mail.docx", "A 9973-2022")</f>
        <v/>
      </c>
      <c r="X120">
        <f>HYPERLINK("https://klasma.github.io/Logging_0480/tillsyn/A 9973-2022 tillsynsbegäran.docx", "A 9973-2022")</f>
        <v/>
      </c>
      <c r="Y120">
        <f>HYPERLINK("https://klasma.github.io/Logging_0480/tillsynsmail/A 9973-2022 tillsynsbegäran mail.docx", "A 9973-2022")</f>
        <v/>
      </c>
    </row>
    <row r="121" ht="15" customHeight="1">
      <c r="A121" t="inlineStr">
        <is>
          <t>A 11751-2022</t>
        </is>
      </c>
      <c r="B121" s="1" t="n">
        <v>44634</v>
      </c>
      <c r="C121" s="1" t="n">
        <v>45826</v>
      </c>
      <c r="D121" t="inlineStr">
        <is>
          <t>SÖDERMANLANDS LÄN</t>
        </is>
      </c>
      <c r="E121" t="inlineStr">
        <is>
          <t>NYKÖPING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Ljungögontröst</t>
        </is>
      </c>
      <c r="S121">
        <f>HYPERLINK("https://klasma.github.io/Logging_0480/artfynd/A 11751-2022 artfynd.xlsx", "A 11751-2022")</f>
        <v/>
      </c>
      <c r="T121">
        <f>HYPERLINK("https://klasma.github.io/Logging_0480/kartor/A 11751-2022 karta.png", "A 11751-2022")</f>
        <v/>
      </c>
      <c r="V121">
        <f>HYPERLINK("https://klasma.github.io/Logging_0480/klagomål/A 11751-2022 FSC-klagomål.docx", "A 11751-2022")</f>
        <v/>
      </c>
      <c r="W121">
        <f>HYPERLINK("https://klasma.github.io/Logging_0480/klagomålsmail/A 11751-2022 FSC-klagomål mail.docx", "A 11751-2022")</f>
        <v/>
      </c>
      <c r="X121">
        <f>HYPERLINK("https://klasma.github.io/Logging_0480/tillsyn/A 11751-2022 tillsynsbegäran.docx", "A 11751-2022")</f>
        <v/>
      </c>
      <c r="Y121">
        <f>HYPERLINK("https://klasma.github.io/Logging_0480/tillsynsmail/A 11751-2022 tillsynsbegäran mail.docx", "A 11751-2022")</f>
        <v/>
      </c>
    </row>
    <row r="122" ht="15" customHeight="1">
      <c r="A122" t="inlineStr">
        <is>
          <t>A 13464-2022</t>
        </is>
      </c>
      <c r="B122" s="1" t="n">
        <v>44645</v>
      </c>
      <c r="C122" s="1" t="n">
        <v>45826</v>
      </c>
      <c r="D122" t="inlineStr">
        <is>
          <t>SÖDERMANLANDS LÄN</t>
        </is>
      </c>
      <c r="E122" t="inlineStr">
        <is>
          <t>NYKÖPING</t>
        </is>
      </c>
      <c r="G122" t="n">
        <v>12.6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HYPERLINK("https://klasma.github.io/Logging_0480/artfynd/A 13464-2022 artfynd.xlsx", "A 13464-2022")</f>
        <v/>
      </c>
      <c r="T122">
        <f>HYPERLINK("https://klasma.github.io/Logging_0480/kartor/A 13464-2022 karta.png", "A 13464-2022")</f>
        <v/>
      </c>
      <c r="V122">
        <f>HYPERLINK("https://klasma.github.io/Logging_0480/klagomål/A 13464-2022 FSC-klagomål.docx", "A 13464-2022")</f>
        <v/>
      </c>
      <c r="W122">
        <f>HYPERLINK("https://klasma.github.io/Logging_0480/klagomålsmail/A 13464-2022 FSC-klagomål mail.docx", "A 13464-2022")</f>
        <v/>
      </c>
      <c r="X122">
        <f>HYPERLINK("https://klasma.github.io/Logging_0480/tillsyn/A 13464-2022 tillsynsbegäran.docx", "A 13464-2022")</f>
        <v/>
      </c>
      <c r="Y122">
        <f>HYPERLINK("https://klasma.github.io/Logging_0480/tillsynsmail/A 13464-2022 tillsynsbegäran mail.docx", "A 13464-2022")</f>
        <v/>
      </c>
    </row>
    <row r="123" ht="15" customHeight="1">
      <c r="A123" t="inlineStr">
        <is>
          <t>A 36996-2022</t>
        </is>
      </c>
      <c r="B123" s="1" t="n">
        <v>44806</v>
      </c>
      <c r="C123" s="1" t="n">
        <v>45826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Vågbandad barkbock</t>
        </is>
      </c>
      <c r="S123">
        <f>HYPERLINK("https://klasma.github.io/Logging_0480/artfynd/A 36996-2022 artfynd.xlsx", "A 36996-2022")</f>
        <v/>
      </c>
      <c r="T123">
        <f>HYPERLINK("https://klasma.github.io/Logging_0480/kartor/A 36996-2022 karta.png", "A 36996-2022")</f>
        <v/>
      </c>
      <c r="V123">
        <f>HYPERLINK("https://klasma.github.io/Logging_0480/klagomål/A 36996-2022 FSC-klagomål.docx", "A 36996-2022")</f>
        <v/>
      </c>
      <c r="W123">
        <f>HYPERLINK("https://klasma.github.io/Logging_0480/klagomålsmail/A 36996-2022 FSC-klagomål mail.docx", "A 36996-2022")</f>
        <v/>
      </c>
      <c r="X123">
        <f>HYPERLINK("https://klasma.github.io/Logging_0480/tillsyn/A 36996-2022 tillsynsbegäran.docx", "A 36996-2022")</f>
        <v/>
      </c>
      <c r="Y123">
        <f>HYPERLINK("https://klasma.github.io/Logging_0480/tillsynsmail/A 36996-2022 tillsynsbegäran mail.docx", "A 36996-2022")</f>
        <v/>
      </c>
    </row>
    <row r="124" ht="15" customHeight="1">
      <c r="A124" t="inlineStr">
        <is>
          <t>A 39740-2022</t>
        </is>
      </c>
      <c r="B124" s="1" t="n">
        <v>44817</v>
      </c>
      <c r="C124" s="1" t="n">
        <v>45826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3.4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HYPERLINK("https://klasma.github.io/Logging_0480/artfynd/A 39740-2022 artfynd.xlsx", "A 39740-2022")</f>
        <v/>
      </c>
      <c r="T124">
        <f>HYPERLINK("https://klasma.github.io/Logging_0480/kartor/A 39740-2022 karta.png", "A 39740-2022")</f>
        <v/>
      </c>
      <c r="V124">
        <f>HYPERLINK("https://klasma.github.io/Logging_0480/klagomål/A 39740-2022 FSC-klagomål.docx", "A 39740-2022")</f>
        <v/>
      </c>
      <c r="W124">
        <f>HYPERLINK("https://klasma.github.io/Logging_0480/klagomålsmail/A 39740-2022 FSC-klagomål mail.docx", "A 39740-2022")</f>
        <v/>
      </c>
      <c r="X124">
        <f>HYPERLINK("https://klasma.github.io/Logging_0480/tillsyn/A 39740-2022 tillsynsbegäran.docx", "A 39740-2022")</f>
        <v/>
      </c>
      <c r="Y124">
        <f>HYPERLINK("https://klasma.github.io/Logging_0480/tillsynsmail/A 39740-2022 tillsynsbegäran mail.docx", "A 39740-2022")</f>
        <v/>
      </c>
    </row>
    <row r="125" ht="15" customHeight="1">
      <c r="A125" t="inlineStr">
        <is>
          <t>A 41242-2022</t>
        </is>
      </c>
      <c r="B125" s="1" t="n">
        <v>44826</v>
      </c>
      <c r="C125" s="1" t="n">
        <v>45826</v>
      </c>
      <c r="D125" t="inlineStr">
        <is>
          <t>SÖDERMANLANDS LÄN</t>
        </is>
      </c>
      <c r="E125" t="inlineStr">
        <is>
          <t>NYKÖPING</t>
        </is>
      </c>
      <c r="G125" t="n">
        <v>17.2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Gullviva</t>
        </is>
      </c>
      <c r="S125">
        <f>HYPERLINK("https://klasma.github.io/Logging_0480/artfynd/A 41242-2022 artfynd.xlsx", "A 41242-2022")</f>
        <v/>
      </c>
      <c r="T125">
        <f>HYPERLINK("https://klasma.github.io/Logging_0480/kartor/A 41242-2022 karta.png", "A 41242-2022")</f>
        <v/>
      </c>
      <c r="V125">
        <f>HYPERLINK("https://klasma.github.io/Logging_0480/klagomål/A 41242-2022 FSC-klagomål.docx", "A 41242-2022")</f>
        <v/>
      </c>
      <c r="W125">
        <f>HYPERLINK("https://klasma.github.io/Logging_0480/klagomålsmail/A 41242-2022 FSC-klagomål mail.docx", "A 41242-2022")</f>
        <v/>
      </c>
      <c r="X125">
        <f>HYPERLINK("https://klasma.github.io/Logging_0480/tillsyn/A 41242-2022 tillsynsbegäran.docx", "A 41242-2022")</f>
        <v/>
      </c>
      <c r="Y125">
        <f>HYPERLINK("https://klasma.github.io/Logging_0480/tillsynsmail/A 41242-2022 tillsynsbegäran mail.docx", "A 41242-2022")</f>
        <v/>
      </c>
    </row>
    <row r="126" ht="15" customHeight="1">
      <c r="A126" t="inlineStr">
        <is>
          <t>A 52095-2022</t>
        </is>
      </c>
      <c r="B126" s="1" t="n">
        <v>44873</v>
      </c>
      <c r="C126" s="1" t="n">
        <v>45826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Drillsnäppa</t>
        </is>
      </c>
      <c r="S126">
        <f>HYPERLINK("https://klasma.github.io/Logging_0480/artfynd/A 52095-2022 artfynd.xlsx", "A 52095-2022")</f>
        <v/>
      </c>
      <c r="T126">
        <f>HYPERLINK("https://klasma.github.io/Logging_0480/kartor/A 52095-2022 karta.png", "A 52095-2022")</f>
        <v/>
      </c>
      <c r="V126">
        <f>HYPERLINK("https://klasma.github.io/Logging_0480/klagomål/A 52095-2022 FSC-klagomål.docx", "A 52095-2022")</f>
        <v/>
      </c>
      <c r="W126">
        <f>HYPERLINK("https://klasma.github.io/Logging_0480/klagomålsmail/A 52095-2022 FSC-klagomål mail.docx", "A 52095-2022")</f>
        <v/>
      </c>
      <c r="X126">
        <f>HYPERLINK("https://klasma.github.io/Logging_0480/tillsyn/A 52095-2022 tillsynsbegäran.docx", "A 52095-2022")</f>
        <v/>
      </c>
      <c r="Y126">
        <f>HYPERLINK("https://klasma.github.io/Logging_0480/tillsynsmail/A 52095-2022 tillsynsbegäran mail.docx", "A 52095-2022")</f>
        <v/>
      </c>
    </row>
    <row r="127" ht="15" customHeight="1">
      <c r="A127" t="inlineStr">
        <is>
          <t>A 2842-2023</t>
        </is>
      </c>
      <c r="B127" s="1" t="n">
        <v>44945</v>
      </c>
      <c r="C127" s="1" t="n">
        <v>45826</v>
      </c>
      <c r="D127" t="inlineStr">
        <is>
          <t>SÖDERMANLANDS LÄN</t>
        </is>
      </c>
      <c r="E127" t="inlineStr">
        <is>
          <t>NYKÖPING</t>
        </is>
      </c>
      <c r="G127" t="n">
        <v>6.7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Svavelriska</t>
        </is>
      </c>
      <c r="S127">
        <f>HYPERLINK("https://klasma.github.io/Logging_0480/artfynd/A 2842-2023 artfynd.xlsx", "A 2842-2023")</f>
        <v/>
      </c>
      <c r="T127">
        <f>HYPERLINK("https://klasma.github.io/Logging_0480/kartor/A 2842-2023 karta.png", "A 2842-2023")</f>
        <v/>
      </c>
      <c r="V127">
        <f>HYPERLINK("https://klasma.github.io/Logging_0480/klagomål/A 2842-2023 FSC-klagomål.docx", "A 2842-2023")</f>
        <v/>
      </c>
      <c r="W127">
        <f>HYPERLINK("https://klasma.github.io/Logging_0480/klagomålsmail/A 2842-2023 FSC-klagomål mail.docx", "A 2842-2023")</f>
        <v/>
      </c>
      <c r="X127">
        <f>HYPERLINK("https://klasma.github.io/Logging_0480/tillsyn/A 2842-2023 tillsynsbegäran.docx", "A 2842-2023")</f>
        <v/>
      </c>
      <c r="Y127">
        <f>HYPERLINK("https://klasma.github.io/Logging_0480/tillsynsmail/A 2842-2023 tillsynsbegäran mail.docx", "A 2842-2023")</f>
        <v/>
      </c>
    </row>
    <row r="128" ht="15" customHeight="1">
      <c r="A128" t="inlineStr">
        <is>
          <t>A 9221-2023</t>
        </is>
      </c>
      <c r="B128" s="1" t="n">
        <v>44977</v>
      </c>
      <c r="C128" s="1" t="n">
        <v>45826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HYPERLINK("https://klasma.github.io/Logging_0480/artfynd/A 9221-2023 artfynd.xlsx", "A 9221-2023")</f>
        <v/>
      </c>
      <c r="T128">
        <f>HYPERLINK("https://klasma.github.io/Logging_0480/kartor/A 9221-2023 karta.png", "A 9221-2023")</f>
        <v/>
      </c>
      <c r="V128">
        <f>HYPERLINK("https://klasma.github.io/Logging_0480/klagomål/A 9221-2023 FSC-klagomål.docx", "A 9221-2023")</f>
        <v/>
      </c>
      <c r="W128">
        <f>HYPERLINK("https://klasma.github.io/Logging_0480/klagomålsmail/A 9221-2023 FSC-klagomål mail.docx", "A 9221-2023")</f>
        <v/>
      </c>
      <c r="X128">
        <f>HYPERLINK("https://klasma.github.io/Logging_0480/tillsyn/A 9221-2023 tillsynsbegäran.docx", "A 9221-2023")</f>
        <v/>
      </c>
      <c r="Y128">
        <f>HYPERLINK("https://klasma.github.io/Logging_0480/tillsynsmail/A 9221-2023 tillsynsbegäran mail.docx", "A 9221-2023")</f>
        <v/>
      </c>
    </row>
    <row r="129" ht="15" customHeight="1">
      <c r="A129" t="inlineStr">
        <is>
          <t>A 12891-2023</t>
        </is>
      </c>
      <c r="B129" s="1" t="n">
        <v>45001</v>
      </c>
      <c r="C129" s="1" t="n">
        <v>45826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6.9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HYPERLINK("https://klasma.github.io/Logging_0480/artfynd/A 12891-2023 artfynd.xlsx", "A 12891-2023")</f>
        <v/>
      </c>
      <c r="T129">
        <f>HYPERLINK("https://klasma.github.io/Logging_0480/kartor/A 12891-2023 karta.png", "A 12891-2023")</f>
        <v/>
      </c>
      <c r="V129">
        <f>HYPERLINK("https://klasma.github.io/Logging_0480/klagomål/A 12891-2023 FSC-klagomål.docx", "A 12891-2023")</f>
        <v/>
      </c>
      <c r="W129">
        <f>HYPERLINK("https://klasma.github.io/Logging_0480/klagomålsmail/A 12891-2023 FSC-klagomål mail.docx", "A 12891-2023")</f>
        <v/>
      </c>
      <c r="X129">
        <f>HYPERLINK("https://klasma.github.io/Logging_0480/tillsyn/A 12891-2023 tillsynsbegäran.docx", "A 12891-2023")</f>
        <v/>
      </c>
      <c r="Y129">
        <f>HYPERLINK("https://klasma.github.io/Logging_0480/tillsynsmail/A 12891-2023 tillsynsbegäran mail.docx", "A 12891-2023")</f>
        <v/>
      </c>
    </row>
    <row r="130" ht="15" customHeight="1">
      <c r="A130" t="inlineStr">
        <is>
          <t>A 16078-2023</t>
        </is>
      </c>
      <c r="B130" s="1" t="n">
        <v>45027</v>
      </c>
      <c r="C130" s="1" t="n">
        <v>45826</v>
      </c>
      <c r="D130" t="inlineStr">
        <is>
          <t>SÖDERMANLANDS LÄN</t>
        </is>
      </c>
      <c r="E130" t="inlineStr">
        <is>
          <t>NYKÖPING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Rödlånke</t>
        </is>
      </c>
      <c r="S130">
        <f>HYPERLINK("https://klasma.github.io/Logging_0480/artfynd/A 16078-2023 artfynd.xlsx", "A 16078-2023")</f>
        <v/>
      </c>
      <c r="T130">
        <f>HYPERLINK("https://klasma.github.io/Logging_0480/kartor/A 16078-2023 karta.png", "A 16078-2023")</f>
        <v/>
      </c>
      <c r="V130">
        <f>HYPERLINK("https://klasma.github.io/Logging_0480/klagomål/A 16078-2023 FSC-klagomål.docx", "A 16078-2023")</f>
        <v/>
      </c>
      <c r="W130">
        <f>HYPERLINK("https://klasma.github.io/Logging_0480/klagomålsmail/A 16078-2023 FSC-klagomål mail.docx", "A 16078-2023")</f>
        <v/>
      </c>
      <c r="X130">
        <f>HYPERLINK("https://klasma.github.io/Logging_0480/tillsyn/A 16078-2023 tillsynsbegäran.docx", "A 16078-2023")</f>
        <v/>
      </c>
      <c r="Y130">
        <f>HYPERLINK("https://klasma.github.io/Logging_0480/tillsynsmail/A 16078-2023 tillsynsbegäran mail.docx", "A 16078-2023")</f>
        <v/>
      </c>
    </row>
    <row r="131" ht="15" customHeight="1">
      <c r="A131" t="inlineStr">
        <is>
          <t>A 20325-2023</t>
        </is>
      </c>
      <c r="B131" s="1" t="n">
        <v>45056</v>
      </c>
      <c r="C131" s="1" t="n">
        <v>45826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Kamjordstjärna</t>
        </is>
      </c>
      <c r="S131">
        <f>HYPERLINK("https://klasma.github.io/Logging_0480/artfynd/A 20325-2023 artfynd.xlsx", "A 20325-2023")</f>
        <v/>
      </c>
      <c r="T131">
        <f>HYPERLINK("https://klasma.github.io/Logging_0480/kartor/A 20325-2023 karta.png", "A 20325-2023")</f>
        <v/>
      </c>
      <c r="V131">
        <f>HYPERLINK("https://klasma.github.io/Logging_0480/klagomål/A 20325-2023 FSC-klagomål.docx", "A 20325-2023")</f>
        <v/>
      </c>
      <c r="W131">
        <f>HYPERLINK("https://klasma.github.io/Logging_0480/klagomålsmail/A 20325-2023 FSC-klagomål mail.docx", "A 20325-2023")</f>
        <v/>
      </c>
      <c r="X131">
        <f>HYPERLINK("https://klasma.github.io/Logging_0480/tillsyn/A 20325-2023 tillsynsbegäran.docx", "A 20325-2023")</f>
        <v/>
      </c>
      <c r="Y131">
        <f>HYPERLINK("https://klasma.github.io/Logging_0480/tillsynsmail/A 20325-2023 tillsynsbegäran mail.docx", "A 20325-2023")</f>
        <v/>
      </c>
    </row>
    <row r="132" ht="15" customHeight="1">
      <c r="A132" t="inlineStr">
        <is>
          <t>A 28542-2023</t>
        </is>
      </c>
      <c r="B132" s="1" t="n">
        <v>45103</v>
      </c>
      <c r="C132" s="1" t="n">
        <v>45826</v>
      </c>
      <c r="D132" t="inlineStr">
        <is>
          <t>SÖDERMANLANDS LÄN</t>
        </is>
      </c>
      <c r="E132" t="inlineStr">
        <is>
          <t>NYKÖPING</t>
        </is>
      </c>
      <c r="G132" t="n">
        <v>2.8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HYPERLINK("https://klasma.github.io/Logging_0480/artfynd/A 28542-2023 artfynd.xlsx", "A 28542-2023")</f>
        <v/>
      </c>
      <c r="T132">
        <f>HYPERLINK("https://klasma.github.io/Logging_0480/kartor/A 28542-2023 karta.png", "A 28542-2023")</f>
        <v/>
      </c>
      <c r="U132">
        <f>HYPERLINK("https://klasma.github.io/Logging_0480/knärot/A 28542-2023 karta knärot.png", "A 28542-2023")</f>
        <v/>
      </c>
      <c r="V132">
        <f>HYPERLINK("https://klasma.github.io/Logging_0480/klagomål/A 28542-2023 FSC-klagomål.docx", "A 28542-2023")</f>
        <v/>
      </c>
      <c r="W132">
        <f>HYPERLINK("https://klasma.github.io/Logging_0480/klagomålsmail/A 28542-2023 FSC-klagomål mail.docx", "A 28542-2023")</f>
        <v/>
      </c>
      <c r="X132">
        <f>HYPERLINK("https://klasma.github.io/Logging_0480/tillsyn/A 28542-2023 tillsynsbegäran.docx", "A 28542-2023")</f>
        <v/>
      </c>
      <c r="Y132">
        <f>HYPERLINK("https://klasma.github.io/Logging_0480/tillsynsmail/A 28542-2023 tillsynsbegäran mail.docx", "A 28542-2023")</f>
        <v/>
      </c>
    </row>
    <row r="133" ht="15" customHeight="1">
      <c r="A133" t="inlineStr">
        <is>
          <t>A 35122-2023</t>
        </is>
      </c>
      <c r="B133" s="1" t="n">
        <v>45145</v>
      </c>
      <c r="C133" s="1" t="n">
        <v>45826</v>
      </c>
      <c r="D133" t="inlineStr">
        <is>
          <t>SÖDERMANLANDS LÄN</t>
        </is>
      </c>
      <c r="E133" t="inlineStr">
        <is>
          <t>NYKÖPING</t>
        </is>
      </c>
      <c r="G133" t="n">
        <v>3.2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HYPERLINK("https://klasma.github.io/Logging_0480/artfynd/A 35122-2023 artfynd.xlsx", "A 35122-2023")</f>
        <v/>
      </c>
      <c r="T133">
        <f>HYPERLINK("https://klasma.github.io/Logging_0480/kartor/A 35122-2023 karta.png", "A 35122-2023")</f>
        <v/>
      </c>
      <c r="V133">
        <f>HYPERLINK("https://klasma.github.io/Logging_0480/klagomål/A 35122-2023 FSC-klagomål.docx", "A 35122-2023")</f>
        <v/>
      </c>
      <c r="W133">
        <f>HYPERLINK("https://klasma.github.io/Logging_0480/klagomålsmail/A 35122-2023 FSC-klagomål mail.docx", "A 35122-2023")</f>
        <v/>
      </c>
      <c r="X133">
        <f>HYPERLINK("https://klasma.github.io/Logging_0480/tillsyn/A 35122-2023 tillsynsbegäran.docx", "A 35122-2023")</f>
        <v/>
      </c>
      <c r="Y133">
        <f>HYPERLINK("https://klasma.github.io/Logging_0480/tillsynsmail/A 35122-2023 tillsynsbegäran mail.docx", "A 35122-2023")</f>
        <v/>
      </c>
    </row>
    <row r="134" ht="15" customHeight="1">
      <c r="A134" t="inlineStr">
        <is>
          <t>A 39019-2023</t>
        </is>
      </c>
      <c r="B134" s="1" t="n">
        <v>45163</v>
      </c>
      <c r="C134" s="1" t="n">
        <v>45826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Kommuner</t>
        </is>
      </c>
      <c r="G134" t="n">
        <v>12.3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Mindre hackspett</t>
        </is>
      </c>
      <c r="S134">
        <f>HYPERLINK("https://klasma.github.io/Logging_0480/artfynd/A 39019-2023 artfynd.xlsx", "A 39019-2023")</f>
        <v/>
      </c>
      <c r="T134">
        <f>HYPERLINK("https://klasma.github.io/Logging_0480/kartor/A 39019-2023 karta.png", "A 39019-2023")</f>
        <v/>
      </c>
      <c r="V134">
        <f>HYPERLINK("https://klasma.github.io/Logging_0480/klagomål/A 39019-2023 FSC-klagomål.docx", "A 39019-2023")</f>
        <v/>
      </c>
      <c r="W134">
        <f>HYPERLINK("https://klasma.github.io/Logging_0480/klagomålsmail/A 39019-2023 FSC-klagomål mail.docx", "A 39019-2023")</f>
        <v/>
      </c>
      <c r="X134">
        <f>HYPERLINK("https://klasma.github.io/Logging_0480/tillsyn/A 39019-2023 tillsynsbegäran.docx", "A 39019-2023")</f>
        <v/>
      </c>
      <c r="Y134">
        <f>HYPERLINK("https://klasma.github.io/Logging_0480/tillsynsmail/A 39019-2023 tillsynsbegäran mail.docx", "A 39019-2023")</f>
        <v/>
      </c>
      <c r="Z134">
        <f>HYPERLINK("https://klasma.github.io/Logging_0480/fåglar/A 39019-2023 prioriterade fågelarter.docx", "A 39019-2023")</f>
        <v/>
      </c>
    </row>
    <row r="135" ht="15" customHeight="1">
      <c r="A135" t="inlineStr">
        <is>
          <t>A 43756-2023</t>
        </is>
      </c>
      <c r="B135" s="1" t="n">
        <v>45187</v>
      </c>
      <c r="C135" s="1" t="n">
        <v>45826</v>
      </c>
      <c r="D135" t="inlineStr">
        <is>
          <t>SÖDERMANLANDS LÄN</t>
        </is>
      </c>
      <c r="E135" t="inlineStr">
        <is>
          <t>NYKÖPING</t>
        </is>
      </c>
      <c r="G135" t="n">
        <v>5.4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Svedjenäva</t>
        </is>
      </c>
      <c r="S135">
        <f>HYPERLINK("https://klasma.github.io/Logging_0480/artfynd/A 43756-2023 artfynd.xlsx", "A 43756-2023")</f>
        <v/>
      </c>
      <c r="T135">
        <f>HYPERLINK("https://klasma.github.io/Logging_0480/kartor/A 43756-2023 karta.png", "A 43756-2023")</f>
        <v/>
      </c>
      <c r="V135">
        <f>HYPERLINK("https://klasma.github.io/Logging_0480/klagomål/A 43756-2023 FSC-klagomål.docx", "A 43756-2023")</f>
        <v/>
      </c>
      <c r="W135">
        <f>HYPERLINK("https://klasma.github.io/Logging_0480/klagomålsmail/A 43756-2023 FSC-klagomål mail.docx", "A 43756-2023")</f>
        <v/>
      </c>
      <c r="X135">
        <f>HYPERLINK("https://klasma.github.io/Logging_0480/tillsyn/A 43756-2023 tillsynsbegäran.docx", "A 43756-2023")</f>
        <v/>
      </c>
      <c r="Y135">
        <f>HYPERLINK("https://klasma.github.io/Logging_0480/tillsynsmail/A 43756-2023 tillsynsbegäran mail.docx", "A 43756-2023")</f>
        <v/>
      </c>
    </row>
    <row r="136" ht="15" customHeight="1">
      <c r="A136" t="inlineStr">
        <is>
          <t>A 54498-2023</t>
        </is>
      </c>
      <c r="B136" s="1" t="n">
        <v>45226</v>
      </c>
      <c r="C136" s="1" t="n">
        <v>45826</v>
      </c>
      <c r="D136" t="inlineStr">
        <is>
          <t>SÖDERMANLANDS LÄN</t>
        </is>
      </c>
      <c r="E136" t="inlineStr">
        <is>
          <t>NYKÖPING</t>
        </is>
      </c>
      <c r="G136" t="n">
        <v>4.7</v>
      </c>
      <c r="H136" t="n">
        <v>1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Brun glada</t>
        </is>
      </c>
      <c r="S136">
        <f>HYPERLINK("https://klasma.github.io/Logging_0480/artfynd/A 54498-2023 artfynd.xlsx", "A 54498-2023")</f>
        <v/>
      </c>
      <c r="T136">
        <f>HYPERLINK("https://klasma.github.io/Logging_0480/kartor/A 54498-2023 karta.png", "A 54498-2023")</f>
        <v/>
      </c>
      <c r="V136">
        <f>HYPERLINK("https://klasma.github.io/Logging_0480/klagomål/A 54498-2023 FSC-klagomål.docx", "A 54498-2023")</f>
        <v/>
      </c>
      <c r="W136">
        <f>HYPERLINK("https://klasma.github.io/Logging_0480/klagomålsmail/A 54498-2023 FSC-klagomål mail.docx", "A 54498-2023")</f>
        <v/>
      </c>
      <c r="X136">
        <f>HYPERLINK("https://klasma.github.io/Logging_0480/tillsyn/A 54498-2023 tillsynsbegäran.docx", "A 54498-2023")</f>
        <v/>
      </c>
      <c r="Y136">
        <f>HYPERLINK("https://klasma.github.io/Logging_0480/tillsynsmail/A 54498-2023 tillsynsbegäran mail.docx", "A 54498-2023")</f>
        <v/>
      </c>
      <c r="Z136">
        <f>HYPERLINK("https://klasma.github.io/Logging_0480/fåglar/A 54498-2023 prioriterade fågelarter.docx", "A 54498-2023")</f>
        <v/>
      </c>
    </row>
    <row r="137" ht="15" customHeight="1">
      <c r="A137" t="inlineStr">
        <is>
          <t>A 53340-2023</t>
        </is>
      </c>
      <c r="B137" s="1" t="n">
        <v>45229</v>
      </c>
      <c r="C137" s="1" t="n">
        <v>45826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HYPERLINK("https://klasma.github.io/Logging_0480/artfynd/A 53340-2023 artfynd.xlsx", "A 53340-2023")</f>
        <v/>
      </c>
      <c r="T137">
        <f>HYPERLINK("https://klasma.github.io/Logging_0480/kartor/A 53340-2023 karta.png", "A 53340-2023")</f>
        <v/>
      </c>
      <c r="V137">
        <f>HYPERLINK("https://klasma.github.io/Logging_0480/klagomål/A 53340-2023 FSC-klagomål.docx", "A 53340-2023")</f>
        <v/>
      </c>
      <c r="W137">
        <f>HYPERLINK("https://klasma.github.io/Logging_0480/klagomålsmail/A 53340-2023 FSC-klagomål mail.docx", "A 53340-2023")</f>
        <v/>
      </c>
      <c r="X137">
        <f>HYPERLINK("https://klasma.github.io/Logging_0480/tillsyn/A 53340-2023 tillsynsbegäran.docx", "A 53340-2023")</f>
        <v/>
      </c>
      <c r="Y137">
        <f>HYPERLINK("https://klasma.github.io/Logging_0480/tillsynsmail/A 53340-2023 tillsynsbegäran mail.docx", "A 53340-2023")</f>
        <v/>
      </c>
    </row>
    <row r="138" ht="15" customHeight="1">
      <c r="A138" t="inlineStr">
        <is>
          <t>A 59329-2023</t>
        </is>
      </c>
      <c r="B138" s="1" t="n">
        <v>45252</v>
      </c>
      <c r="C138" s="1" t="n">
        <v>45826</v>
      </c>
      <c r="D138" t="inlineStr">
        <is>
          <t>SÖDERMANLANDS LÄN</t>
        </is>
      </c>
      <c r="E138" t="inlineStr">
        <is>
          <t>NYKÖPING</t>
        </is>
      </c>
      <c r="G138" t="n">
        <v>22.1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HYPERLINK("https://klasma.github.io/Logging_0480/artfynd/A 59329-2023 artfynd.xlsx", "A 59329-2023")</f>
        <v/>
      </c>
      <c r="T138">
        <f>HYPERLINK("https://klasma.github.io/Logging_0480/kartor/A 59329-2023 karta.png", "A 59329-2023")</f>
        <v/>
      </c>
      <c r="V138">
        <f>HYPERLINK("https://klasma.github.io/Logging_0480/klagomål/A 59329-2023 FSC-klagomål.docx", "A 59329-2023")</f>
        <v/>
      </c>
      <c r="W138">
        <f>HYPERLINK("https://klasma.github.io/Logging_0480/klagomålsmail/A 59329-2023 FSC-klagomål mail.docx", "A 59329-2023")</f>
        <v/>
      </c>
      <c r="X138">
        <f>HYPERLINK("https://klasma.github.io/Logging_0480/tillsyn/A 59329-2023 tillsynsbegäran.docx", "A 59329-2023")</f>
        <v/>
      </c>
      <c r="Y138">
        <f>HYPERLINK("https://klasma.github.io/Logging_0480/tillsynsmail/A 59329-2023 tillsynsbegäran mail.docx", "A 59329-2023")</f>
        <v/>
      </c>
    </row>
    <row r="139" ht="15" customHeight="1">
      <c r="A139" t="inlineStr">
        <is>
          <t>A 891-2024</t>
        </is>
      </c>
      <c r="B139" s="1" t="n">
        <v>45301</v>
      </c>
      <c r="C139" s="1" t="n">
        <v>45826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HYPERLINK("https://klasma.github.io/Logging_0480/artfynd/A 891-2024 artfynd.xlsx", "A 891-2024")</f>
        <v/>
      </c>
      <c r="T139">
        <f>HYPERLINK("https://klasma.github.io/Logging_0480/kartor/A 891-2024 karta.png", "A 891-2024")</f>
        <v/>
      </c>
      <c r="V139">
        <f>HYPERLINK("https://klasma.github.io/Logging_0480/klagomål/A 891-2024 FSC-klagomål.docx", "A 891-2024")</f>
        <v/>
      </c>
      <c r="W139">
        <f>HYPERLINK("https://klasma.github.io/Logging_0480/klagomålsmail/A 891-2024 FSC-klagomål mail.docx", "A 891-2024")</f>
        <v/>
      </c>
      <c r="X139">
        <f>HYPERLINK("https://klasma.github.io/Logging_0480/tillsyn/A 891-2024 tillsynsbegäran.docx", "A 891-2024")</f>
        <v/>
      </c>
      <c r="Y139">
        <f>HYPERLINK("https://klasma.github.io/Logging_0480/tillsynsmail/A 891-2024 tillsynsbegäran mail.docx", "A 891-2024")</f>
        <v/>
      </c>
    </row>
    <row r="140" ht="15" customHeight="1">
      <c r="A140" t="inlineStr">
        <is>
          <t>A 2902-2024</t>
        </is>
      </c>
      <c r="B140" s="1" t="n">
        <v>45315</v>
      </c>
      <c r="C140" s="1" t="n">
        <v>45826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Kyrkan</t>
        </is>
      </c>
      <c r="G140" t="n">
        <v>3.7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Stubbspretmossa</t>
        </is>
      </c>
      <c r="S140">
        <f>HYPERLINK("https://klasma.github.io/Logging_0480/artfynd/A 2902-2024 artfynd.xlsx", "A 2902-2024")</f>
        <v/>
      </c>
      <c r="T140">
        <f>HYPERLINK("https://klasma.github.io/Logging_0480/kartor/A 2902-2024 karta.png", "A 2902-2024")</f>
        <v/>
      </c>
      <c r="V140">
        <f>HYPERLINK("https://klasma.github.io/Logging_0480/klagomål/A 2902-2024 FSC-klagomål.docx", "A 2902-2024")</f>
        <v/>
      </c>
      <c r="W140">
        <f>HYPERLINK("https://klasma.github.io/Logging_0480/klagomålsmail/A 2902-2024 FSC-klagomål mail.docx", "A 2902-2024")</f>
        <v/>
      </c>
      <c r="X140">
        <f>HYPERLINK("https://klasma.github.io/Logging_0480/tillsyn/A 2902-2024 tillsynsbegäran.docx", "A 2902-2024")</f>
        <v/>
      </c>
      <c r="Y140">
        <f>HYPERLINK("https://klasma.github.io/Logging_0480/tillsynsmail/A 2902-2024 tillsynsbegäran mail.docx", "A 2902-2024")</f>
        <v/>
      </c>
    </row>
    <row r="141" ht="15" customHeight="1">
      <c r="A141" t="inlineStr">
        <is>
          <t>A 4725-2024</t>
        </is>
      </c>
      <c r="B141" s="1" t="n">
        <v>45328</v>
      </c>
      <c r="C141" s="1" t="n">
        <v>45826</v>
      </c>
      <c r="D141" t="inlineStr">
        <is>
          <t>SÖDERMANLANDS LÄN</t>
        </is>
      </c>
      <c r="E141" t="inlineStr">
        <is>
          <t>NYKÖPING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Plattsäv</t>
        </is>
      </c>
      <c r="S141">
        <f>HYPERLINK("https://klasma.github.io/Logging_0480/artfynd/A 4725-2024 artfynd.xlsx", "A 4725-2024")</f>
        <v/>
      </c>
      <c r="T141">
        <f>HYPERLINK("https://klasma.github.io/Logging_0480/kartor/A 4725-2024 karta.png", "A 4725-2024")</f>
        <v/>
      </c>
      <c r="V141">
        <f>HYPERLINK("https://klasma.github.io/Logging_0480/klagomål/A 4725-2024 FSC-klagomål.docx", "A 4725-2024")</f>
        <v/>
      </c>
      <c r="W141">
        <f>HYPERLINK("https://klasma.github.io/Logging_0480/klagomålsmail/A 4725-2024 FSC-klagomål mail.docx", "A 4725-2024")</f>
        <v/>
      </c>
      <c r="X141">
        <f>HYPERLINK("https://klasma.github.io/Logging_0480/tillsyn/A 4725-2024 tillsynsbegäran.docx", "A 4725-2024")</f>
        <v/>
      </c>
      <c r="Y141">
        <f>HYPERLINK("https://klasma.github.io/Logging_0480/tillsynsmail/A 4725-2024 tillsynsbegäran mail.docx", "A 4725-2024")</f>
        <v/>
      </c>
    </row>
    <row r="142" ht="15" customHeight="1">
      <c r="A142" t="inlineStr">
        <is>
          <t>A 9184-2024</t>
        </is>
      </c>
      <c r="B142" s="1" t="n">
        <v>45357</v>
      </c>
      <c r="C142" s="1" t="n">
        <v>45826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Raggtaggsvamp</t>
        </is>
      </c>
      <c r="S142">
        <f>HYPERLINK("https://klasma.github.io/Logging_0480/artfynd/A 9184-2024 artfynd.xlsx", "A 9184-2024")</f>
        <v/>
      </c>
      <c r="T142">
        <f>HYPERLINK("https://klasma.github.io/Logging_0480/kartor/A 9184-2024 karta.png", "A 9184-2024")</f>
        <v/>
      </c>
      <c r="V142">
        <f>HYPERLINK("https://klasma.github.io/Logging_0480/klagomål/A 9184-2024 FSC-klagomål.docx", "A 9184-2024")</f>
        <v/>
      </c>
      <c r="W142">
        <f>HYPERLINK("https://klasma.github.io/Logging_0480/klagomålsmail/A 9184-2024 FSC-klagomål mail.docx", "A 9184-2024")</f>
        <v/>
      </c>
      <c r="X142">
        <f>HYPERLINK("https://klasma.github.io/Logging_0480/tillsyn/A 9184-2024 tillsynsbegäran.docx", "A 9184-2024")</f>
        <v/>
      </c>
      <c r="Y142">
        <f>HYPERLINK("https://klasma.github.io/Logging_0480/tillsynsmail/A 9184-2024 tillsynsbegäran mail.docx", "A 9184-2024")</f>
        <v/>
      </c>
    </row>
    <row r="143" ht="15" customHeight="1">
      <c r="A143" t="inlineStr">
        <is>
          <t>A 13038-2024</t>
        </is>
      </c>
      <c r="B143" s="1" t="n">
        <v>45385</v>
      </c>
      <c r="C143" s="1" t="n">
        <v>45826</v>
      </c>
      <c r="D143" t="inlineStr">
        <is>
          <t>SÖDERMANLANDS LÄN</t>
        </is>
      </c>
      <c r="E143" t="inlineStr">
        <is>
          <t>NYKÖPING</t>
        </is>
      </c>
      <c r="G143" t="n">
        <v>3.8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HYPERLINK("https://klasma.github.io/Logging_0480/artfynd/A 13038-2024 artfynd.xlsx", "A 13038-2024")</f>
        <v/>
      </c>
      <c r="T143">
        <f>HYPERLINK("https://klasma.github.io/Logging_0480/kartor/A 13038-2024 karta.png", "A 13038-2024")</f>
        <v/>
      </c>
      <c r="U143">
        <f>HYPERLINK("https://klasma.github.io/Logging_0480/knärot/A 13038-2024 karta knärot.png", "A 13038-2024")</f>
        <v/>
      </c>
      <c r="V143">
        <f>HYPERLINK("https://klasma.github.io/Logging_0480/klagomål/A 13038-2024 FSC-klagomål.docx", "A 13038-2024")</f>
        <v/>
      </c>
      <c r="W143">
        <f>HYPERLINK("https://klasma.github.io/Logging_0480/klagomålsmail/A 13038-2024 FSC-klagomål mail.docx", "A 13038-2024")</f>
        <v/>
      </c>
      <c r="X143">
        <f>HYPERLINK("https://klasma.github.io/Logging_0480/tillsyn/A 13038-2024 tillsynsbegäran.docx", "A 13038-2024")</f>
        <v/>
      </c>
      <c r="Y143">
        <f>HYPERLINK("https://klasma.github.io/Logging_0480/tillsynsmail/A 13038-2024 tillsynsbegäran mail.docx", "A 13038-2024")</f>
        <v/>
      </c>
    </row>
    <row r="144" ht="15" customHeight="1">
      <c r="A144" t="inlineStr">
        <is>
          <t>A 13724-2024</t>
        </is>
      </c>
      <c r="B144" s="1" t="n">
        <v>45390</v>
      </c>
      <c r="C144" s="1" t="n">
        <v>45826</v>
      </c>
      <c r="D144" t="inlineStr">
        <is>
          <t>SÖDERMANLANDS LÄN</t>
        </is>
      </c>
      <c r="E144" t="inlineStr">
        <is>
          <t>NYKÖPING</t>
        </is>
      </c>
      <c r="G144" t="n">
        <v>0.9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HYPERLINK("https://klasma.github.io/Logging_0480/artfynd/A 13724-2024 artfynd.xlsx", "A 13724-2024")</f>
        <v/>
      </c>
      <c r="T144">
        <f>HYPERLINK("https://klasma.github.io/Logging_0480/kartor/A 13724-2024 karta.png", "A 13724-2024")</f>
        <v/>
      </c>
      <c r="V144">
        <f>HYPERLINK("https://klasma.github.io/Logging_0480/klagomål/A 13724-2024 FSC-klagomål.docx", "A 13724-2024")</f>
        <v/>
      </c>
      <c r="W144">
        <f>HYPERLINK("https://klasma.github.io/Logging_0480/klagomålsmail/A 13724-2024 FSC-klagomål mail.docx", "A 13724-2024")</f>
        <v/>
      </c>
      <c r="X144">
        <f>HYPERLINK("https://klasma.github.io/Logging_0480/tillsyn/A 13724-2024 tillsynsbegäran.docx", "A 13724-2024")</f>
        <v/>
      </c>
      <c r="Y144">
        <f>HYPERLINK("https://klasma.github.io/Logging_0480/tillsynsmail/A 13724-2024 tillsynsbegäran mail.docx", "A 13724-2024")</f>
        <v/>
      </c>
    </row>
    <row r="145" ht="15" customHeight="1">
      <c r="A145" t="inlineStr">
        <is>
          <t>A 13851-2024</t>
        </is>
      </c>
      <c r="B145" s="1" t="n">
        <v>45391</v>
      </c>
      <c r="C145" s="1" t="n">
        <v>45826</v>
      </c>
      <c r="D145" t="inlineStr">
        <is>
          <t>SÖDERMANLANDS LÄN</t>
        </is>
      </c>
      <c r="E145" t="inlineStr">
        <is>
          <t>NYKÖPING</t>
        </is>
      </c>
      <c r="G145" t="n">
        <v>15.8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HYPERLINK("https://klasma.github.io/Logging_0480/artfynd/A 13851-2024 artfynd.xlsx", "A 13851-2024")</f>
        <v/>
      </c>
      <c r="T145">
        <f>HYPERLINK("https://klasma.github.io/Logging_0480/kartor/A 13851-2024 karta.png", "A 13851-2024")</f>
        <v/>
      </c>
      <c r="V145">
        <f>HYPERLINK("https://klasma.github.io/Logging_0480/klagomål/A 13851-2024 FSC-klagomål.docx", "A 13851-2024")</f>
        <v/>
      </c>
      <c r="W145">
        <f>HYPERLINK("https://klasma.github.io/Logging_0480/klagomålsmail/A 13851-2024 FSC-klagomål mail.docx", "A 13851-2024")</f>
        <v/>
      </c>
      <c r="X145">
        <f>HYPERLINK("https://klasma.github.io/Logging_0480/tillsyn/A 13851-2024 tillsynsbegäran.docx", "A 13851-2024")</f>
        <v/>
      </c>
      <c r="Y145">
        <f>HYPERLINK("https://klasma.github.io/Logging_0480/tillsynsmail/A 13851-2024 tillsynsbegäran mail.docx", "A 13851-2024")</f>
        <v/>
      </c>
    </row>
    <row r="146" ht="15" customHeight="1">
      <c r="A146" t="inlineStr">
        <is>
          <t>A 21173-2024</t>
        </is>
      </c>
      <c r="B146" s="1" t="n">
        <v>45440</v>
      </c>
      <c r="C146" s="1" t="n">
        <v>45826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Kommuner</t>
        </is>
      </c>
      <c r="G146" t="n">
        <v>2.3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HYPERLINK("https://klasma.github.io/Logging_0480/artfynd/A 21173-2024 artfynd.xlsx", "A 21173-2024")</f>
        <v/>
      </c>
      <c r="T146">
        <f>HYPERLINK("https://klasma.github.io/Logging_0480/kartor/A 21173-2024 karta.png", "A 21173-2024")</f>
        <v/>
      </c>
      <c r="V146">
        <f>HYPERLINK("https://klasma.github.io/Logging_0480/klagomål/A 21173-2024 FSC-klagomål.docx", "A 21173-2024")</f>
        <v/>
      </c>
      <c r="W146">
        <f>HYPERLINK("https://klasma.github.io/Logging_0480/klagomålsmail/A 21173-2024 FSC-klagomål mail.docx", "A 21173-2024")</f>
        <v/>
      </c>
      <c r="X146">
        <f>HYPERLINK("https://klasma.github.io/Logging_0480/tillsyn/A 21173-2024 tillsynsbegäran.docx", "A 21173-2024")</f>
        <v/>
      </c>
      <c r="Y146">
        <f>HYPERLINK("https://klasma.github.io/Logging_0480/tillsynsmail/A 21173-2024 tillsynsbegäran mail.docx", "A 21173-2024")</f>
        <v/>
      </c>
    </row>
    <row r="147" ht="15" customHeight="1">
      <c r="A147" t="inlineStr">
        <is>
          <t>A 23913-2024</t>
        </is>
      </c>
      <c r="B147" s="1" t="n">
        <v>45455</v>
      </c>
      <c r="C147" s="1" t="n">
        <v>45826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Allmännings- och besparingsskogar</t>
        </is>
      </c>
      <c r="G147" t="n">
        <v>6.6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HYPERLINK("https://klasma.github.io/Logging_0480/artfynd/A 23913-2024 artfynd.xlsx", "A 23913-2024")</f>
        <v/>
      </c>
      <c r="T147">
        <f>HYPERLINK("https://klasma.github.io/Logging_0480/kartor/A 23913-2024 karta.png", "A 23913-2024")</f>
        <v/>
      </c>
      <c r="V147">
        <f>HYPERLINK("https://klasma.github.io/Logging_0480/klagomål/A 23913-2024 FSC-klagomål.docx", "A 23913-2024")</f>
        <v/>
      </c>
      <c r="W147">
        <f>HYPERLINK("https://klasma.github.io/Logging_0480/klagomålsmail/A 23913-2024 FSC-klagomål mail.docx", "A 23913-2024")</f>
        <v/>
      </c>
      <c r="X147">
        <f>HYPERLINK("https://klasma.github.io/Logging_0480/tillsyn/A 23913-2024 tillsynsbegäran.docx", "A 23913-2024")</f>
        <v/>
      </c>
      <c r="Y147">
        <f>HYPERLINK("https://klasma.github.io/Logging_0480/tillsynsmail/A 23913-2024 tillsynsbegäran mail.docx", "A 23913-2024")</f>
        <v/>
      </c>
    </row>
    <row r="148" ht="15" customHeight="1">
      <c r="A148" t="inlineStr">
        <is>
          <t>A 29797-2024</t>
        </is>
      </c>
      <c r="B148" s="1" t="n">
        <v>45485</v>
      </c>
      <c r="C148" s="1" t="n">
        <v>45826</v>
      </c>
      <c r="D148" t="inlineStr">
        <is>
          <t>SÖDERMANLANDS LÄN</t>
        </is>
      </c>
      <c r="E148" t="inlineStr">
        <is>
          <t>NYKÖPING</t>
        </is>
      </c>
      <c r="G148" t="n">
        <v>22.2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Större vattensalamander</t>
        </is>
      </c>
      <c r="S148">
        <f>HYPERLINK("https://klasma.github.io/Logging_0480/artfynd/A 29797-2024 artfynd.xlsx", "A 29797-2024")</f>
        <v/>
      </c>
      <c r="T148">
        <f>HYPERLINK("https://klasma.github.io/Logging_0480/kartor/A 29797-2024 karta.png", "A 29797-2024")</f>
        <v/>
      </c>
      <c r="V148">
        <f>HYPERLINK("https://klasma.github.io/Logging_0480/klagomål/A 29797-2024 FSC-klagomål.docx", "A 29797-2024")</f>
        <v/>
      </c>
      <c r="W148">
        <f>HYPERLINK("https://klasma.github.io/Logging_0480/klagomålsmail/A 29797-2024 FSC-klagomål mail.docx", "A 29797-2024")</f>
        <v/>
      </c>
      <c r="X148">
        <f>HYPERLINK("https://klasma.github.io/Logging_0480/tillsyn/A 29797-2024 tillsynsbegäran.docx", "A 29797-2024")</f>
        <v/>
      </c>
      <c r="Y148">
        <f>HYPERLINK("https://klasma.github.io/Logging_0480/tillsynsmail/A 29797-2024 tillsynsbegäran mail.docx", "A 29797-2024")</f>
        <v/>
      </c>
    </row>
    <row r="149" ht="15" customHeight="1">
      <c r="A149" t="inlineStr">
        <is>
          <t>A 45459-2024</t>
        </is>
      </c>
      <c r="B149" s="1" t="n">
        <v>45576</v>
      </c>
      <c r="C149" s="1" t="n">
        <v>45826</v>
      </c>
      <c r="D149" t="inlineStr">
        <is>
          <t>SÖDERMANLANDS LÄN</t>
        </is>
      </c>
      <c r="E149" t="inlineStr">
        <is>
          <t>NYKÖPING</t>
        </is>
      </c>
      <c r="G149" t="n">
        <v>11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HYPERLINK("https://klasma.github.io/Logging_0480/artfynd/A 45459-2024 artfynd.xlsx", "A 45459-2024")</f>
        <v/>
      </c>
      <c r="T149">
        <f>HYPERLINK("https://klasma.github.io/Logging_0480/kartor/A 45459-2024 karta.png", "A 45459-2024")</f>
        <v/>
      </c>
      <c r="V149">
        <f>HYPERLINK("https://klasma.github.io/Logging_0480/klagomål/A 45459-2024 FSC-klagomål.docx", "A 45459-2024")</f>
        <v/>
      </c>
      <c r="W149">
        <f>HYPERLINK("https://klasma.github.io/Logging_0480/klagomålsmail/A 45459-2024 FSC-klagomål mail.docx", "A 45459-2024")</f>
        <v/>
      </c>
      <c r="X149">
        <f>HYPERLINK("https://klasma.github.io/Logging_0480/tillsyn/A 45459-2024 tillsynsbegäran.docx", "A 45459-2024")</f>
        <v/>
      </c>
      <c r="Y149">
        <f>HYPERLINK("https://klasma.github.io/Logging_0480/tillsynsmail/A 45459-2024 tillsynsbegäran mail.docx", "A 45459-2024")</f>
        <v/>
      </c>
    </row>
    <row r="150" ht="15" customHeight="1">
      <c r="A150" t="inlineStr">
        <is>
          <t>A 51258-2024</t>
        </is>
      </c>
      <c r="B150" s="1" t="n">
        <v>45603</v>
      </c>
      <c r="C150" s="1" t="n">
        <v>45826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HYPERLINK("https://klasma.github.io/Logging_0480/artfynd/A 51258-2024 artfynd.xlsx", "A 51258-2024")</f>
        <v/>
      </c>
      <c r="T150">
        <f>HYPERLINK("https://klasma.github.io/Logging_0480/kartor/A 51258-2024 karta.png", "A 51258-2024")</f>
        <v/>
      </c>
      <c r="V150">
        <f>HYPERLINK("https://klasma.github.io/Logging_0480/klagomål/A 51258-2024 FSC-klagomål.docx", "A 51258-2024")</f>
        <v/>
      </c>
      <c r="W150">
        <f>HYPERLINK("https://klasma.github.io/Logging_0480/klagomålsmail/A 51258-2024 FSC-klagomål mail.docx", "A 51258-2024")</f>
        <v/>
      </c>
      <c r="X150">
        <f>HYPERLINK("https://klasma.github.io/Logging_0480/tillsyn/A 51258-2024 tillsynsbegäran.docx", "A 51258-2024")</f>
        <v/>
      </c>
      <c r="Y150">
        <f>HYPERLINK("https://klasma.github.io/Logging_0480/tillsynsmail/A 51258-2024 tillsynsbegäran mail.docx", "A 51258-2024")</f>
        <v/>
      </c>
    </row>
    <row r="151" ht="15" customHeight="1">
      <c r="A151" t="inlineStr">
        <is>
          <t>A 51249-2024</t>
        </is>
      </c>
      <c r="B151" s="1" t="n">
        <v>45603</v>
      </c>
      <c r="C151" s="1" t="n">
        <v>45826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HYPERLINK("https://klasma.github.io/Logging_0480/artfynd/A 51249-2024 artfynd.xlsx", "A 51249-2024")</f>
        <v/>
      </c>
      <c r="T151">
        <f>HYPERLINK("https://klasma.github.io/Logging_0480/kartor/A 51249-2024 karta.png", "A 51249-2024")</f>
        <v/>
      </c>
      <c r="V151">
        <f>HYPERLINK("https://klasma.github.io/Logging_0480/klagomål/A 51249-2024 FSC-klagomål.docx", "A 51249-2024")</f>
        <v/>
      </c>
      <c r="W151">
        <f>HYPERLINK("https://klasma.github.io/Logging_0480/klagomålsmail/A 51249-2024 FSC-klagomål mail.docx", "A 51249-2024")</f>
        <v/>
      </c>
      <c r="X151">
        <f>HYPERLINK("https://klasma.github.io/Logging_0480/tillsyn/A 51249-2024 tillsynsbegäran.docx", "A 51249-2024")</f>
        <v/>
      </c>
      <c r="Y151">
        <f>HYPERLINK("https://klasma.github.io/Logging_0480/tillsynsmail/A 51249-2024 tillsynsbegäran mail.docx", "A 51249-2024")</f>
        <v/>
      </c>
      <c r="Z151">
        <f>HYPERLINK("https://klasma.github.io/Logging_0480/fåglar/A 51249-2024 prioriterade fågelarter.docx", "A 51249-2024")</f>
        <v/>
      </c>
    </row>
    <row r="152" ht="15" customHeight="1">
      <c r="A152" t="inlineStr">
        <is>
          <t>A 52594-2024</t>
        </is>
      </c>
      <c r="B152" s="1" t="n">
        <v>45609</v>
      </c>
      <c r="C152" s="1" t="n">
        <v>45826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HYPERLINK("https://klasma.github.io/Logging_0480/artfynd/A 52594-2024 artfynd.xlsx", "A 52594-2024")</f>
        <v/>
      </c>
      <c r="T152">
        <f>HYPERLINK("https://klasma.github.io/Logging_0480/kartor/A 52594-2024 karta.png", "A 52594-2024")</f>
        <v/>
      </c>
      <c r="V152">
        <f>HYPERLINK("https://klasma.github.io/Logging_0480/klagomål/A 52594-2024 FSC-klagomål.docx", "A 52594-2024")</f>
        <v/>
      </c>
      <c r="W152">
        <f>HYPERLINK("https://klasma.github.io/Logging_0480/klagomålsmail/A 52594-2024 FSC-klagomål mail.docx", "A 52594-2024")</f>
        <v/>
      </c>
      <c r="X152">
        <f>HYPERLINK("https://klasma.github.io/Logging_0480/tillsyn/A 52594-2024 tillsynsbegäran.docx", "A 52594-2024")</f>
        <v/>
      </c>
      <c r="Y152">
        <f>HYPERLINK("https://klasma.github.io/Logging_0480/tillsynsmail/A 52594-2024 tillsynsbegäran mail.docx", "A 52594-2024")</f>
        <v/>
      </c>
    </row>
    <row r="153" ht="15" customHeight="1">
      <c r="A153" t="inlineStr">
        <is>
          <t>A 59214-2024</t>
        </is>
      </c>
      <c r="B153" s="1" t="n">
        <v>45636</v>
      </c>
      <c r="C153" s="1" t="n">
        <v>45826</v>
      </c>
      <c r="D153" t="inlineStr">
        <is>
          <t>SÖDERMANLANDS LÄN</t>
        </is>
      </c>
      <c r="E153" t="inlineStr">
        <is>
          <t>NYKÖPING</t>
        </is>
      </c>
      <c r="G153" t="n">
        <v>5.1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HYPERLINK("https://klasma.github.io/Logging_0480/artfynd/A 59214-2024 artfynd.xlsx", "A 59214-2024")</f>
        <v/>
      </c>
      <c r="T153">
        <f>HYPERLINK("https://klasma.github.io/Logging_0480/kartor/A 59214-2024 karta.png", "A 59214-2024")</f>
        <v/>
      </c>
      <c r="V153">
        <f>HYPERLINK("https://klasma.github.io/Logging_0480/klagomål/A 59214-2024 FSC-klagomål.docx", "A 59214-2024")</f>
        <v/>
      </c>
      <c r="W153">
        <f>HYPERLINK("https://klasma.github.io/Logging_0480/klagomålsmail/A 59214-2024 FSC-klagomål mail.docx", "A 59214-2024")</f>
        <v/>
      </c>
      <c r="X153">
        <f>HYPERLINK("https://klasma.github.io/Logging_0480/tillsyn/A 59214-2024 tillsynsbegäran.docx", "A 59214-2024")</f>
        <v/>
      </c>
      <c r="Y153">
        <f>HYPERLINK("https://klasma.github.io/Logging_0480/tillsynsmail/A 59214-2024 tillsynsbegäran mail.docx", "A 59214-2024")</f>
        <v/>
      </c>
    </row>
    <row r="154" ht="15" customHeight="1">
      <c r="A154" t="inlineStr">
        <is>
          <t>A 2837-2025</t>
        </is>
      </c>
      <c r="B154" s="1" t="n">
        <v>45677</v>
      </c>
      <c r="C154" s="1" t="n">
        <v>45826</v>
      </c>
      <c r="D154" t="inlineStr">
        <is>
          <t>SÖDERMANLANDS LÄN</t>
        </is>
      </c>
      <c r="E154" t="inlineStr">
        <is>
          <t>NYKÖPING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HYPERLINK("https://klasma.github.io/Logging_0480/artfynd/A 2837-2025 artfynd.xlsx", "A 2837-2025")</f>
        <v/>
      </c>
      <c r="T154">
        <f>HYPERLINK("https://klasma.github.io/Logging_0480/kartor/A 2837-2025 karta.png", "A 2837-2025")</f>
        <v/>
      </c>
      <c r="V154">
        <f>HYPERLINK("https://klasma.github.io/Logging_0480/klagomål/A 2837-2025 FSC-klagomål.docx", "A 2837-2025")</f>
        <v/>
      </c>
      <c r="W154">
        <f>HYPERLINK("https://klasma.github.io/Logging_0480/klagomålsmail/A 2837-2025 FSC-klagomål mail.docx", "A 2837-2025")</f>
        <v/>
      </c>
      <c r="X154">
        <f>HYPERLINK("https://klasma.github.io/Logging_0480/tillsyn/A 2837-2025 tillsynsbegäran.docx", "A 2837-2025")</f>
        <v/>
      </c>
      <c r="Y154">
        <f>HYPERLINK("https://klasma.github.io/Logging_0480/tillsynsmail/A 2837-2025 tillsynsbegäran mail.docx", "A 2837-2025")</f>
        <v/>
      </c>
    </row>
    <row r="155" ht="15" customHeight="1">
      <c r="A155" t="inlineStr">
        <is>
          <t>A 3700-2025</t>
        </is>
      </c>
      <c r="B155" s="1" t="n">
        <v>45681</v>
      </c>
      <c r="C155" s="1" t="n">
        <v>45826</v>
      </c>
      <c r="D155" t="inlineStr">
        <is>
          <t>SÖDERMANLANDS LÄN</t>
        </is>
      </c>
      <c r="E155" t="inlineStr">
        <is>
          <t>NYKÖPING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HYPERLINK("https://klasma.github.io/Logging_0480/artfynd/A 3700-2025 artfynd.xlsx", "A 3700-2025")</f>
        <v/>
      </c>
      <c r="T155">
        <f>HYPERLINK("https://klasma.github.io/Logging_0480/kartor/A 3700-2025 karta.png", "A 3700-2025")</f>
        <v/>
      </c>
      <c r="V155">
        <f>HYPERLINK("https://klasma.github.io/Logging_0480/klagomål/A 3700-2025 FSC-klagomål.docx", "A 3700-2025")</f>
        <v/>
      </c>
      <c r="W155">
        <f>HYPERLINK("https://klasma.github.io/Logging_0480/klagomålsmail/A 3700-2025 FSC-klagomål mail.docx", "A 3700-2025")</f>
        <v/>
      </c>
      <c r="X155">
        <f>HYPERLINK("https://klasma.github.io/Logging_0480/tillsyn/A 3700-2025 tillsynsbegäran.docx", "A 3700-2025")</f>
        <v/>
      </c>
      <c r="Y155">
        <f>HYPERLINK("https://klasma.github.io/Logging_0480/tillsynsmail/A 3700-2025 tillsynsbegäran mail.docx", "A 3700-2025")</f>
        <v/>
      </c>
      <c r="Z155">
        <f>HYPERLINK("https://klasma.github.io/Logging_0480/fåglar/A 3700-2025 prioriterade fågelarter.docx", "A 3700-2025")</f>
        <v/>
      </c>
    </row>
    <row r="156" ht="15" customHeight="1">
      <c r="A156" t="inlineStr">
        <is>
          <t>A 7274-2025</t>
        </is>
      </c>
      <c r="B156" s="1" t="n">
        <v>45702</v>
      </c>
      <c r="C156" s="1" t="n">
        <v>45826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HYPERLINK("https://klasma.github.io/Logging_0480/artfynd/A 7274-2025 artfynd.xlsx", "A 7274-2025")</f>
        <v/>
      </c>
      <c r="T156">
        <f>HYPERLINK("https://klasma.github.io/Logging_0480/kartor/A 7274-2025 karta.png", "A 7274-2025")</f>
        <v/>
      </c>
      <c r="V156">
        <f>HYPERLINK("https://klasma.github.io/Logging_0480/klagomål/A 7274-2025 FSC-klagomål.docx", "A 7274-2025")</f>
        <v/>
      </c>
      <c r="W156">
        <f>HYPERLINK("https://klasma.github.io/Logging_0480/klagomålsmail/A 7274-2025 FSC-klagomål mail.docx", "A 7274-2025")</f>
        <v/>
      </c>
      <c r="X156">
        <f>HYPERLINK("https://klasma.github.io/Logging_0480/tillsyn/A 7274-2025 tillsynsbegäran.docx", "A 7274-2025")</f>
        <v/>
      </c>
      <c r="Y156">
        <f>HYPERLINK("https://klasma.github.io/Logging_0480/tillsynsmail/A 7274-2025 tillsynsbegäran mail.docx", "A 7274-2025")</f>
        <v/>
      </c>
      <c r="Z156">
        <f>HYPERLINK("https://klasma.github.io/Logging_0480/fåglar/A 7274-2025 prioriterade fågelarter.docx", "A 7274-2025")</f>
        <v/>
      </c>
    </row>
    <row r="157" ht="15" customHeight="1">
      <c r="A157" t="inlineStr">
        <is>
          <t>A 27488-2025</t>
        </is>
      </c>
      <c r="B157" s="1" t="n">
        <v>45813</v>
      </c>
      <c r="C157" s="1" t="n">
        <v>45826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HYPERLINK("https://klasma.github.io/Logging_040480/artfynd/A 27488-2025 artfynd.xlsx", "A 27488-2025")</f>
        <v/>
      </c>
      <c r="T157">
        <f>HYPERLINK("https://klasma.github.io/Logging_040480/kartor/A 27488-2025 karta.png", "A 27488-2025")</f>
        <v/>
      </c>
      <c r="V157">
        <f>HYPERLINK("https://klasma.github.io/Logging_040480/klagomål/A 27488-2025 FSC-klagomål.docx", "A 27488-2025")</f>
        <v/>
      </c>
      <c r="W157">
        <f>HYPERLINK("https://klasma.github.io/Logging_040480/klagomålsmail/A 27488-2025 FSC-klagomål mail.docx", "A 27488-2025")</f>
        <v/>
      </c>
      <c r="X157">
        <f>HYPERLINK("https://klasma.github.io/Logging_040480/tillsyn/A 27488-2025 tillsynsbegäran.docx", "A 27488-2025")</f>
        <v/>
      </c>
      <c r="Y157">
        <f>HYPERLINK("https://klasma.github.io/Logging_040480/tillsynsmail/A 27488-2025 tillsynsbegäran mail.docx", "A 27488-2025")</f>
        <v/>
      </c>
    </row>
    <row r="158" ht="15" customHeight="1">
      <c r="A158" t="inlineStr">
        <is>
          <t>A 17818-2019</t>
        </is>
      </c>
      <c r="B158" s="1" t="n">
        <v>43556</v>
      </c>
      <c r="C158" s="1" t="n">
        <v>45826</v>
      </c>
      <c r="D158" t="inlineStr">
        <is>
          <t>SÖDERMANLANDS LÄN</t>
        </is>
      </c>
      <c r="E158" t="inlineStr">
        <is>
          <t>NYKÖPING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17815-2019</t>
        </is>
      </c>
      <c r="B159" s="1" t="n">
        <v>43556</v>
      </c>
      <c r="C159" s="1" t="n">
        <v>45826</v>
      </c>
      <c r="D159" t="inlineStr">
        <is>
          <t>SÖDERMANLANDS LÄN</t>
        </is>
      </c>
      <c r="E159" t="inlineStr">
        <is>
          <t>NYKÖPING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17823-2019</t>
        </is>
      </c>
      <c r="B160" s="1" t="n">
        <v>43556</v>
      </c>
      <c r="C160" s="1" t="n">
        <v>45826</v>
      </c>
      <c r="D160" t="inlineStr">
        <is>
          <t>SÖDERMANLANDS LÄN</t>
        </is>
      </c>
      <c r="E160" t="inlineStr">
        <is>
          <t>NYKÖPING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18334-2019</t>
        </is>
      </c>
      <c r="B161" s="1" t="n">
        <v>43558</v>
      </c>
      <c r="C161" s="1" t="n">
        <v>45826</v>
      </c>
      <c r="D161" t="inlineStr">
        <is>
          <t>SÖDERMANLANDS LÄN</t>
        </is>
      </c>
      <c r="E161" t="inlineStr">
        <is>
          <t>NYKÖPING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18740-2019</t>
        </is>
      </c>
      <c r="B162" s="1" t="n">
        <v>43560</v>
      </c>
      <c r="C162" s="1" t="n">
        <v>45826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18786-2019</t>
        </is>
      </c>
      <c r="B163" s="1" t="n">
        <v>43562</v>
      </c>
      <c r="C163" s="1" t="n">
        <v>45826</v>
      </c>
      <c r="D163" t="inlineStr">
        <is>
          <t>SÖDERMANLANDS LÄN</t>
        </is>
      </c>
      <c r="E163" t="inlineStr">
        <is>
          <t>NYKÖPING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18793-2019</t>
        </is>
      </c>
      <c r="B164" s="1" t="n">
        <v>43562</v>
      </c>
      <c r="C164" s="1" t="n">
        <v>45826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19476-2019</t>
        </is>
      </c>
      <c r="B165" s="1" t="n">
        <v>43565</v>
      </c>
      <c r="C165" s="1" t="n">
        <v>45826</v>
      </c>
      <c r="D165" t="inlineStr">
        <is>
          <t>SÖDERMANLANDS LÄN</t>
        </is>
      </c>
      <c r="E165" t="inlineStr">
        <is>
          <t>NYKÖPING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19427-2019</t>
        </is>
      </c>
      <c r="B166" s="1" t="n">
        <v>43565</v>
      </c>
      <c r="C166" s="1" t="n">
        <v>45826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19511-2019</t>
        </is>
      </c>
      <c r="B167" s="1" t="n">
        <v>43565</v>
      </c>
      <c r="C167" s="1" t="n">
        <v>45826</v>
      </c>
      <c r="D167" t="inlineStr">
        <is>
          <t>SÖDERMANLANDS LÄN</t>
        </is>
      </c>
      <c r="E167" t="inlineStr">
        <is>
          <t>NYKÖPING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19469-2019</t>
        </is>
      </c>
      <c r="B168" s="1" t="n">
        <v>43565</v>
      </c>
      <c r="C168" s="1" t="n">
        <v>45826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19692-2019</t>
        </is>
      </c>
      <c r="B169" s="1" t="n">
        <v>43566</v>
      </c>
      <c r="C169" s="1" t="n">
        <v>45826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Kyrkan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19980-2019</t>
        </is>
      </c>
      <c r="B170" s="1" t="n">
        <v>43570</v>
      </c>
      <c r="C170" s="1" t="n">
        <v>45826</v>
      </c>
      <c r="D170" t="inlineStr">
        <is>
          <t>SÖDERMANLANDS LÄN</t>
        </is>
      </c>
      <c r="E170" t="inlineStr">
        <is>
          <t>NYKÖPING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21585-2019</t>
        </is>
      </c>
      <c r="B171" s="1" t="n">
        <v>43580</v>
      </c>
      <c r="C171" s="1" t="n">
        <v>45826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21694-2019</t>
        </is>
      </c>
      <c r="B172" s="1" t="n">
        <v>43581</v>
      </c>
      <c r="C172" s="1" t="n">
        <v>45826</v>
      </c>
      <c r="D172" t="inlineStr">
        <is>
          <t>SÖDERMANLANDS LÄN</t>
        </is>
      </c>
      <c r="E172" t="inlineStr">
        <is>
          <t>NYKÖPING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23055-2019</t>
        </is>
      </c>
      <c r="B173" s="1" t="n">
        <v>43591</v>
      </c>
      <c r="C173" s="1" t="n">
        <v>45826</v>
      </c>
      <c r="D173" t="inlineStr">
        <is>
          <t>SÖDERMANLANDS LÄN</t>
        </is>
      </c>
      <c r="E173" t="inlineStr">
        <is>
          <t>NYKÖPING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23053-2019</t>
        </is>
      </c>
      <c r="B174" s="1" t="n">
        <v>43591</v>
      </c>
      <c r="C174" s="1" t="n">
        <v>45826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23553-2019</t>
        </is>
      </c>
      <c r="B175" s="1" t="n">
        <v>43594</v>
      </c>
      <c r="C175" s="1" t="n">
        <v>45826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24069-2019</t>
        </is>
      </c>
      <c r="B176" s="1" t="n">
        <v>43598</v>
      </c>
      <c r="C176" s="1" t="n">
        <v>45826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24368-2019</t>
        </is>
      </c>
      <c r="B177" s="1" t="n">
        <v>43599</v>
      </c>
      <c r="C177" s="1" t="n">
        <v>45826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24622-2019</t>
        </is>
      </c>
      <c r="B178" s="1" t="n">
        <v>43601</v>
      </c>
      <c r="C178" s="1" t="n">
        <v>45826</v>
      </c>
      <c r="D178" t="inlineStr">
        <is>
          <t>SÖDERMANLANDS LÄN</t>
        </is>
      </c>
      <c r="E178" t="inlineStr">
        <is>
          <t>NYKÖPING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24616-2019</t>
        </is>
      </c>
      <c r="B179" s="1" t="n">
        <v>43601</v>
      </c>
      <c r="C179" s="1" t="n">
        <v>45826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26542-2019</t>
        </is>
      </c>
      <c r="B180" s="1" t="n">
        <v>43612</v>
      </c>
      <c r="C180" s="1" t="n">
        <v>45826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27545-2019</t>
        </is>
      </c>
      <c r="B181" s="1" t="n">
        <v>43619</v>
      </c>
      <c r="C181" s="1" t="n">
        <v>45826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28029-2019</t>
        </is>
      </c>
      <c r="B182" s="1" t="n">
        <v>43621</v>
      </c>
      <c r="C182" s="1" t="n">
        <v>45826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28035-2019</t>
        </is>
      </c>
      <c r="B183" s="1" t="n">
        <v>43621</v>
      </c>
      <c r="C183" s="1" t="n">
        <v>45826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28025-2019</t>
        </is>
      </c>
      <c r="B184" s="1" t="n">
        <v>43621</v>
      </c>
      <c r="C184" s="1" t="n">
        <v>45826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28401-2019</t>
        </is>
      </c>
      <c r="B185" s="1" t="n">
        <v>43626</v>
      </c>
      <c r="C185" s="1" t="n">
        <v>45826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28400-2019</t>
        </is>
      </c>
      <c r="B186" s="1" t="n">
        <v>43626</v>
      </c>
      <c r="C186" s="1" t="n">
        <v>45826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28404-2019</t>
        </is>
      </c>
      <c r="B187" s="1" t="n">
        <v>43626</v>
      </c>
      <c r="C187" s="1" t="n">
        <v>45826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28402-2019</t>
        </is>
      </c>
      <c r="B188" s="1" t="n">
        <v>43626</v>
      </c>
      <c r="C188" s="1" t="n">
        <v>45826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28568-2019</t>
        </is>
      </c>
      <c r="B189" s="1" t="n">
        <v>43626</v>
      </c>
      <c r="C189" s="1" t="n">
        <v>45826</v>
      </c>
      <c r="D189" t="inlineStr">
        <is>
          <t>SÖDERMANLANDS LÄN</t>
        </is>
      </c>
      <c r="E189" t="inlineStr">
        <is>
          <t>NYKÖPING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28567-2019</t>
        </is>
      </c>
      <c r="B190" s="1" t="n">
        <v>43626</v>
      </c>
      <c r="C190" s="1" t="n">
        <v>45826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28405-2019</t>
        </is>
      </c>
      <c r="B191" s="1" t="n">
        <v>43626</v>
      </c>
      <c r="C191" s="1" t="n">
        <v>45826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28719-2019</t>
        </is>
      </c>
      <c r="B192" s="1" t="n">
        <v>43627</v>
      </c>
      <c r="C192" s="1" t="n">
        <v>45826</v>
      </c>
      <c r="D192" t="inlineStr">
        <is>
          <t>SÖDERMANLANDS LÄN</t>
        </is>
      </c>
      <c r="E192" t="inlineStr">
        <is>
          <t>NYKÖPING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30025-2019</t>
        </is>
      </c>
      <c r="B193" s="1" t="n">
        <v>43630</v>
      </c>
      <c r="C193" s="1" t="n">
        <v>45826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30982-2019</t>
        </is>
      </c>
      <c r="B194" s="1" t="n">
        <v>43640</v>
      </c>
      <c r="C194" s="1" t="n">
        <v>45826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31687-2019</t>
        </is>
      </c>
      <c r="B195" s="1" t="n">
        <v>43642</v>
      </c>
      <c r="C195" s="1" t="n">
        <v>45826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32926-2019</t>
        </is>
      </c>
      <c r="B196" s="1" t="n">
        <v>43643</v>
      </c>
      <c r="C196" s="1" t="n">
        <v>45826</v>
      </c>
      <c r="D196" t="inlineStr">
        <is>
          <t>SÖDERMANLANDS LÄN</t>
        </is>
      </c>
      <c r="E196" t="inlineStr">
        <is>
          <t>NYKÖPING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32804-2019</t>
        </is>
      </c>
      <c r="B197" s="1" t="n">
        <v>43643</v>
      </c>
      <c r="C197" s="1" t="n">
        <v>45826</v>
      </c>
      <c r="D197" t="inlineStr">
        <is>
          <t>SÖDERMANLANDS LÄN</t>
        </is>
      </c>
      <c r="E197" t="inlineStr">
        <is>
          <t>NYKÖPING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32931-2019</t>
        </is>
      </c>
      <c r="B198" s="1" t="n">
        <v>43643</v>
      </c>
      <c r="C198" s="1" t="n">
        <v>45826</v>
      </c>
      <c r="D198" t="inlineStr">
        <is>
          <t>SÖDERMANLANDS LÄN</t>
        </is>
      </c>
      <c r="E198" t="inlineStr">
        <is>
          <t>NYKÖPING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32353-2019</t>
        </is>
      </c>
      <c r="B199" s="1" t="n">
        <v>43644</v>
      </c>
      <c r="C199" s="1" t="n">
        <v>45826</v>
      </c>
      <c r="D199" t="inlineStr">
        <is>
          <t>SÖDERMANLANDS LÄN</t>
        </is>
      </c>
      <c r="E199" t="inlineStr">
        <is>
          <t>NYKÖPING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33364-2019</t>
        </is>
      </c>
      <c r="B200" s="1" t="n">
        <v>43650</v>
      </c>
      <c r="C200" s="1" t="n">
        <v>45826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33315-2019</t>
        </is>
      </c>
      <c r="B201" s="1" t="n">
        <v>43650</v>
      </c>
      <c r="C201" s="1" t="n">
        <v>45826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35468-2019</t>
        </is>
      </c>
      <c r="B202" s="1" t="n">
        <v>43651</v>
      </c>
      <c r="C202" s="1" t="n">
        <v>45826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33968-2019</t>
        </is>
      </c>
      <c r="B203" s="1" t="n">
        <v>43654</v>
      </c>
      <c r="C203" s="1" t="n">
        <v>45826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34606-2019</t>
        </is>
      </c>
      <c r="B204" s="1" t="n">
        <v>43657</v>
      </c>
      <c r="C204" s="1" t="n">
        <v>45826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35140-2019</t>
        </is>
      </c>
      <c r="B205" s="1" t="n">
        <v>43661</v>
      </c>
      <c r="C205" s="1" t="n">
        <v>45826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35155-2019</t>
        </is>
      </c>
      <c r="B206" s="1" t="n">
        <v>43661</v>
      </c>
      <c r="C206" s="1" t="n">
        <v>45826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35145-2019</t>
        </is>
      </c>
      <c r="B207" s="1" t="n">
        <v>43661</v>
      </c>
      <c r="C207" s="1" t="n">
        <v>45826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35591-2019</t>
        </is>
      </c>
      <c r="B208" s="1" t="n">
        <v>43664</v>
      </c>
      <c r="C208" s="1" t="n">
        <v>45826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35590-2019</t>
        </is>
      </c>
      <c r="B209" s="1" t="n">
        <v>43664</v>
      </c>
      <c r="C209" s="1" t="n">
        <v>45826</v>
      </c>
      <c r="D209" t="inlineStr">
        <is>
          <t>SÖDERMANLANDS LÄN</t>
        </is>
      </c>
      <c r="E209" t="inlineStr">
        <is>
          <t>NYKÖPING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36582-2019</t>
        </is>
      </c>
      <c r="B210" s="1" t="n">
        <v>43669</v>
      </c>
      <c r="C210" s="1" t="n">
        <v>45826</v>
      </c>
      <c r="D210" t="inlineStr">
        <is>
          <t>SÖDERMANLANDS LÄN</t>
        </is>
      </c>
      <c r="E210" t="inlineStr">
        <is>
          <t>NYKÖPING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37416-2019</t>
        </is>
      </c>
      <c r="B211" s="1" t="n">
        <v>43678</v>
      </c>
      <c r="C211" s="1" t="n">
        <v>45826</v>
      </c>
      <c r="D211" t="inlineStr">
        <is>
          <t>SÖDERMANLANDS LÄN</t>
        </is>
      </c>
      <c r="E211" t="inlineStr">
        <is>
          <t>NYKÖPING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37344-2019</t>
        </is>
      </c>
      <c r="B212" s="1" t="n">
        <v>43678</v>
      </c>
      <c r="C212" s="1" t="n">
        <v>45826</v>
      </c>
      <c r="D212" t="inlineStr">
        <is>
          <t>SÖDERMANLANDS LÄN</t>
        </is>
      </c>
      <c r="E212" t="inlineStr">
        <is>
          <t>NYKÖPING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37744-2019</t>
        </is>
      </c>
      <c r="B213" s="1" t="n">
        <v>43682</v>
      </c>
      <c r="C213" s="1" t="n">
        <v>45826</v>
      </c>
      <c r="D213" t="inlineStr">
        <is>
          <t>SÖDERMANLANDS LÄN</t>
        </is>
      </c>
      <c r="E213" t="inlineStr">
        <is>
          <t>NYKÖPING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38046-2019</t>
        </is>
      </c>
      <c r="B214" s="1" t="n">
        <v>43683</v>
      </c>
      <c r="C214" s="1" t="n">
        <v>45826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37940-2019</t>
        </is>
      </c>
      <c r="B215" s="1" t="n">
        <v>43683</v>
      </c>
      <c r="C215" s="1" t="n">
        <v>45826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38593-2019</t>
        </is>
      </c>
      <c r="B216" s="1" t="n">
        <v>43686</v>
      </c>
      <c r="C216" s="1" t="n">
        <v>45826</v>
      </c>
      <c r="D216" t="inlineStr">
        <is>
          <t>SÖDERMANLANDS LÄN</t>
        </is>
      </c>
      <c r="E216" t="inlineStr">
        <is>
          <t>NYKÖPING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38736-2019</t>
        </is>
      </c>
      <c r="B217" s="1" t="n">
        <v>43686</v>
      </c>
      <c r="C217" s="1" t="n">
        <v>45826</v>
      </c>
      <c r="D217" t="inlineStr">
        <is>
          <t>SÖDERMANLANDS LÄN</t>
        </is>
      </c>
      <c r="E217" t="inlineStr">
        <is>
          <t>NYKÖPING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39247-2019</t>
        </is>
      </c>
      <c r="B218" s="1" t="n">
        <v>43690</v>
      </c>
      <c r="C218" s="1" t="n">
        <v>45826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39335-2019</t>
        </is>
      </c>
      <c r="B219" s="1" t="n">
        <v>43690</v>
      </c>
      <c r="C219" s="1" t="n">
        <v>45826</v>
      </c>
      <c r="D219" t="inlineStr">
        <is>
          <t>SÖDERMANLANDS LÄN</t>
        </is>
      </c>
      <c r="E219" t="inlineStr">
        <is>
          <t>NYKÖPING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39228-2019</t>
        </is>
      </c>
      <c r="B220" s="1" t="n">
        <v>43690</v>
      </c>
      <c r="C220" s="1" t="n">
        <v>45826</v>
      </c>
      <c r="D220" t="inlineStr">
        <is>
          <t>SÖDERMANLANDS LÄN</t>
        </is>
      </c>
      <c r="E220" t="inlineStr">
        <is>
          <t>NYKÖPING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39245-2019</t>
        </is>
      </c>
      <c r="B221" s="1" t="n">
        <v>43690</v>
      </c>
      <c r="C221" s="1" t="n">
        <v>45826</v>
      </c>
      <c r="D221" t="inlineStr">
        <is>
          <t>SÖDERMANLANDS LÄN</t>
        </is>
      </c>
      <c r="E221" t="inlineStr">
        <is>
          <t>NYKÖPING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39166-2019</t>
        </is>
      </c>
      <c r="B222" s="1" t="n">
        <v>43690</v>
      </c>
      <c r="C222" s="1" t="n">
        <v>45826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40620-2019</t>
        </is>
      </c>
      <c r="B223" s="1" t="n">
        <v>43691</v>
      </c>
      <c r="C223" s="1" t="n">
        <v>45826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41149-2019</t>
        </is>
      </c>
      <c r="B224" s="1" t="n">
        <v>43698</v>
      </c>
      <c r="C224" s="1" t="n">
        <v>45826</v>
      </c>
      <c r="D224" t="inlineStr">
        <is>
          <t>SÖDERMANLANDS LÄN</t>
        </is>
      </c>
      <c r="E224" t="inlineStr">
        <is>
          <t>NYKÖPING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41154-2019</t>
        </is>
      </c>
      <c r="B225" s="1" t="n">
        <v>43698</v>
      </c>
      <c r="C225" s="1" t="n">
        <v>45826</v>
      </c>
      <c r="D225" t="inlineStr">
        <is>
          <t>SÖDERMANLANDS LÄN</t>
        </is>
      </c>
      <c r="E225" t="inlineStr">
        <is>
          <t>NYKÖPING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41244-2019</t>
        </is>
      </c>
      <c r="B226" s="1" t="n">
        <v>43698</v>
      </c>
      <c r="C226" s="1" t="n">
        <v>45826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41167-2019</t>
        </is>
      </c>
      <c r="B227" s="1" t="n">
        <v>43698</v>
      </c>
      <c r="C227" s="1" t="n">
        <v>45826</v>
      </c>
      <c r="D227" t="inlineStr">
        <is>
          <t>SÖDERMANLANDS LÄN</t>
        </is>
      </c>
      <c r="E227" t="inlineStr">
        <is>
          <t>NYKÖPING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42234-2019</t>
        </is>
      </c>
      <c r="B228" s="1" t="n">
        <v>43703</v>
      </c>
      <c r="C228" s="1" t="n">
        <v>45826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42324-2019</t>
        </is>
      </c>
      <c r="B229" s="1" t="n">
        <v>43703</v>
      </c>
      <c r="C229" s="1" t="n">
        <v>45826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42336-2019</t>
        </is>
      </c>
      <c r="B230" s="1" t="n">
        <v>43703</v>
      </c>
      <c r="C230" s="1" t="n">
        <v>45826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42343-2019</t>
        </is>
      </c>
      <c r="B231" s="1" t="n">
        <v>43703</v>
      </c>
      <c r="C231" s="1" t="n">
        <v>45826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42338-2019</t>
        </is>
      </c>
      <c r="B232" s="1" t="n">
        <v>43703</v>
      </c>
      <c r="C232" s="1" t="n">
        <v>45826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42328-2019</t>
        </is>
      </c>
      <c r="B233" s="1" t="n">
        <v>43703</v>
      </c>
      <c r="C233" s="1" t="n">
        <v>45826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42488-2019</t>
        </is>
      </c>
      <c r="B234" s="1" t="n">
        <v>43704</v>
      </c>
      <c r="C234" s="1" t="n">
        <v>45826</v>
      </c>
      <c r="D234" t="inlineStr">
        <is>
          <t>SÖDERMANLANDS LÄN</t>
        </is>
      </c>
      <c r="E234" t="inlineStr">
        <is>
          <t>NYKÖPING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42496-2019</t>
        </is>
      </c>
      <c r="B235" s="1" t="n">
        <v>43704</v>
      </c>
      <c r="C235" s="1" t="n">
        <v>45826</v>
      </c>
      <c r="D235" t="inlineStr">
        <is>
          <t>SÖDERMANLANDS LÄN</t>
        </is>
      </c>
      <c r="E235" t="inlineStr">
        <is>
          <t>NYKÖPING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42491-2019</t>
        </is>
      </c>
      <c r="B236" s="1" t="n">
        <v>43704</v>
      </c>
      <c r="C236" s="1" t="n">
        <v>45826</v>
      </c>
      <c r="D236" t="inlineStr">
        <is>
          <t>SÖDERMANLANDS LÄN</t>
        </is>
      </c>
      <c r="E236" t="inlineStr">
        <is>
          <t>NYKÖPING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43679-2019</t>
        </is>
      </c>
      <c r="B237" s="1" t="n">
        <v>43707</v>
      </c>
      <c r="C237" s="1" t="n">
        <v>45826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44309-2019</t>
        </is>
      </c>
      <c r="B238" s="1" t="n">
        <v>43710</v>
      </c>
      <c r="C238" s="1" t="n">
        <v>45826</v>
      </c>
      <c r="D238" t="inlineStr">
        <is>
          <t>SÖDERMANLANDS LÄN</t>
        </is>
      </c>
      <c r="E238" t="inlineStr">
        <is>
          <t>NYKÖPING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46504-2019</t>
        </is>
      </c>
      <c r="B239" s="1" t="n">
        <v>43717</v>
      </c>
      <c r="C239" s="1" t="n">
        <v>45826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46078-2019</t>
        </is>
      </c>
      <c r="B240" s="1" t="n">
        <v>43718</v>
      </c>
      <c r="C240" s="1" t="n">
        <v>45826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47034-2019</t>
        </is>
      </c>
      <c r="B241" s="1" t="n">
        <v>43720</v>
      </c>
      <c r="C241" s="1" t="n">
        <v>45826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47122-2019</t>
        </is>
      </c>
      <c r="B242" s="1" t="n">
        <v>43721</v>
      </c>
      <c r="C242" s="1" t="n">
        <v>45826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47127-2019</t>
        </is>
      </c>
      <c r="B243" s="1" t="n">
        <v>43721</v>
      </c>
      <c r="C243" s="1" t="n">
        <v>45826</v>
      </c>
      <c r="D243" t="inlineStr">
        <is>
          <t>SÖDERMANLANDS LÄN</t>
        </is>
      </c>
      <c r="E243" t="inlineStr">
        <is>
          <t>NYKÖPING</t>
        </is>
      </c>
      <c r="G243" t="n">
        <v>49.7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47128-2019</t>
        </is>
      </c>
      <c r="B244" s="1" t="n">
        <v>43721</v>
      </c>
      <c r="C244" s="1" t="n">
        <v>45826</v>
      </c>
      <c r="D244" t="inlineStr">
        <is>
          <t>SÖDERMANLANDS LÄN</t>
        </is>
      </c>
      <c r="E244" t="inlineStr">
        <is>
          <t>NYKÖPING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45826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45826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45826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45826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45826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45826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45826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45826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45826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45826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45826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45826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45826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45826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45826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45826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45826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45826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45826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45826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45826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45826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45826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45826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45826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45826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45826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45826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45826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45826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45826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45826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45826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45826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45826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45826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45826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45826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45826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45826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45826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45826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45826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45826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45826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45826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45826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45826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45826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45826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45826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45826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45826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45826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45826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45826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45826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45826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45826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45826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45826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45826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45826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45826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45826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45826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45826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45826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45826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45826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45826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45826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45826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45826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45826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45826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45826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45826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45826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45826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45826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45826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45826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45826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45826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45826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45826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45826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45826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45826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45826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45826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45826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45826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45826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45826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45826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45826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45826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45826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45826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45826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45826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45826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45826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45826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45826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45826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45826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45826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45826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45826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45826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45826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45826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45826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45826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45826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45826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45826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45826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45826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45826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45826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45826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45826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45826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45826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45826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45826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45826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45826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45826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45826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45826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45826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45826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45826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45826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45826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45826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45826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45826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45826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45826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45826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45826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45826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45826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45826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45826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45826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45826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45826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45826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45826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45826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45826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45826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45826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45826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45826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45826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45826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45826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45826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45826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45826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45826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45826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45826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45826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45826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45826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45826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45826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45826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45826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45826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45826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45826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45826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45826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45826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45826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45826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45826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45826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45826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45826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45826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45826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45826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45826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45826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45826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45826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45826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45826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45826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45826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45826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45826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45826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45826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45826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45826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45826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45826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45826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45826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45826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45826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45826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45826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45826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45826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45826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45826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45826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45826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45826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45826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45826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45826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45826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45826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45826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45826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45826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45826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45826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45826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45826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45826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45826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45826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45826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45826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45826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45826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45826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45826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45826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45826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45826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45826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45826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45826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45826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45826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45826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45826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45826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45826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45826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45826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45826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45826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45826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45826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45826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45826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45826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45826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45826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45826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45826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45826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45826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45826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45826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45826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45826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45826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45826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45826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45826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45826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45826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45826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45826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45826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45826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45826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45826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45826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45826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45826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45826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45826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45826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45826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45826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45826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45826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45826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45826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45826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45826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45826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45826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45826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45826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45826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45826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45826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45826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45826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45826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45826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45826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45826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45826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45826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45826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45826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45826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45826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45826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45826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45826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45826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45826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45826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45826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45826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45826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45826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45826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45826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45826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45826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45826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45826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45826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45826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45826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45826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45826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45826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45826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45826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45826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45826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45826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45826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45826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45826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45826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45826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45826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45826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45826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45826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45826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45826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45826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45826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45826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45826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45826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45826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45826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45826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45826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45826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45826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45826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45826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45826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45826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45826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45826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45826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45826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45826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45826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45826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45826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45826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45826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45826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45826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45826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45826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45826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45826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45826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45826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45826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45826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45826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45826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45826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45826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45826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45826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45826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45826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45826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45826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45826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45826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45826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45826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45826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45826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45826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45826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45826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45826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45826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45826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45826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45826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45826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45826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45826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45826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45826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45826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45826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45826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45826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45826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45826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45826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45826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45826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45826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45826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45826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45826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45826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45826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45826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45826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45826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45826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45826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45826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45826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45826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45826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45826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45826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45826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45826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45826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45826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45826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45826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45826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45826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45826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45826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45826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45826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45826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45826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45826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45826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45826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45826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45826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45826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45826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45826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45826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45826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45826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45826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45826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45826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45826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45826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45826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45826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45826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45826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45826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45826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45826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45826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45826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45826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45826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45826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45826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45826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45826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45826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45826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45826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45826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45826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45826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45826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45826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45826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45826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45826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45826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45826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45826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45826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45826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45826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45826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45826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45826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45826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45826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45826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45826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45826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45826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45826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45826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45826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45826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45826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45826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45826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45826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45826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45826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45826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45826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45826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45826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45826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45826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45826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45826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45826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45826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45826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45826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45826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45826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45826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45826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45826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45826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45826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45826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45826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45826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45826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45826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45826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45826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45826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45826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45826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45826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45826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45826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45826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45826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45826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45826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45826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45826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45826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45826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45826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45826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45826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45826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45826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45826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45826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45826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45826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45826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45826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45826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45826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45826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45826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45826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45826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45826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45826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45826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45826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45826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45826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45826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45826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45826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45826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45826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45826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45826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45826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45826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45826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45826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45826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45826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45826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45826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45826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45826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45826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45826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45826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45826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45826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45826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45826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45826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45826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45826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45826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45826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45826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45826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45826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45826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45826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45826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45826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45826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45826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45826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45826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45826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45826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45826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45826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45826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45826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45826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45826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45826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45826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45826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45826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45826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45826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45826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45826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45826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45826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45826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45826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45826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45826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45826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45826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45826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45826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45826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45826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45826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45826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45826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45826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45826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45826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45826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45826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45826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45826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45826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45826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45826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45826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45826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45826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45826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45826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45826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45826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45826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45826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45826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45826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45826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45826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45826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45826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45826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45826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45826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45826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45826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45826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45826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45826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45826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45826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45826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45826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45826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45826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45826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45826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45826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45826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45826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45826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45826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45826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45826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45826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45826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45826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45826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45826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45826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45826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45826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45826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45826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45826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45826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45826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45826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45826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45826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45826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45826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45826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45826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45826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45826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45826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45826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45826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45826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45826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45826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45826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45826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45826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45826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45826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45826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45826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45826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45826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45826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45826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45826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45826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45826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45826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45826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45826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45826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45826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45826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45826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45826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45826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45826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45826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45826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45826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45826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45826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45826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45826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45826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45826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45826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45826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45826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45826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45826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45826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45826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45826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45826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45826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45826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45826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45826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45826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45826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45826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45826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45826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45826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45826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45826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45826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45826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45826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45826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45826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45826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45826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45826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45826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45826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45826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45826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45826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45826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45826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45826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45826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45826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45826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45826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45826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45826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45826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45826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45826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45826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45826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45826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45826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45826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45826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45826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45826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45826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45826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45826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45826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45826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45826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45826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45826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45826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45826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45826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45826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45826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45826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45826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45826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45826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45826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45826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45826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45826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45826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45826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45826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45826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45826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45826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45826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45826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45826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45826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45826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45826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45826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45826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45826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45826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45826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45826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45826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45826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45826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45826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45826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45826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45826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45826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45826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45826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45826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45826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45826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45826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45826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45826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45826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45826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45826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45826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45826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45826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45826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45826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45826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45826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45826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45826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45826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45826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45826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45826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45826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45826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45826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45826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45826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45826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45826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45826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45826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45826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45826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45826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45826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45826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45826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45826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45826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45826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45826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45826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45826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45826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45826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45826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45826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45826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45826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45826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45826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45826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45826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45826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45826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45826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45826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45826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45826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45826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45826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45826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45826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45826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45826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45826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45826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45826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45826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45826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45826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45826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45826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45826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45826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45826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45826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45826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45826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45826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45826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45826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45826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45826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45826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45826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45826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45826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45826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45826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45826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45826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45826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45826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45826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45826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45826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45826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45826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45826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45826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45826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45826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45826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45826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45826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45826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45826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45826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45826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45826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45826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45826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45826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45826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45826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45826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45826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45826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45826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45826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45826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45826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45826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45826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45826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45826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45826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45826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45826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45826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45826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45826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45826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45826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45826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45826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45826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45826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45826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45826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45826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45826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45826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45826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45826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45826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45826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45826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45826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45826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45826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45826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45826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45826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45826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45826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45826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45826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45826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45826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45826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45826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45826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45826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45826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45826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45826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45826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45826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45826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45826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45826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45826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45826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45826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45826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45826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45826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45826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45826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45826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45826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45826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45826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45826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45826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45826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45826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45826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45826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45826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45826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45826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45826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45826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45826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45826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45826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45826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45826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45826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45826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45826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45826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45826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45826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45826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45826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45826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45826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45826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45826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45826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45826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45826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45826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45826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45826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45826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45826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45826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45826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45826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45826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45826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45826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45826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45826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45826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45826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45826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45826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45826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45826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45826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45826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45826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45826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45826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45826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45826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45826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45826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45826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45826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45826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45826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45826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45826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45826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45826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45826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45826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45826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45826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45826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45826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45826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45826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45826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45826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45826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45826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45826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45826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45826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45826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45826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45826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45826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45826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45826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45826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45826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45826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45826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45826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45826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45826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45826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45826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45826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45826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45826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45826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45826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45826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45826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45826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45826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45826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45826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45826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45826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45826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45826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45826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45826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45826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45826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45826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45826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45826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45826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45826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45826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45826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45826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45826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45826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45826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45826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45826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45826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45826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45826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45826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45826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45826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45826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45826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45826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45826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45826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45826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45826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45826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45826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45826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45826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45826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45826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45826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45826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45826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45826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45826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45826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45826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45826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45826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45826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45826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45826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45826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45826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45826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45826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45826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45826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45826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45826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45826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45826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45826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45826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45826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45826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45826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45826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45826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45826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45826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45826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45826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45826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45826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45826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45826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45826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45826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45826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45826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45826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45826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45826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45826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45826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45826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45826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45826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45826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45826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45826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45826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45826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45826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45826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45826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45826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45826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45826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45826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45826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45826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45826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45826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45826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45826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45826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45826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45826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45826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45826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45826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45826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45826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45826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45826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45826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45826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45826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45826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45826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45826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45826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45826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45826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45826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45826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45826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45826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45826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45826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45826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45826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45826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45826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45826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45826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45826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45826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45826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45826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45826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45826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45826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45826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45826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45826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45826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45826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45826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45826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45826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45826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45826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45826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45826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45826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45826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45826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45826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45826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45826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45826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45826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45826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45826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45826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45826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45826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45826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45826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45826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45826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45826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45826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45826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45826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45826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45826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45826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45826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45826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45826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45826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45826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45826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45826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45826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45826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45826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45826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45826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45826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45826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45826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45826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45826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45826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45826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45826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45826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45826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45826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45826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45826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45826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45826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45826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45826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45826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45826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45826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45826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45826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45826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45826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45826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45826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45826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45826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45826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45826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45826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45826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45826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45826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45826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45826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45826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45826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45826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45826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45826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45826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45826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45826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45826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45826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45826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45826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45826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45826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45826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45826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45826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45826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45826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45826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45826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45826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45826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45826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45826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45826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45826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45826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45826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45826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45826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45826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45826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45826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45826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45826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45826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45826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45826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45826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45826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45826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45826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45826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45826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45826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45826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45826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45826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45826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45826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45826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45826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45826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45826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45826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45826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45826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45826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45826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45826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45826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45826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45826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45826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45826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45826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45826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45826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45826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45826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45826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45826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45826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45826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45826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45826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45826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45826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45826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45826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45826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45826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45826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45826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45826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45826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45826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45826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45826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45826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45826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45826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45826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45826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45826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45826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45826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45826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45826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45826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45826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45826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45826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45826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45826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45826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45826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45826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45826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45826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45826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45826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45826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45826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45826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45826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45826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45826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45826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45826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45826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45826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45826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45826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45826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45826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45826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45826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45826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45826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45826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45826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45826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45826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45826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45826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45826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45826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45826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45826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45826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45826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45826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45826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45826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45826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45826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45826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45826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45826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45826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45826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45826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45826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45826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45826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45826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45826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45826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45826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45826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45826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45826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45826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45826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45826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45826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45826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45826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45826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45826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45826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45826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45826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45826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45826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45826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45826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45826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45826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45826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45826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45826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45826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45826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45826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45826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45826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45826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45826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45826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45826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45826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45826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45826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45826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45826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45826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45826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27871-2025</t>
        </is>
      </c>
      <c r="B1841" s="1" t="n">
        <v>45817</v>
      </c>
      <c r="C1841" s="1" t="n">
        <v>45826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45826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27805-2025</t>
        </is>
      </c>
      <c r="B1843" s="1" t="n">
        <v>45817</v>
      </c>
      <c r="C1843" s="1" t="n">
        <v>45826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27874-2025</t>
        </is>
      </c>
      <c r="B1844" s="1" t="n">
        <v>45817</v>
      </c>
      <c r="C1844" s="1" t="n">
        <v>45826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27947-2025</t>
        </is>
      </c>
      <c r="B1845" s="1" t="n">
        <v>45817</v>
      </c>
      <c r="C1845" s="1" t="n">
        <v>45826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27873-2025</t>
        </is>
      </c>
      <c r="B1846" s="1" t="n">
        <v>45817</v>
      </c>
      <c r="C1846" s="1" t="n">
        <v>45826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28652-2025</t>
        </is>
      </c>
      <c r="B1847" s="1" t="n">
        <v>45819</v>
      </c>
      <c r="C1847" s="1" t="n">
        <v>45826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28654-2025</t>
        </is>
      </c>
      <c r="B1848" s="1" t="n">
        <v>45819</v>
      </c>
      <c r="C1848" s="1" t="n">
        <v>45826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28664-2025</t>
        </is>
      </c>
      <c r="B1849" s="1" t="n">
        <v>45819</v>
      </c>
      <c r="C1849" s="1" t="n">
        <v>45826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28662-2025</t>
        </is>
      </c>
      <c r="B1850" s="1" t="n">
        <v>45819</v>
      </c>
      <c r="C1850" s="1" t="n">
        <v>45826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28650-2025</t>
        </is>
      </c>
      <c r="B1851" s="1" t="n">
        <v>45819</v>
      </c>
      <c r="C1851" s="1" t="n">
        <v>45826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28646-2025</t>
        </is>
      </c>
      <c r="B1852" s="1" t="n">
        <v>45819</v>
      </c>
      <c r="C1852" s="1" t="n">
        <v>45826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28644-2025</t>
        </is>
      </c>
      <c r="B1853" s="1" t="n">
        <v>45819</v>
      </c>
      <c r="C1853" s="1" t="n">
        <v>45826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28645-2025</t>
        </is>
      </c>
      <c r="B1854" s="1" t="n">
        <v>45819</v>
      </c>
      <c r="C1854" s="1" t="n">
        <v>45826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28655-2025</t>
        </is>
      </c>
      <c r="B1855" s="1" t="n">
        <v>45819</v>
      </c>
      <c r="C1855" s="1" t="n">
        <v>45826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28841-2025</t>
        </is>
      </c>
      <c r="B1856" s="1" t="n">
        <v>45820</v>
      </c>
      <c r="C1856" s="1" t="n">
        <v>45826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28868-2025</t>
        </is>
      </c>
      <c r="B1857" s="1" t="n">
        <v>45820</v>
      </c>
      <c r="C1857" s="1" t="n">
        <v>45826</v>
      </c>
      <c r="D1857" t="inlineStr">
        <is>
          <t>SÖDERMANLANDS LÄN</t>
        </is>
      </c>
      <c r="E1857" t="inlineStr">
        <is>
          <t>NYKÖPING</t>
        </is>
      </c>
      <c r="G1857" t="n">
        <v>11.8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28705-2025</t>
        </is>
      </c>
      <c r="B1858" s="1" t="n">
        <v>45820</v>
      </c>
      <c r="C1858" s="1" t="n">
        <v>45826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Holmen skog AB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28839-2025</t>
        </is>
      </c>
      <c r="B1859" s="1" t="n">
        <v>45820</v>
      </c>
      <c r="C1859" s="1" t="n">
        <v>45826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Sveaskog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28704-2025</t>
        </is>
      </c>
      <c r="B1860" s="1" t="n">
        <v>45820</v>
      </c>
      <c r="C1860" s="1" t="n">
        <v>45826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28978-2025</t>
        </is>
      </c>
      <c r="B1861" s="1" t="n">
        <v>45821</v>
      </c>
      <c r="C1861" s="1" t="n">
        <v>45826</v>
      </c>
      <c r="D1861" t="inlineStr">
        <is>
          <t>SÖDERMANLANDS LÄN</t>
        </is>
      </c>
      <c r="E1861" t="inlineStr">
        <is>
          <t>NYKÖPING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>
      <c r="A1862" t="inlineStr">
        <is>
          <t>A 28987-2025</t>
        </is>
      </c>
      <c r="B1862" s="1" t="n">
        <v>45821</v>
      </c>
      <c r="C1862" s="1" t="n">
        <v>45826</v>
      </c>
      <c r="D1862" t="inlineStr">
        <is>
          <t>SÖDERMANLANDS LÄN</t>
        </is>
      </c>
      <c r="E1862" t="inlineStr">
        <is>
          <t>NYKÖPING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2025-06-18T18:50:17Z</dcterms:created>
  <dcterms:modified xmlns:dcterms="http://purl.org/dc/terms/" xmlns:xsi="http://www.w3.org/2001/XMLSchema-instance" xsi:type="dcterms:W3CDTF">2025-06-18T18:50:19Z</dcterms:modified>
</cp:coreProperties>
</file>