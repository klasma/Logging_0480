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45785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45785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45785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45785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45785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45785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45785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45785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45785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45785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45785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45785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45785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45785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45785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45785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45785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45785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45785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12931-2025</t>
        </is>
      </c>
      <c r="B21" s="1" t="n">
        <v>45734</v>
      </c>
      <c r="C21" s="1" t="n">
        <v>45785</v>
      </c>
      <c r="D21" t="inlineStr">
        <is>
          <t>SÖDERMANLANDS LÄN</t>
        </is>
      </c>
      <c r="E21" t="inlineStr">
        <is>
          <t>NYKÖPING</t>
        </is>
      </c>
      <c r="G21" t="n">
        <v>2.5</v>
      </c>
      <c r="H21" t="n">
        <v>3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Kådvaxskinn
Tallticka
Talltita
Blodticka
Revlummer</t>
        </is>
      </c>
      <c r="S21">
        <f>HYPERLINK("https://klasma.github.io/Logging_040480/artfynd/A 12931-2025 artfynd.xlsx", "A 12931-2025")</f>
        <v/>
      </c>
      <c r="T21">
        <f>HYPERLINK("https://klasma.github.io/Logging_040480/kartor/A 12931-2025 karta.png", "A 12931-2025")</f>
        <v/>
      </c>
      <c r="U21">
        <f>HYPERLINK("https://klasma.github.io/Logging_040480/knärot/A 12931-2025 karta knärot.png", "A 12931-2025")</f>
        <v/>
      </c>
      <c r="V21">
        <f>HYPERLINK("https://klasma.github.io/Logging_040480/klagomål/A 12931-2025 FSC-klagomål.docx", "A 12931-2025")</f>
        <v/>
      </c>
      <c r="W21">
        <f>HYPERLINK("https://klasma.github.io/Logging_040480/klagomålsmail/A 12931-2025 FSC-klagomål mail.docx", "A 12931-2025")</f>
        <v/>
      </c>
      <c r="X21">
        <f>HYPERLINK("https://klasma.github.io/Logging_040480/tillsyn/A 12931-2025 tillsynsbegäran.docx", "A 12931-2025")</f>
        <v/>
      </c>
      <c r="Y21">
        <f>HYPERLINK("https://klasma.github.io/Logging_040480/tillsynsmail/A 12931-2025 tillsynsbegäran mail.docx", "A 12931-2025")</f>
        <v/>
      </c>
      <c r="Z21">
        <f>HYPERLINK("https://klasma.github.io/Logging_040480/fåglar/A 12931-2025 prioriterade fågelarter.docx", "A 12931-2025")</f>
        <v/>
      </c>
    </row>
    <row r="22" ht="15" customHeight="1">
      <c r="A22" t="inlineStr">
        <is>
          <t>A 25818-2020</t>
        </is>
      </c>
      <c r="B22" s="1" t="n">
        <v>43983</v>
      </c>
      <c r="C22" s="1" t="n">
        <v>45785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8.800000000000001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Bombmurkla
Fyrflikig jordstjärna
Skarp dropptaggsvamp
Stubbspretmossa
Ögonpyrola</t>
        </is>
      </c>
      <c r="S22">
        <f>HYPERLINK("https://klasma.github.io/Logging_0480/artfynd/A 25818-2020 artfynd.xlsx", "A 25818-2020")</f>
        <v/>
      </c>
      <c r="T22">
        <f>HYPERLINK("https://klasma.github.io/Logging_0480/kartor/A 25818-2020 karta.png", "A 25818-2020")</f>
        <v/>
      </c>
      <c r="V22">
        <f>HYPERLINK("https://klasma.github.io/Logging_0480/klagomål/A 25818-2020 FSC-klagomål.docx", "A 25818-2020")</f>
        <v/>
      </c>
      <c r="W22">
        <f>HYPERLINK("https://klasma.github.io/Logging_0480/klagomålsmail/A 25818-2020 FSC-klagomål mail.docx", "A 25818-2020")</f>
        <v/>
      </c>
      <c r="X22">
        <f>HYPERLINK("https://klasma.github.io/Logging_0480/tillsyn/A 25818-2020 tillsynsbegäran.docx", "A 25818-2020")</f>
        <v/>
      </c>
      <c r="Y22">
        <f>HYPERLINK("https://klasma.github.io/Logging_0480/tillsynsmail/A 25818-2020 tillsynsbegäran mail.docx", "A 25818-2020")</f>
        <v/>
      </c>
    </row>
    <row r="23" ht="15" customHeight="1">
      <c r="A23" t="inlineStr">
        <is>
          <t>A 29255-2020</t>
        </is>
      </c>
      <c r="B23" s="1" t="n">
        <v>44004</v>
      </c>
      <c r="C23" s="1" t="n">
        <v>45785</v>
      </c>
      <c r="D23" t="inlineStr">
        <is>
          <t>SÖDERMANLANDS LÄN</t>
        </is>
      </c>
      <c r="E23" t="inlineStr">
        <is>
          <t>NYKÖPING</t>
        </is>
      </c>
      <c r="G23" t="n">
        <v>5.5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Skogsknipprot
Svart trolldruva
Tjockfotad fingersvamp
Blåsippa
Gullviva</t>
        </is>
      </c>
      <c r="S23">
        <f>HYPERLINK("https://klasma.github.io/Logging_0480/artfynd/A 29255-2020 artfynd.xlsx", "A 29255-2020")</f>
        <v/>
      </c>
      <c r="T23">
        <f>HYPERLINK("https://klasma.github.io/Logging_0480/kartor/A 29255-2020 karta.png", "A 29255-2020")</f>
        <v/>
      </c>
      <c r="V23">
        <f>HYPERLINK("https://klasma.github.io/Logging_0480/klagomål/A 29255-2020 FSC-klagomål.docx", "A 29255-2020")</f>
        <v/>
      </c>
      <c r="W23">
        <f>HYPERLINK("https://klasma.github.io/Logging_0480/klagomålsmail/A 29255-2020 FSC-klagomål mail.docx", "A 29255-2020")</f>
        <v/>
      </c>
      <c r="X23">
        <f>HYPERLINK("https://klasma.github.io/Logging_0480/tillsyn/A 29255-2020 tillsynsbegäran.docx", "A 29255-2020")</f>
        <v/>
      </c>
      <c r="Y23">
        <f>HYPERLINK("https://klasma.github.io/Logging_0480/tillsynsmail/A 29255-2020 tillsynsbegäran mail.docx", "A 29255-2020")</f>
        <v/>
      </c>
    </row>
    <row r="24" ht="15" customHeight="1">
      <c r="A24" t="inlineStr">
        <is>
          <t>A 30353-2021</t>
        </is>
      </c>
      <c r="B24" s="1" t="n">
        <v>44364</v>
      </c>
      <c r="C24" s="1" t="n">
        <v>45785</v>
      </c>
      <c r="D24" t="inlineStr">
        <is>
          <t>SÖDERMANLANDS LÄN</t>
        </is>
      </c>
      <c r="E24" t="inlineStr">
        <is>
          <t>NYKÖPING</t>
        </is>
      </c>
      <c r="G24" t="n">
        <v>0.7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Avarönn
Flentimotej
Solvända
Vippärt
Guldlockmossa</t>
        </is>
      </c>
      <c r="S24">
        <f>HYPERLINK("https://klasma.github.io/Logging_0480/artfynd/A 30353-2021 artfynd.xlsx", "A 30353-2021")</f>
        <v/>
      </c>
      <c r="T24">
        <f>HYPERLINK("https://klasma.github.io/Logging_0480/kartor/A 30353-2021 karta.png", "A 30353-2021")</f>
        <v/>
      </c>
      <c r="V24">
        <f>HYPERLINK("https://klasma.github.io/Logging_0480/klagomål/A 30353-2021 FSC-klagomål.docx", "A 30353-2021")</f>
        <v/>
      </c>
      <c r="W24">
        <f>HYPERLINK("https://klasma.github.io/Logging_0480/klagomålsmail/A 30353-2021 FSC-klagomål mail.docx", "A 30353-2021")</f>
        <v/>
      </c>
      <c r="X24">
        <f>HYPERLINK("https://klasma.github.io/Logging_0480/tillsyn/A 30353-2021 tillsynsbegäran.docx", "A 30353-2021")</f>
        <v/>
      </c>
      <c r="Y24">
        <f>HYPERLINK("https://klasma.github.io/Logging_0480/tillsynsmail/A 30353-2021 tillsynsbegäran mail.docx", "A 30353-2021")</f>
        <v/>
      </c>
    </row>
    <row r="25" ht="15" customHeight="1">
      <c r="A25" t="inlineStr">
        <is>
          <t>A 35274-2021</t>
        </is>
      </c>
      <c r="B25" s="1" t="n">
        <v>44384</v>
      </c>
      <c r="C25" s="1" t="n">
        <v>45785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9.1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Skogsalm
Spillkråka
Svartvit flugsnappare
Tallticka
Gullviva</t>
        </is>
      </c>
      <c r="S25">
        <f>HYPERLINK("https://klasma.github.io/Logging_0480/artfynd/A 35274-2021 artfynd.xlsx", "A 35274-2021")</f>
        <v/>
      </c>
      <c r="T25">
        <f>HYPERLINK("https://klasma.github.io/Logging_0480/kartor/A 35274-2021 karta.png", "A 35274-2021")</f>
        <v/>
      </c>
      <c r="V25">
        <f>HYPERLINK("https://klasma.github.io/Logging_0480/klagomål/A 35274-2021 FSC-klagomål.docx", "A 35274-2021")</f>
        <v/>
      </c>
      <c r="W25">
        <f>HYPERLINK("https://klasma.github.io/Logging_0480/klagomålsmail/A 35274-2021 FSC-klagomål mail.docx", "A 35274-2021")</f>
        <v/>
      </c>
      <c r="X25">
        <f>HYPERLINK("https://klasma.github.io/Logging_0480/tillsyn/A 35274-2021 tillsynsbegäran.docx", "A 35274-2021")</f>
        <v/>
      </c>
      <c r="Y25">
        <f>HYPERLINK("https://klasma.github.io/Logging_0480/tillsynsmail/A 35274-2021 tillsynsbegäran mail.docx", "A 35274-2021")</f>
        <v/>
      </c>
      <c r="Z25">
        <f>HYPERLINK("https://klasma.github.io/Logging_0480/fåglar/A 35274-2021 prioriterade fågelarter.docx", "A 35274-2021")</f>
        <v/>
      </c>
    </row>
    <row r="26" ht="15" customHeight="1">
      <c r="A26" t="inlineStr">
        <is>
          <t>A 47102-2021</t>
        </is>
      </c>
      <c r="B26" s="1" t="n">
        <v>44446</v>
      </c>
      <c r="C26" s="1" t="n">
        <v>45785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3.4</v>
      </c>
      <c r="H26" t="n">
        <v>2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Rävticka
Skogsknipprot
Svart trolldruva
Svavelriska
Mindre vattensalamander</t>
        </is>
      </c>
      <c r="S26">
        <f>HYPERLINK("https://klasma.github.io/Logging_0480/artfynd/A 47102-2021 artfynd.xlsx", "A 47102-2021")</f>
        <v/>
      </c>
      <c r="T26">
        <f>HYPERLINK("https://klasma.github.io/Logging_0480/kartor/A 47102-2021 karta.png", "A 47102-2021")</f>
        <v/>
      </c>
      <c r="V26">
        <f>HYPERLINK("https://klasma.github.io/Logging_0480/klagomål/A 47102-2021 FSC-klagomål.docx", "A 47102-2021")</f>
        <v/>
      </c>
      <c r="W26">
        <f>HYPERLINK("https://klasma.github.io/Logging_0480/klagomålsmail/A 47102-2021 FSC-klagomål mail.docx", "A 47102-2021")</f>
        <v/>
      </c>
      <c r="X26">
        <f>HYPERLINK("https://klasma.github.io/Logging_0480/tillsyn/A 47102-2021 tillsynsbegäran.docx", "A 47102-2021")</f>
        <v/>
      </c>
      <c r="Y26">
        <f>HYPERLINK("https://klasma.github.io/Logging_0480/tillsynsmail/A 47102-2021 tillsynsbegäran mail.docx", "A 47102-2021")</f>
        <v/>
      </c>
    </row>
    <row r="27" ht="15" customHeight="1">
      <c r="A27" t="inlineStr">
        <is>
          <t>A 6487-2020</t>
        </is>
      </c>
      <c r="B27" s="1" t="n">
        <v>43866</v>
      </c>
      <c r="C27" s="1" t="n">
        <v>45785</v>
      </c>
      <c r="D27" t="inlineStr">
        <is>
          <t>SÖDERMANLANDS LÄN</t>
        </is>
      </c>
      <c r="E27" t="inlineStr">
        <is>
          <t>NYKÖPING</t>
        </is>
      </c>
      <c r="G27" t="n">
        <v>4.9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Gränsticka
Tallticka
Ullticka
Vintertagging</t>
        </is>
      </c>
      <c r="S27">
        <f>HYPERLINK("https://klasma.github.io/Logging_0480/artfynd/A 6487-2020 artfynd.xlsx", "A 6487-2020")</f>
        <v/>
      </c>
      <c r="T27">
        <f>HYPERLINK("https://klasma.github.io/Logging_0480/kartor/A 6487-2020 karta.png", "A 6487-2020")</f>
        <v/>
      </c>
      <c r="V27">
        <f>HYPERLINK("https://klasma.github.io/Logging_0480/klagomål/A 6487-2020 FSC-klagomål.docx", "A 6487-2020")</f>
        <v/>
      </c>
      <c r="W27">
        <f>HYPERLINK("https://klasma.github.io/Logging_0480/klagomålsmail/A 6487-2020 FSC-klagomål mail.docx", "A 6487-2020")</f>
        <v/>
      </c>
      <c r="X27">
        <f>HYPERLINK("https://klasma.github.io/Logging_0480/tillsyn/A 6487-2020 tillsynsbegäran.docx", "A 6487-2020")</f>
        <v/>
      </c>
      <c r="Y27">
        <f>HYPERLINK("https://klasma.github.io/Logging_0480/tillsynsmail/A 6487-2020 tillsynsbegäran mail.docx", "A 6487-2020")</f>
        <v/>
      </c>
    </row>
    <row r="28" ht="15" customHeight="1">
      <c r="A28" t="inlineStr">
        <is>
          <t>A 25823-2020</t>
        </is>
      </c>
      <c r="B28" s="1" t="n">
        <v>43983</v>
      </c>
      <c r="C28" s="1" t="n">
        <v>45785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8.9</v>
      </c>
      <c r="H28" t="n">
        <v>1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Ask
Svinrot
Ängsskära
Revlummer</t>
        </is>
      </c>
      <c r="S28">
        <f>HYPERLINK("https://klasma.github.io/Logging_0480/artfynd/A 25823-2020 artfynd.xlsx", "A 25823-2020")</f>
        <v/>
      </c>
      <c r="T28">
        <f>HYPERLINK("https://klasma.github.io/Logging_0480/kartor/A 25823-2020 karta.png", "A 25823-2020")</f>
        <v/>
      </c>
      <c r="V28">
        <f>HYPERLINK("https://klasma.github.io/Logging_0480/klagomål/A 25823-2020 FSC-klagomål.docx", "A 25823-2020")</f>
        <v/>
      </c>
      <c r="W28">
        <f>HYPERLINK("https://klasma.github.io/Logging_0480/klagomålsmail/A 25823-2020 FSC-klagomål mail.docx", "A 25823-2020")</f>
        <v/>
      </c>
      <c r="X28">
        <f>HYPERLINK("https://klasma.github.io/Logging_0480/tillsyn/A 25823-2020 tillsynsbegäran.docx", "A 25823-2020")</f>
        <v/>
      </c>
      <c r="Y28">
        <f>HYPERLINK("https://klasma.github.io/Logging_0480/tillsynsmail/A 25823-2020 tillsynsbegäran mail.docx", "A 25823-2020")</f>
        <v/>
      </c>
    </row>
    <row r="29" ht="15" customHeight="1">
      <c r="A29" t="inlineStr">
        <is>
          <t>A 38419-2021</t>
        </is>
      </c>
      <c r="B29" s="1" t="n">
        <v>44406</v>
      </c>
      <c r="C29" s="1" t="n">
        <v>45785</v>
      </c>
      <c r="D29" t="inlineStr">
        <is>
          <t>SÖDERMANLANDS LÄN</t>
        </is>
      </c>
      <c r="E29" t="inlineStr">
        <is>
          <t>NYKÖPING</t>
        </is>
      </c>
      <c r="F29" t="inlineStr">
        <is>
          <t>Övriga Aktiebolag</t>
        </is>
      </c>
      <c r="G29" t="n">
        <v>5.9</v>
      </c>
      <c r="H29" t="n">
        <v>2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Treuddsaftonfly
Blåmossa
Plattlummer
Revlummer</t>
        </is>
      </c>
      <c r="S29">
        <f>HYPERLINK("https://klasma.github.io/Logging_0480/artfynd/A 38419-2021 artfynd.xlsx", "A 38419-2021")</f>
        <v/>
      </c>
      <c r="T29">
        <f>HYPERLINK("https://klasma.github.io/Logging_0480/kartor/A 38419-2021 karta.png", "A 38419-2021")</f>
        <v/>
      </c>
      <c r="V29">
        <f>HYPERLINK("https://klasma.github.io/Logging_0480/klagomål/A 38419-2021 FSC-klagomål.docx", "A 38419-2021")</f>
        <v/>
      </c>
      <c r="W29">
        <f>HYPERLINK("https://klasma.github.io/Logging_0480/klagomålsmail/A 38419-2021 FSC-klagomål mail.docx", "A 38419-2021")</f>
        <v/>
      </c>
      <c r="X29">
        <f>HYPERLINK("https://klasma.github.io/Logging_0480/tillsyn/A 38419-2021 tillsynsbegäran.docx", "A 38419-2021")</f>
        <v/>
      </c>
      <c r="Y29">
        <f>HYPERLINK("https://klasma.github.io/Logging_0480/tillsynsmail/A 38419-2021 tillsynsbegäran mail.docx", "A 38419-2021")</f>
        <v/>
      </c>
    </row>
    <row r="30" ht="15" customHeight="1">
      <c r="A30" t="inlineStr">
        <is>
          <t>A 8663-2022</t>
        </is>
      </c>
      <c r="B30" s="1" t="n">
        <v>44613</v>
      </c>
      <c r="C30" s="1" t="n">
        <v>45785</v>
      </c>
      <c r="D30" t="inlineStr">
        <is>
          <t>SÖDERMANLANDS LÄN</t>
        </is>
      </c>
      <c r="E30" t="inlineStr">
        <is>
          <t>NYKÖPING</t>
        </is>
      </c>
      <c r="G30" t="n">
        <v>6.5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Orange taggsvamp
Blomkålssvamp
Fjällig taggsvamp s.str.
Stubbspretmossa</t>
        </is>
      </c>
      <c r="S30">
        <f>HYPERLINK("https://klasma.github.io/Logging_0480/artfynd/A 8663-2022 artfynd.xlsx", "A 8663-2022")</f>
        <v/>
      </c>
      <c r="T30">
        <f>HYPERLINK("https://klasma.github.io/Logging_0480/kartor/A 8663-2022 karta.png", "A 8663-2022")</f>
        <v/>
      </c>
      <c r="V30">
        <f>HYPERLINK("https://klasma.github.io/Logging_0480/klagomål/A 8663-2022 FSC-klagomål.docx", "A 8663-2022")</f>
        <v/>
      </c>
      <c r="W30">
        <f>HYPERLINK("https://klasma.github.io/Logging_0480/klagomålsmail/A 8663-2022 FSC-klagomål mail.docx", "A 8663-2022")</f>
        <v/>
      </c>
      <c r="X30">
        <f>HYPERLINK("https://klasma.github.io/Logging_0480/tillsyn/A 8663-2022 tillsynsbegäran.docx", "A 8663-2022")</f>
        <v/>
      </c>
      <c r="Y30">
        <f>HYPERLINK("https://klasma.github.io/Logging_0480/tillsynsmail/A 8663-2022 tillsynsbegäran mail.docx", "A 8663-2022")</f>
        <v/>
      </c>
    </row>
    <row r="31" ht="15" customHeight="1">
      <c r="A31" t="inlineStr">
        <is>
          <t>A 1509-2023</t>
        </is>
      </c>
      <c r="B31" s="1" t="n">
        <v>44937</v>
      </c>
      <c r="C31" s="1" t="n">
        <v>45785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6.3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Asppraktbagge
Skorpgelélav
Aspvedgnagare
Stor aspticka</t>
        </is>
      </c>
      <c r="S31">
        <f>HYPERLINK("https://klasma.github.io/Logging_0480/artfynd/A 1509-2023 artfynd.xlsx", "A 1509-2023")</f>
        <v/>
      </c>
      <c r="T31">
        <f>HYPERLINK("https://klasma.github.io/Logging_0480/kartor/A 1509-2023 karta.png", "A 1509-2023")</f>
        <v/>
      </c>
      <c r="V31">
        <f>HYPERLINK("https://klasma.github.io/Logging_0480/klagomål/A 1509-2023 FSC-klagomål.docx", "A 1509-2023")</f>
        <v/>
      </c>
      <c r="W31">
        <f>HYPERLINK("https://klasma.github.io/Logging_0480/klagomålsmail/A 1509-2023 FSC-klagomål mail.docx", "A 1509-2023")</f>
        <v/>
      </c>
      <c r="X31">
        <f>HYPERLINK("https://klasma.github.io/Logging_0480/tillsyn/A 1509-2023 tillsynsbegäran.docx", "A 1509-2023")</f>
        <v/>
      </c>
      <c r="Y31">
        <f>HYPERLINK("https://klasma.github.io/Logging_0480/tillsynsmail/A 1509-2023 tillsynsbegäran mail.docx", "A 1509-2023")</f>
        <v/>
      </c>
    </row>
    <row r="32" ht="15" customHeight="1">
      <c r="A32" t="inlineStr">
        <is>
          <t>A 4753-2024</t>
        </is>
      </c>
      <c r="B32" s="1" t="n">
        <v>45328</v>
      </c>
      <c r="C32" s="1" t="n">
        <v>45785</v>
      </c>
      <c r="D32" t="inlineStr">
        <is>
          <t>SÖDERMANLANDS LÄN</t>
        </is>
      </c>
      <c r="E32" t="inlineStr">
        <is>
          <t>NYKÖPING</t>
        </is>
      </c>
      <c r="G32" t="n">
        <v>11.8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Orange taggsvamp
Svart taggsvamp
Tallticka
Dropptaggsvamp</t>
        </is>
      </c>
      <c r="S32">
        <f>HYPERLINK("https://klasma.github.io/Logging_0480/artfynd/A 4753-2024 artfynd.xlsx", "A 4753-2024")</f>
        <v/>
      </c>
      <c r="T32">
        <f>HYPERLINK("https://klasma.github.io/Logging_0480/kartor/A 4753-2024 karta.png", "A 4753-2024")</f>
        <v/>
      </c>
      <c r="V32">
        <f>HYPERLINK("https://klasma.github.io/Logging_0480/klagomål/A 4753-2024 FSC-klagomål.docx", "A 4753-2024")</f>
        <v/>
      </c>
      <c r="W32">
        <f>HYPERLINK("https://klasma.github.io/Logging_0480/klagomålsmail/A 4753-2024 FSC-klagomål mail.docx", "A 4753-2024")</f>
        <v/>
      </c>
      <c r="X32">
        <f>HYPERLINK("https://klasma.github.io/Logging_0480/tillsyn/A 4753-2024 tillsynsbegäran.docx", "A 4753-2024")</f>
        <v/>
      </c>
      <c r="Y32">
        <f>HYPERLINK("https://klasma.github.io/Logging_0480/tillsynsmail/A 4753-2024 tillsynsbegäran mail.docx", "A 4753-2024")</f>
        <v/>
      </c>
    </row>
    <row r="33" ht="15" customHeight="1">
      <c r="A33" t="inlineStr">
        <is>
          <t>A 33265-2024</t>
        </is>
      </c>
      <c r="B33" s="1" t="n">
        <v>45518</v>
      </c>
      <c r="C33" s="1" t="n">
        <v>45785</v>
      </c>
      <c r="D33" t="inlineStr">
        <is>
          <t>SÖDERMANLANDS LÄN</t>
        </is>
      </c>
      <c r="E33" t="inlineStr">
        <is>
          <t>NYKÖPING</t>
        </is>
      </c>
      <c r="G33" t="n">
        <v>7.8</v>
      </c>
      <c r="H33" t="n">
        <v>2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Fjällig taggsvamp s.str.
Granbarkgnagare
Blåsippa</t>
        </is>
      </c>
      <c r="S33">
        <f>HYPERLINK("https://klasma.github.io/Logging_0480/artfynd/A 33265-2024 artfynd.xlsx", "A 33265-2024")</f>
        <v/>
      </c>
      <c r="T33">
        <f>HYPERLINK("https://klasma.github.io/Logging_0480/kartor/A 33265-2024 karta.png", "A 33265-2024")</f>
        <v/>
      </c>
      <c r="U33">
        <f>HYPERLINK("https://klasma.github.io/Logging_0480/knärot/A 33265-2024 karta knärot.png", "A 33265-2024")</f>
        <v/>
      </c>
      <c r="V33">
        <f>HYPERLINK("https://klasma.github.io/Logging_0480/klagomål/A 33265-2024 FSC-klagomål.docx", "A 33265-2024")</f>
        <v/>
      </c>
      <c r="W33">
        <f>HYPERLINK("https://klasma.github.io/Logging_0480/klagomålsmail/A 33265-2024 FSC-klagomål mail.docx", "A 33265-2024")</f>
        <v/>
      </c>
      <c r="X33">
        <f>HYPERLINK("https://klasma.github.io/Logging_0480/tillsyn/A 33265-2024 tillsynsbegäran.docx", "A 33265-2024")</f>
        <v/>
      </c>
      <c r="Y33">
        <f>HYPERLINK("https://klasma.github.io/Logging_0480/tillsynsmail/A 33265-2024 tillsynsbegäran mail.docx", "A 33265-2024")</f>
        <v/>
      </c>
    </row>
    <row r="34" ht="15" customHeight="1">
      <c r="A34" t="inlineStr">
        <is>
          <t>A 37372-2024</t>
        </is>
      </c>
      <c r="B34" s="1" t="n">
        <v>45540</v>
      </c>
      <c r="C34" s="1" t="n">
        <v>45785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3.4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Motaggsvamp
Spillkråka
Blåmossa
Vågbandad barkbock</t>
        </is>
      </c>
      <c r="S34">
        <f>HYPERLINK("https://klasma.github.io/Logging_0480/artfynd/A 37372-2024 artfynd.xlsx", "A 37372-2024")</f>
        <v/>
      </c>
      <c r="T34">
        <f>HYPERLINK("https://klasma.github.io/Logging_0480/kartor/A 37372-2024 karta.png", "A 37372-2024")</f>
        <v/>
      </c>
      <c r="V34">
        <f>HYPERLINK("https://klasma.github.io/Logging_0480/klagomål/A 37372-2024 FSC-klagomål.docx", "A 37372-2024")</f>
        <v/>
      </c>
      <c r="W34">
        <f>HYPERLINK("https://klasma.github.io/Logging_0480/klagomålsmail/A 37372-2024 FSC-klagomål mail.docx", "A 37372-2024")</f>
        <v/>
      </c>
      <c r="X34">
        <f>HYPERLINK("https://klasma.github.io/Logging_0480/tillsyn/A 37372-2024 tillsynsbegäran.docx", "A 37372-2024")</f>
        <v/>
      </c>
      <c r="Y34">
        <f>HYPERLINK("https://klasma.github.io/Logging_0480/tillsynsmail/A 37372-2024 tillsynsbegäran mail.docx", "A 37372-2024")</f>
        <v/>
      </c>
      <c r="Z34">
        <f>HYPERLINK("https://klasma.github.io/Logging_0480/fåglar/A 37372-2024 prioriterade fågelarter.docx", "A 37372-2024")</f>
        <v/>
      </c>
    </row>
    <row r="35" ht="15" customHeight="1">
      <c r="A35" t="inlineStr">
        <is>
          <t>A 38456-2024</t>
        </is>
      </c>
      <c r="B35" s="1" t="n">
        <v>45546</v>
      </c>
      <c r="C35" s="1" t="n">
        <v>45785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1</v>
      </c>
      <c r="I35" t="n">
        <v>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Ask
Tallticka
Grovticka
Blåsippa</t>
        </is>
      </c>
      <c r="S35">
        <f>HYPERLINK("https://klasma.github.io/Logging_0480/artfynd/A 38456-2024 artfynd.xlsx", "A 38456-2024")</f>
        <v/>
      </c>
      <c r="T35">
        <f>HYPERLINK("https://klasma.github.io/Logging_0480/kartor/A 38456-2024 karta.png", "A 38456-2024")</f>
        <v/>
      </c>
      <c r="V35">
        <f>HYPERLINK("https://klasma.github.io/Logging_0480/klagomål/A 38456-2024 FSC-klagomål.docx", "A 38456-2024")</f>
        <v/>
      </c>
      <c r="W35">
        <f>HYPERLINK("https://klasma.github.io/Logging_0480/klagomålsmail/A 38456-2024 FSC-klagomål mail.docx", "A 38456-2024")</f>
        <v/>
      </c>
      <c r="X35">
        <f>HYPERLINK("https://klasma.github.io/Logging_0480/tillsyn/A 38456-2024 tillsynsbegäran.docx", "A 38456-2024")</f>
        <v/>
      </c>
      <c r="Y35">
        <f>HYPERLINK("https://klasma.github.io/Logging_0480/tillsynsmail/A 38456-2024 tillsynsbegäran mail.docx", "A 38456-2024")</f>
        <v/>
      </c>
    </row>
    <row r="36" ht="15" customHeight="1">
      <c r="A36" t="inlineStr">
        <is>
          <t>A 38735-2019</t>
        </is>
      </c>
      <c r="B36" s="1" t="n">
        <v>43686</v>
      </c>
      <c r="C36" s="1" t="n">
        <v>45785</v>
      </c>
      <c r="D36" t="inlineStr">
        <is>
          <t>SÖDERMANLANDS LÄN</t>
        </is>
      </c>
      <c r="E36" t="inlineStr">
        <is>
          <t>NYKÖPING</t>
        </is>
      </c>
      <c r="G36" t="n">
        <v>2.3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Svinrot
Ögonpyrola
Blåsippa</t>
        </is>
      </c>
      <c r="S36">
        <f>HYPERLINK("https://klasma.github.io/Logging_0480/artfynd/A 38735-2019 artfynd.xlsx", "A 38735-2019")</f>
        <v/>
      </c>
      <c r="T36">
        <f>HYPERLINK("https://klasma.github.io/Logging_0480/kartor/A 38735-2019 karta.png", "A 38735-2019")</f>
        <v/>
      </c>
      <c r="V36">
        <f>HYPERLINK("https://klasma.github.io/Logging_0480/klagomål/A 38735-2019 FSC-klagomål.docx", "A 38735-2019")</f>
        <v/>
      </c>
      <c r="W36">
        <f>HYPERLINK("https://klasma.github.io/Logging_0480/klagomålsmail/A 38735-2019 FSC-klagomål mail.docx", "A 38735-2019")</f>
        <v/>
      </c>
      <c r="X36">
        <f>HYPERLINK("https://klasma.github.io/Logging_0480/tillsyn/A 38735-2019 tillsynsbegäran.docx", "A 38735-2019")</f>
        <v/>
      </c>
      <c r="Y36">
        <f>HYPERLINK("https://klasma.github.io/Logging_0480/tillsynsmail/A 38735-2019 tillsynsbegäran mail.docx", "A 38735-2019")</f>
        <v/>
      </c>
    </row>
    <row r="37" ht="15" customHeight="1">
      <c r="A37" t="inlineStr">
        <is>
          <t>A 42633-2019</t>
        </is>
      </c>
      <c r="B37" s="1" t="n">
        <v>43704</v>
      </c>
      <c r="C37" s="1" t="n">
        <v>45785</v>
      </c>
      <c r="D37" t="inlineStr">
        <is>
          <t>SÖDERMANLANDS LÄN</t>
        </is>
      </c>
      <c r="E37" t="inlineStr">
        <is>
          <t>NYKÖPING</t>
        </is>
      </c>
      <c r="G37" t="n">
        <v>12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Entita
Kungsfågel
Blåsippa</t>
        </is>
      </c>
      <c r="S37">
        <f>HYPERLINK("https://klasma.github.io/Logging_0480/artfynd/A 42633-2019 artfynd.xlsx", "A 42633-2019")</f>
        <v/>
      </c>
      <c r="T37">
        <f>HYPERLINK("https://klasma.github.io/Logging_0480/kartor/A 42633-2019 karta.png", "A 42633-2019")</f>
        <v/>
      </c>
      <c r="V37">
        <f>HYPERLINK("https://klasma.github.io/Logging_0480/klagomål/A 42633-2019 FSC-klagomål.docx", "A 42633-2019")</f>
        <v/>
      </c>
      <c r="W37">
        <f>HYPERLINK("https://klasma.github.io/Logging_0480/klagomålsmail/A 42633-2019 FSC-klagomål mail.docx", "A 42633-2019")</f>
        <v/>
      </c>
      <c r="X37">
        <f>HYPERLINK("https://klasma.github.io/Logging_0480/tillsyn/A 42633-2019 tillsynsbegäran.docx", "A 42633-2019")</f>
        <v/>
      </c>
      <c r="Y37">
        <f>HYPERLINK("https://klasma.github.io/Logging_0480/tillsynsmail/A 42633-2019 tillsynsbegäran mail.docx", "A 42633-2019")</f>
        <v/>
      </c>
      <c r="Z37">
        <f>HYPERLINK("https://klasma.github.io/Logging_0480/fåglar/A 42633-2019 prioriterade fågelarter.docx", "A 42633-2019")</f>
        <v/>
      </c>
    </row>
    <row r="38" ht="15" customHeight="1">
      <c r="A38" t="inlineStr">
        <is>
          <t>A 64594-2019</t>
        </is>
      </c>
      <c r="B38" s="1" t="n">
        <v>43798</v>
      </c>
      <c r="C38" s="1" t="n">
        <v>45785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2.6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Kricka
Järnsparv
Åkergroda</t>
        </is>
      </c>
      <c r="S38">
        <f>HYPERLINK("https://klasma.github.io/Logging_0480/artfynd/A 64594-2019 artfynd.xlsx", "A 64594-2019")</f>
        <v/>
      </c>
      <c r="T38">
        <f>HYPERLINK("https://klasma.github.io/Logging_0480/kartor/A 64594-2019 karta.png", "A 64594-2019")</f>
        <v/>
      </c>
      <c r="V38">
        <f>HYPERLINK("https://klasma.github.io/Logging_0480/klagomål/A 64594-2019 FSC-klagomål.docx", "A 64594-2019")</f>
        <v/>
      </c>
      <c r="W38">
        <f>HYPERLINK("https://klasma.github.io/Logging_0480/klagomålsmail/A 64594-2019 FSC-klagomål mail.docx", "A 64594-2019")</f>
        <v/>
      </c>
      <c r="X38">
        <f>HYPERLINK("https://klasma.github.io/Logging_0480/tillsyn/A 64594-2019 tillsynsbegäran.docx", "A 64594-2019")</f>
        <v/>
      </c>
      <c r="Y38">
        <f>HYPERLINK("https://klasma.github.io/Logging_0480/tillsynsmail/A 64594-2019 tillsynsbegäran mail.docx", "A 64594-2019")</f>
        <v/>
      </c>
      <c r="Z38">
        <f>HYPERLINK("https://klasma.github.io/Logging_0480/fåglar/A 64594-2019 prioriterade fågelarter.docx", "A 64594-2019")</f>
        <v/>
      </c>
    </row>
    <row r="39" ht="15" customHeight="1">
      <c r="A39" t="inlineStr">
        <is>
          <t>A 1892-2020</t>
        </is>
      </c>
      <c r="B39" s="1" t="n">
        <v>43845</v>
      </c>
      <c r="C39" s="1" t="n">
        <v>45785</v>
      </c>
      <c r="D39" t="inlineStr">
        <is>
          <t>SÖDERMANLANDS LÄN</t>
        </is>
      </c>
      <c r="E39" t="inlineStr">
        <is>
          <t>NYKÖPING</t>
        </is>
      </c>
      <c r="G39" t="n">
        <v>9.199999999999999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Grovticka
Vågbandad barkbock</t>
        </is>
      </c>
      <c r="S39">
        <f>HYPERLINK("https://klasma.github.io/Logging_0480/artfynd/A 1892-2020 artfynd.xlsx", "A 1892-2020")</f>
        <v/>
      </c>
      <c r="T39">
        <f>HYPERLINK("https://klasma.github.io/Logging_0480/kartor/A 1892-2020 karta.png", "A 1892-2020")</f>
        <v/>
      </c>
      <c r="V39">
        <f>HYPERLINK("https://klasma.github.io/Logging_0480/klagomål/A 1892-2020 FSC-klagomål.docx", "A 1892-2020")</f>
        <v/>
      </c>
      <c r="W39">
        <f>HYPERLINK("https://klasma.github.io/Logging_0480/klagomålsmail/A 1892-2020 FSC-klagomål mail.docx", "A 1892-2020")</f>
        <v/>
      </c>
      <c r="X39">
        <f>HYPERLINK("https://klasma.github.io/Logging_0480/tillsyn/A 1892-2020 tillsynsbegäran.docx", "A 1892-2020")</f>
        <v/>
      </c>
      <c r="Y39">
        <f>HYPERLINK("https://klasma.github.io/Logging_0480/tillsynsmail/A 1892-2020 tillsynsbegäran mail.docx", "A 1892-2020")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45785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Gröngöling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55963-2021</t>
        </is>
      </c>
      <c r="B41" s="1" t="n">
        <v>44476</v>
      </c>
      <c r="C41" s="1" t="n">
        <v>45785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Skogsklocka
Svinrot
Fläcknycklar</t>
        </is>
      </c>
      <c r="S41">
        <f>HYPERLINK("https://klasma.github.io/Logging_0480/artfynd/A 55963-2021 artfynd.xlsx", "A 55963-2021")</f>
        <v/>
      </c>
      <c r="T41">
        <f>HYPERLINK("https://klasma.github.io/Logging_0480/kartor/A 55963-2021 karta.png", "A 55963-2021")</f>
        <v/>
      </c>
      <c r="V41">
        <f>HYPERLINK("https://klasma.github.io/Logging_0480/klagomål/A 55963-2021 FSC-klagomål.docx", "A 55963-2021")</f>
        <v/>
      </c>
      <c r="W41">
        <f>HYPERLINK("https://klasma.github.io/Logging_0480/klagomålsmail/A 55963-2021 FSC-klagomål mail.docx", "A 55963-2021")</f>
        <v/>
      </c>
      <c r="X41">
        <f>HYPERLINK("https://klasma.github.io/Logging_0480/tillsyn/A 55963-2021 tillsynsbegäran.docx", "A 55963-2021")</f>
        <v/>
      </c>
      <c r="Y41">
        <f>HYPERLINK("https://klasma.github.io/Logging_0480/tillsynsmail/A 55963-2021 tillsynsbegäran mail.docx", "A 55963-2021")</f>
        <v/>
      </c>
    </row>
    <row r="42" ht="15" customHeight="1">
      <c r="A42" t="inlineStr">
        <is>
          <t>A 5532-2023</t>
        </is>
      </c>
      <c r="B42" s="1" t="n">
        <v>44960</v>
      </c>
      <c r="C42" s="1" t="n">
        <v>45785</v>
      </c>
      <c r="D42" t="inlineStr">
        <is>
          <t>SÖDERMANLANDS LÄN</t>
        </is>
      </c>
      <c r="E42" t="inlineStr">
        <is>
          <t>NYKÖPING</t>
        </is>
      </c>
      <c r="G42" t="n">
        <v>4.8</v>
      </c>
      <c r="H42" t="n">
        <v>3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Skogsknipprot
Åkergroda</t>
        </is>
      </c>
      <c r="S42">
        <f>HYPERLINK("https://klasma.github.io/Logging_0480/artfynd/A 5532-2023 artfynd.xlsx", "A 5532-2023")</f>
        <v/>
      </c>
      <c r="T42">
        <f>HYPERLINK("https://klasma.github.io/Logging_0480/kartor/A 5532-2023 karta.png", "A 5532-2023")</f>
        <v/>
      </c>
      <c r="V42">
        <f>HYPERLINK("https://klasma.github.io/Logging_0480/klagomål/A 5532-2023 FSC-klagomål.docx", "A 5532-2023")</f>
        <v/>
      </c>
      <c r="W42">
        <f>HYPERLINK("https://klasma.github.io/Logging_0480/klagomålsmail/A 5532-2023 FSC-klagomål mail.docx", "A 5532-2023")</f>
        <v/>
      </c>
      <c r="X42">
        <f>HYPERLINK("https://klasma.github.io/Logging_0480/tillsyn/A 5532-2023 tillsynsbegäran.docx", "A 5532-2023")</f>
        <v/>
      </c>
      <c r="Y42">
        <f>HYPERLINK("https://klasma.github.io/Logging_0480/tillsynsmail/A 5532-2023 tillsynsbegäran mail.docx", "A 5532-2023")</f>
        <v/>
      </c>
      <c r="Z42">
        <f>HYPERLINK("https://klasma.github.io/Logging_0480/fåglar/A 5532-2023 prioriterade fågelarter.docx", "A 5532-2023")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45785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Grönvit nattviol
Blåsippa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5858-2024</t>
        </is>
      </c>
      <c r="B44" s="1" t="n">
        <v>45335</v>
      </c>
      <c r="C44" s="1" t="n">
        <v>45785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Kopparödla
Fläcknycklar
Mattlummer</t>
        </is>
      </c>
      <c r="S44">
        <f>HYPERLINK("https://klasma.github.io/Logging_0480/artfynd/A 5858-2024 artfynd.xlsx", "A 5858-2024")</f>
        <v/>
      </c>
      <c r="T44">
        <f>HYPERLINK("https://klasma.github.io/Logging_0480/kartor/A 5858-2024 karta.png", "A 5858-2024")</f>
        <v/>
      </c>
      <c r="V44">
        <f>HYPERLINK("https://klasma.github.io/Logging_0480/klagomål/A 5858-2024 FSC-klagomål.docx", "A 5858-2024")</f>
        <v/>
      </c>
      <c r="W44">
        <f>HYPERLINK("https://klasma.github.io/Logging_0480/klagomålsmail/A 5858-2024 FSC-klagomål mail.docx", "A 5858-2024")</f>
        <v/>
      </c>
      <c r="X44">
        <f>HYPERLINK("https://klasma.github.io/Logging_0480/tillsyn/A 5858-2024 tillsynsbegäran.docx", "A 5858-2024")</f>
        <v/>
      </c>
      <c r="Y44">
        <f>HYPERLINK("https://klasma.github.io/Logging_0480/tillsynsmail/A 5858-2024 tillsynsbegäran mail.docx", "A 5858-2024")</f>
        <v/>
      </c>
    </row>
    <row r="45" ht="15" customHeight="1">
      <c r="A45" t="inlineStr">
        <is>
          <t>A 5855-2024</t>
        </is>
      </c>
      <c r="B45" s="1" t="n">
        <v>45335</v>
      </c>
      <c r="C45" s="1" t="n">
        <v>45785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3.3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vattensalamander
Fläcknycklar
Revlummer</t>
        </is>
      </c>
      <c r="S45">
        <f>HYPERLINK("https://klasma.github.io/Logging_0480/artfynd/A 5855-2024 artfynd.xlsx", "A 5855-2024")</f>
        <v/>
      </c>
      <c r="T45">
        <f>HYPERLINK("https://klasma.github.io/Logging_0480/kartor/A 5855-2024 karta.png", "A 5855-2024")</f>
        <v/>
      </c>
      <c r="V45">
        <f>HYPERLINK("https://klasma.github.io/Logging_0480/klagomål/A 5855-2024 FSC-klagomål.docx", "A 5855-2024")</f>
        <v/>
      </c>
      <c r="W45">
        <f>HYPERLINK("https://klasma.github.io/Logging_0480/klagomålsmail/A 5855-2024 FSC-klagomål mail.docx", "A 5855-2024")</f>
        <v/>
      </c>
      <c r="X45">
        <f>HYPERLINK("https://klasma.github.io/Logging_0480/tillsyn/A 5855-2024 tillsynsbegäran.docx", "A 5855-2024")</f>
        <v/>
      </c>
      <c r="Y45">
        <f>HYPERLINK("https://klasma.github.io/Logging_0480/tillsynsmail/A 5855-2024 tillsynsbegäran mail.docx", "A 5855-2024")</f>
        <v/>
      </c>
    </row>
    <row r="46" ht="15" customHeight="1">
      <c r="A46" t="inlineStr">
        <is>
          <t>A 22809-2024</t>
        </is>
      </c>
      <c r="B46" s="1" t="n">
        <v>45448</v>
      </c>
      <c r="C46" s="1" t="n">
        <v>45785</v>
      </c>
      <c r="D46" t="inlineStr">
        <is>
          <t>SÖDERMANLANDS LÄN</t>
        </is>
      </c>
      <c r="E46" t="inlineStr">
        <is>
          <t>NYKÖPING</t>
        </is>
      </c>
      <c r="G46" t="n">
        <v>3.7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Fjällig taggsvamp s.str.
Zontaggsvamp</t>
        </is>
      </c>
      <c r="S46">
        <f>HYPERLINK("https://klasma.github.io/Logging_0480/artfynd/A 22809-2024 artfynd.xlsx", "A 22809-2024")</f>
        <v/>
      </c>
      <c r="T46">
        <f>HYPERLINK("https://klasma.github.io/Logging_0480/kartor/A 22809-2024 karta.png", "A 22809-2024")</f>
        <v/>
      </c>
      <c r="V46">
        <f>HYPERLINK("https://klasma.github.io/Logging_0480/klagomål/A 22809-2024 FSC-klagomål.docx", "A 22809-2024")</f>
        <v/>
      </c>
      <c r="W46">
        <f>HYPERLINK("https://klasma.github.io/Logging_0480/klagomålsmail/A 22809-2024 FSC-klagomål mail.docx", "A 22809-2024")</f>
        <v/>
      </c>
      <c r="X46">
        <f>HYPERLINK("https://klasma.github.io/Logging_0480/tillsyn/A 22809-2024 tillsynsbegäran.docx", "A 22809-2024")</f>
        <v/>
      </c>
      <c r="Y46">
        <f>HYPERLINK("https://klasma.github.io/Logging_0480/tillsynsmail/A 22809-2024 tillsynsbegäran mail.docx", "A 22809-2024")</f>
        <v/>
      </c>
      <c r="Z46">
        <f>HYPERLINK("https://klasma.github.io/Logging_0480/fåglar/A 22809-2024 prioriterade fågelarter.docx", "A 22809-2024")</f>
        <v/>
      </c>
    </row>
    <row r="47" ht="15" customHeight="1">
      <c r="A47" t="inlineStr">
        <is>
          <t>A 36034-2024</t>
        </is>
      </c>
      <c r="B47" s="1" t="n">
        <v>45533</v>
      </c>
      <c r="C47" s="1" t="n">
        <v>45785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7.5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Spillkråka
Blåmossa</t>
        </is>
      </c>
      <c r="S47">
        <f>HYPERLINK("https://klasma.github.io/Logging_0480/artfynd/A 36034-2024 artfynd.xlsx", "A 36034-2024")</f>
        <v/>
      </c>
      <c r="T47">
        <f>HYPERLINK("https://klasma.github.io/Logging_0480/kartor/A 36034-2024 karta.png", "A 36034-2024")</f>
        <v/>
      </c>
      <c r="V47">
        <f>HYPERLINK("https://klasma.github.io/Logging_0480/klagomål/A 36034-2024 FSC-klagomål.docx", "A 36034-2024")</f>
        <v/>
      </c>
      <c r="W47">
        <f>HYPERLINK("https://klasma.github.io/Logging_0480/klagomålsmail/A 36034-2024 FSC-klagomål mail.docx", "A 36034-2024")</f>
        <v/>
      </c>
      <c r="X47">
        <f>HYPERLINK("https://klasma.github.io/Logging_0480/tillsyn/A 36034-2024 tillsynsbegäran.docx", "A 36034-2024")</f>
        <v/>
      </c>
      <c r="Y47">
        <f>HYPERLINK("https://klasma.github.io/Logging_0480/tillsynsmail/A 36034-2024 tillsynsbegäran mail.docx", "A 36034-2024")</f>
        <v/>
      </c>
      <c r="Z47">
        <f>HYPERLINK("https://klasma.github.io/Logging_0480/fåglar/A 36034-2024 prioriterade fågelarter.docx", "A 36034-2024")</f>
        <v/>
      </c>
    </row>
    <row r="48" ht="15" customHeight="1">
      <c r="A48" t="inlineStr">
        <is>
          <t>A 37405-2024</t>
        </is>
      </c>
      <c r="B48" s="1" t="n">
        <v>45540</v>
      </c>
      <c r="C48" s="1" t="n">
        <v>45785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Flagellkvastmossa</t>
        </is>
      </c>
      <c r="S48">
        <f>HYPERLINK("https://klasma.github.io/Logging_0480/artfynd/A 37405-2024 artfynd.xlsx", "A 37405-2024")</f>
        <v/>
      </c>
      <c r="T48">
        <f>HYPERLINK("https://klasma.github.io/Logging_0480/kartor/A 37405-2024 karta.png", "A 37405-2024")</f>
        <v/>
      </c>
      <c r="V48">
        <f>HYPERLINK("https://klasma.github.io/Logging_0480/klagomål/A 37405-2024 FSC-klagomål.docx", "A 37405-2024")</f>
        <v/>
      </c>
      <c r="W48">
        <f>HYPERLINK("https://klasma.github.io/Logging_0480/klagomålsmail/A 37405-2024 FSC-klagomål mail.docx", "A 37405-2024")</f>
        <v/>
      </c>
      <c r="X48">
        <f>HYPERLINK("https://klasma.github.io/Logging_0480/tillsyn/A 37405-2024 tillsynsbegäran.docx", "A 37405-2024")</f>
        <v/>
      </c>
      <c r="Y48">
        <f>HYPERLINK("https://klasma.github.io/Logging_0480/tillsynsmail/A 37405-2024 tillsynsbegäran mail.docx", "A 37405-2024")</f>
        <v/>
      </c>
    </row>
    <row r="49" ht="15" customHeight="1">
      <c r="A49" t="inlineStr">
        <is>
          <t>A 40489-2024</t>
        </is>
      </c>
      <c r="B49" s="1" t="n">
        <v>45555</v>
      </c>
      <c r="C49" s="1" t="n">
        <v>45785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0.8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Svart taggsvamp
Flagellkvastmossa
Grönpyrola</t>
        </is>
      </c>
      <c r="S49">
        <f>HYPERLINK("https://klasma.github.io/Logging_0480/artfynd/A 40489-2024 artfynd.xlsx", "A 40489-2024")</f>
        <v/>
      </c>
      <c r="T49">
        <f>HYPERLINK("https://klasma.github.io/Logging_0480/kartor/A 40489-2024 karta.png", "A 40489-2024")</f>
        <v/>
      </c>
      <c r="V49">
        <f>HYPERLINK("https://klasma.github.io/Logging_0480/klagomål/A 40489-2024 FSC-klagomål.docx", "A 40489-2024")</f>
        <v/>
      </c>
      <c r="W49">
        <f>HYPERLINK("https://klasma.github.io/Logging_0480/klagomålsmail/A 40489-2024 FSC-klagomål mail.docx", "A 40489-2024")</f>
        <v/>
      </c>
      <c r="X49">
        <f>HYPERLINK("https://klasma.github.io/Logging_0480/tillsyn/A 40489-2024 tillsynsbegäran.docx", "A 40489-2024")</f>
        <v/>
      </c>
      <c r="Y49">
        <f>HYPERLINK("https://klasma.github.io/Logging_0480/tillsynsmail/A 40489-2024 tillsynsbegäran mail.docx", "A 40489-2024")</f>
        <v/>
      </c>
    </row>
    <row r="50" ht="15" customHeight="1">
      <c r="A50" t="inlineStr">
        <is>
          <t>A 51246-2024</t>
        </is>
      </c>
      <c r="B50" s="1" t="n">
        <v>45603</v>
      </c>
      <c r="C50" s="1" t="n">
        <v>45785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Ask
Motaggsvamp
Fläcknycklar</t>
        </is>
      </c>
      <c r="S50">
        <f>HYPERLINK("https://klasma.github.io/Logging_0480/artfynd/A 51246-2024 artfynd.xlsx", "A 51246-2024")</f>
        <v/>
      </c>
      <c r="T50">
        <f>HYPERLINK("https://klasma.github.io/Logging_0480/kartor/A 51246-2024 karta.png", "A 51246-2024")</f>
        <v/>
      </c>
      <c r="V50">
        <f>HYPERLINK("https://klasma.github.io/Logging_0480/klagomål/A 51246-2024 FSC-klagomål.docx", "A 51246-2024")</f>
        <v/>
      </c>
      <c r="W50">
        <f>HYPERLINK("https://klasma.github.io/Logging_0480/klagomålsmail/A 51246-2024 FSC-klagomål mail.docx", "A 51246-2024")</f>
        <v/>
      </c>
      <c r="X50">
        <f>HYPERLINK("https://klasma.github.io/Logging_0480/tillsyn/A 51246-2024 tillsynsbegäran.docx", "A 51246-2024")</f>
        <v/>
      </c>
      <c r="Y50">
        <f>HYPERLINK("https://klasma.github.io/Logging_0480/tillsynsmail/A 51246-2024 tillsynsbegäran mail.docx", "A 51246-2024")</f>
        <v/>
      </c>
    </row>
    <row r="51" ht="15" customHeight="1">
      <c r="A51" t="inlineStr">
        <is>
          <t>A 61318-2024</t>
        </is>
      </c>
      <c r="B51" s="1" t="n">
        <v>45646</v>
      </c>
      <c r="C51" s="1" t="n">
        <v>45785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6.1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Dvärgbägarlav
Blåmossa
Flagellkvastmossa</t>
        </is>
      </c>
      <c r="S51">
        <f>HYPERLINK("https://klasma.github.io/Logging_0480/artfynd/A 61318-2024 artfynd.xlsx", "A 61318-2024")</f>
        <v/>
      </c>
      <c r="T51">
        <f>HYPERLINK("https://klasma.github.io/Logging_0480/kartor/A 61318-2024 karta.png", "A 61318-2024")</f>
        <v/>
      </c>
      <c r="V51">
        <f>HYPERLINK("https://klasma.github.io/Logging_0480/klagomål/A 61318-2024 FSC-klagomål.docx", "A 61318-2024")</f>
        <v/>
      </c>
      <c r="W51">
        <f>HYPERLINK("https://klasma.github.io/Logging_0480/klagomålsmail/A 61318-2024 FSC-klagomål mail.docx", "A 61318-2024")</f>
        <v/>
      </c>
      <c r="X51">
        <f>HYPERLINK("https://klasma.github.io/Logging_0480/tillsyn/A 61318-2024 tillsynsbegäran.docx", "A 61318-2024")</f>
        <v/>
      </c>
      <c r="Y51">
        <f>HYPERLINK("https://klasma.github.io/Logging_0480/tillsynsmail/A 61318-2024 tillsynsbegäran mail.docx", "A 61318-2024")</f>
        <v/>
      </c>
    </row>
    <row r="52" ht="15" customHeight="1">
      <c r="A52" t="inlineStr">
        <is>
          <t>A 28642-2019</t>
        </is>
      </c>
      <c r="B52" s="1" t="n">
        <v>43614</v>
      </c>
      <c r="C52" s="1" t="n">
        <v>45785</v>
      </c>
      <c r="D52" t="inlineStr">
        <is>
          <t>SÖDERMANLANDS LÄN</t>
        </is>
      </c>
      <c r="E52" t="inlineStr">
        <is>
          <t>NYKÖPING</t>
        </is>
      </c>
      <c r="G52" t="n">
        <v>17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Bombmurkla
Granticka</t>
        </is>
      </c>
      <c r="S52">
        <f>HYPERLINK("https://klasma.github.io/Logging_0480/artfynd/A 28642-2019 artfynd.xlsx", "A 28642-2019")</f>
        <v/>
      </c>
      <c r="T52">
        <f>HYPERLINK("https://klasma.github.io/Logging_0480/kartor/A 28642-2019 karta.png", "A 28642-2019")</f>
        <v/>
      </c>
      <c r="V52">
        <f>HYPERLINK("https://klasma.github.io/Logging_0480/klagomål/A 28642-2019 FSC-klagomål.docx", "A 28642-2019")</f>
        <v/>
      </c>
      <c r="W52">
        <f>HYPERLINK("https://klasma.github.io/Logging_0480/klagomålsmail/A 28642-2019 FSC-klagomål mail.docx", "A 28642-2019")</f>
        <v/>
      </c>
      <c r="X52">
        <f>HYPERLINK("https://klasma.github.io/Logging_0480/tillsyn/A 28642-2019 tillsynsbegäran.docx", "A 28642-2019")</f>
        <v/>
      </c>
      <c r="Y52">
        <f>HYPERLINK("https://klasma.github.io/Logging_0480/tillsynsmail/A 28642-2019 tillsynsbegäran mail.docx", "A 28642-2019")</f>
        <v/>
      </c>
    </row>
    <row r="53" ht="15" customHeight="1">
      <c r="A53" t="inlineStr">
        <is>
          <t>A 42501-2019</t>
        </is>
      </c>
      <c r="B53" s="1" t="n">
        <v>43704</v>
      </c>
      <c r="C53" s="1" t="n">
        <v>45785</v>
      </c>
      <c r="D53" t="inlineStr">
        <is>
          <t>SÖDERMANLANDS LÄN</t>
        </is>
      </c>
      <c r="E53" t="inlineStr">
        <is>
          <t>NYKÖPING</t>
        </is>
      </c>
      <c r="G53" t="n">
        <v>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Entita
Talltita</t>
        </is>
      </c>
      <c r="S53">
        <f>HYPERLINK("https://klasma.github.io/Logging_0480/artfynd/A 42501-2019 artfynd.xlsx", "A 42501-2019")</f>
        <v/>
      </c>
      <c r="T53">
        <f>HYPERLINK("https://klasma.github.io/Logging_0480/kartor/A 42501-2019 karta.png", "A 42501-2019")</f>
        <v/>
      </c>
      <c r="V53">
        <f>HYPERLINK("https://klasma.github.io/Logging_0480/klagomål/A 42501-2019 FSC-klagomål.docx", "A 42501-2019")</f>
        <v/>
      </c>
      <c r="W53">
        <f>HYPERLINK("https://klasma.github.io/Logging_0480/klagomålsmail/A 42501-2019 FSC-klagomål mail.docx", "A 42501-2019")</f>
        <v/>
      </c>
      <c r="X53">
        <f>HYPERLINK("https://klasma.github.io/Logging_0480/tillsyn/A 42501-2019 tillsynsbegäran.docx", "A 42501-2019")</f>
        <v/>
      </c>
      <c r="Y53">
        <f>HYPERLINK("https://klasma.github.io/Logging_0480/tillsynsmail/A 42501-2019 tillsynsbegäran mail.docx", "A 42501-2019")</f>
        <v/>
      </c>
      <c r="Z53">
        <f>HYPERLINK("https://klasma.github.io/Logging_0480/fåglar/A 42501-2019 prioriterade fågelarter.docx", "A 42501-2019")</f>
        <v/>
      </c>
    </row>
    <row r="54" ht="15" customHeight="1">
      <c r="A54" t="inlineStr">
        <is>
          <t>A 59598-2019</t>
        </is>
      </c>
      <c r="B54" s="1" t="n">
        <v>43776</v>
      </c>
      <c r="C54" s="1" t="n">
        <v>45785</v>
      </c>
      <c r="D54" t="inlineStr">
        <is>
          <t>SÖDERMANLANDS LÄN</t>
        </is>
      </c>
      <c r="E54" t="inlineStr">
        <is>
          <t>NYKÖPING</t>
        </is>
      </c>
      <c r="G54" t="n">
        <v>5.5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Mindre bastardsvärmare</t>
        </is>
      </c>
      <c r="S54">
        <f>HYPERLINK("https://klasma.github.io/Logging_0480/artfynd/A 59598-2019 artfynd.xlsx", "A 59598-2019")</f>
        <v/>
      </c>
      <c r="T54">
        <f>HYPERLINK("https://klasma.github.io/Logging_0480/kartor/A 59598-2019 karta.png", "A 59598-2019")</f>
        <v/>
      </c>
      <c r="V54">
        <f>HYPERLINK("https://klasma.github.io/Logging_0480/klagomål/A 59598-2019 FSC-klagomål.docx", "A 59598-2019")</f>
        <v/>
      </c>
      <c r="W54">
        <f>HYPERLINK("https://klasma.github.io/Logging_0480/klagomålsmail/A 59598-2019 FSC-klagomål mail.docx", "A 59598-2019")</f>
        <v/>
      </c>
      <c r="X54">
        <f>HYPERLINK("https://klasma.github.io/Logging_0480/tillsyn/A 59598-2019 tillsynsbegäran.docx", "A 59598-2019")</f>
        <v/>
      </c>
      <c r="Y54">
        <f>HYPERLINK("https://klasma.github.io/Logging_0480/tillsynsmail/A 59598-2019 tillsynsbegäran mail.docx", "A 59598-2019")</f>
        <v/>
      </c>
    </row>
    <row r="55" ht="15" customHeight="1">
      <c r="A55" t="inlineStr">
        <is>
          <t>A 64948-2019</t>
        </is>
      </c>
      <c r="B55" s="1" t="n">
        <v>43801</v>
      </c>
      <c r="C55" s="1" t="n">
        <v>45785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17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Aspfjädermossa</t>
        </is>
      </c>
      <c r="S55">
        <f>HYPERLINK("https://klasma.github.io/Logging_0480/artfynd/A 64948-2019 artfynd.xlsx", "A 64948-2019")</f>
        <v/>
      </c>
      <c r="T55">
        <f>HYPERLINK("https://klasma.github.io/Logging_0480/kartor/A 64948-2019 karta.png", "A 64948-2019")</f>
        <v/>
      </c>
      <c r="V55">
        <f>HYPERLINK("https://klasma.github.io/Logging_0480/klagomål/A 64948-2019 FSC-klagomål.docx", "A 64948-2019")</f>
        <v/>
      </c>
      <c r="W55">
        <f>HYPERLINK("https://klasma.github.io/Logging_0480/klagomålsmail/A 64948-2019 FSC-klagomål mail.docx", "A 64948-2019")</f>
        <v/>
      </c>
      <c r="X55">
        <f>HYPERLINK("https://klasma.github.io/Logging_0480/tillsyn/A 64948-2019 tillsynsbegäran.docx", "A 64948-2019")</f>
        <v/>
      </c>
      <c r="Y55">
        <f>HYPERLINK("https://klasma.github.io/Logging_0480/tillsynsmail/A 64948-2019 tillsynsbegäran mail.docx", "A 64948-2019")</f>
        <v/>
      </c>
    </row>
    <row r="56" ht="15" customHeight="1">
      <c r="A56" t="inlineStr">
        <is>
          <t>A 68920-2020</t>
        </is>
      </c>
      <c r="B56" s="1" t="n">
        <v>44187</v>
      </c>
      <c r="C56" s="1" t="n">
        <v>45785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Ängsskära</t>
        </is>
      </c>
      <c r="S56">
        <f>HYPERLINK("https://klasma.github.io/Logging_0480/artfynd/A 68920-2020 artfynd.xlsx", "A 68920-2020")</f>
        <v/>
      </c>
      <c r="T56">
        <f>HYPERLINK("https://klasma.github.io/Logging_0480/kartor/A 68920-2020 karta.png", "A 68920-2020")</f>
        <v/>
      </c>
      <c r="V56">
        <f>HYPERLINK("https://klasma.github.io/Logging_0480/klagomål/A 68920-2020 FSC-klagomål.docx", "A 68920-2020")</f>
        <v/>
      </c>
      <c r="W56">
        <f>HYPERLINK("https://klasma.github.io/Logging_0480/klagomålsmail/A 68920-2020 FSC-klagomål mail.docx", "A 68920-2020")</f>
        <v/>
      </c>
      <c r="X56">
        <f>HYPERLINK("https://klasma.github.io/Logging_0480/tillsyn/A 68920-2020 tillsynsbegäran.docx", "A 68920-2020")</f>
        <v/>
      </c>
      <c r="Y56">
        <f>HYPERLINK("https://klasma.github.io/Logging_0480/tillsynsmail/A 68920-2020 tillsynsbegäran mail.docx", "A 68920-2020")</f>
        <v/>
      </c>
    </row>
    <row r="57" ht="15" customHeight="1">
      <c r="A57" t="inlineStr">
        <is>
          <t>A 9101-2021</t>
        </is>
      </c>
      <c r="B57" s="1" t="n">
        <v>44249</v>
      </c>
      <c r="C57" s="1" t="n">
        <v>45785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Aspvedgnagare
Barkticka</t>
        </is>
      </c>
      <c r="S57">
        <f>HYPERLINK("https://klasma.github.io/Logging_0480/artfynd/A 9101-2021 artfynd.xlsx", "A 9101-2021")</f>
        <v/>
      </c>
      <c r="T57">
        <f>HYPERLINK("https://klasma.github.io/Logging_0480/kartor/A 9101-2021 karta.png", "A 9101-2021")</f>
        <v/>
      </c>
      <c r="V57">
        <f>HYPERLINK("https://klasma.github.io/Logging_0480/klagomål/A 9101-2021 FSC-klagomål.docx", "A 9101-2021")</f>
        <v/>
      </c>
      <c r="W57">
        <f>HYPERLINK("https://klasma.github.io/Logging_0480/klagomålsmail/A 9101-2021 FSC-klagomål mail.docx", "A 9101-2021")</f>
        <v/>
      </c>
      <c r="X57">
        <f>HYPERLINK("https://klasma.github.io/Logging_0480/tillsyn/A 9101-2021 tillsynsbegäran.docx", "A 9101-2021")</f>
        <v/>
      </c>
      <c r="Y57">
        <f>HYPERLINK("https://klasma.github.io/Logging_0480/tillsynsmail/A 9101-2021 tillsynsbegäran mail.docx", "A 9101-2021")</f>
        <v/>
      </c>
    </row>
    <row r="58" ht="15" customHeight="1">
      <c r="A58" t="inlineStr">
        <is>
          <t>A 11354-2021</t>
        </is>
      </c>
      <c r="B58" s="1" t="n">
        <v>44263</v>
      </c>
      <c r="C58" s="1" t="n">
        <v>45785</v>
      </c>
      <c r="D58" t="inlineStr">
        <is>
          <t>SÖDERMANLANDS LÄN</t>
        </is>
      </c>
      <c r="E58" t="inlineStr">
        <is>
          <t>NYKÖPING</t>
        </is>
      </c>
      <c r="G58" t="n">
        <v>4.2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Mellanlummer
Revlummer</t>
        </is>
      </c>
      <c r="S58">
        <f>HYPERLINK("https://klasma.github.io/Logging_0480/artfynd/A 11354-2021 artfynd.xlsx", "A 11354-2021")</f>
        <v/>
      </c>
      <c r="T58">
        <f>HYPERLINK("https://klasma.github.io/Logging_0480/kartor/A 11354-2021 karta.png", "A 11354-2021")</f>
        <v/>
      </c>
      <c r="V58">
        <f>HYPERLINK("https://klasma.github.io/Logging_0480/klagomål/A 11354-2021 FSC-klagomål.docx", "A 11354-2021")</f>
        <v/>
      </c>
      <c r="W58">
        <f>HYPERLINK("https://klasma.github.io/Logging_0480/klagomålsmail/A 11354-2021 FSC-klagomål mail.docx", "A 11354-2021")</f>
        <v/>
      </c>
      <c r="X58">
        <f>HYPERLINK("https://klasma.github.io/Logging_0480/tillsyn/A 11354-2021 tillsynsbegäran.docx", "A 11354-2021")</f>
        <v/>
      </c>
      <c r="Y58">
        <f>HYPERLINK("https://klasma.github.io/Logging_0480/tillsynsmail/A 11354-2021 tillsynsbegäran mail.docx", "A 11354-2021")</f>
        <v/>
      </c>
    </row>
    <row r="59" ht="15" customHeight="1">
      <c r="A59" t="inlineStr">
        <is>
          <t>A 12952-2021</t>
        </is>
      </c>
      <c r="B59" s="1" t="n">
        <v>44271</v>
      </c>
      <c r="C59" s="1" t="n">
        <v>45785</v>
      </c>
      <c r="D59" t="inlineStr">
        <is>
          <t>SÖDERMANLANDS LÄN</t>
        </is>
      </c>
      <c r="E59" t="inlineStr">
        <is>
          <t>NYKÖPING</t>
        </is>
      </c>
      <c r="G59" t="n">
        <v>3.6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Trubbdaggkåpa
Strutbräken</t>
        </is>
      </c>
      <c r="S59">
        <f>HYPERLINK("https://klasma.github.io/Logging_0480/artfynd/A 12952-2021 artfynd.xlsx", "A 12952-2021")</f>
        <v/>
      </c>
      <c r="T59">
        <f>HYPERLINK("https://klasma.github.io/Logging_0480/kartor/A 12952-2021 karta.png", "A 12952-2021")</f>
        <v/>
      </c>
      <c r="V59">
        <f>HYPERLINK("https://klasma.github.io/Logging_0480/klagomål/A 12952-2021 FSC-klagomål.docx", "A 12952-2021")</f>
        <v/>
      </c>
      <c r="W59">
        <f>HYPERLINK("https://klasma.github.io/Logging_0480/klagomålsmail/A 12952-2021 FSC-klagomål mail.docx", "A 12952-2021")</f>
        <v/>
      </c>
      <c r="X59">
        <f>HYPERLINK("https://klasma.github.io/Logging_0480/tillsyn/A 12952-2021 tillsynsbegäran.docx", "A 12952-2021")</f>
        <v/>
      </c>
      <c r="Y59">
        <f>HYPERLINK("https://klasma.github.io/Logging_0480/tillsynsmail/A 12952-2021 tillsynsbegäran mail.docx", "A 12952-2021")</f>
        <v/>
      </c>
    </row>
    <row r="60" ht="15" customHeight="1">
      <c r="A60" t="inlineStr">
        <is>
          <t>A 26647-2021</t>
        </is>
      </c>
      <c r="B60" s="1" t="n">
        <v>44348</v>
      </c>
      <c r="C60" s="1" t="n">
        <v>45785</v>
      </c>
      <c r="D60" t="inlineStr">
        <is>
          <t>SÖDERMANLANDS LÄN</t>
        </is>
      </c>
      <c r="E60" t="inlineStr">
        <is>
          <t>NYKÖPING</t>
        </is>
      </c>
      <c r="G60" t="n">
        <v>2.2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Hornuggla
Stenfalk</t>
        </is>
      </c>
      <c r="S60">
        <f>HYPERLINK("https://klasma.github.io/Logging_0480/artfynd/A 26647-2021 artfynd.xlsx", "A 26647-2021")</f>
        <v/>
      </c>
      <c r="T60">
        <f>HYPERLINK("https://klasma.github.io/Logging_0480/kartor/A 26647-2021 karta.png", "A 26647-2021")</f>
        <v/>
      </c>
      <c r="V60">
        <f>HYPERLINK("https://klasma.github.io/Logging_0480/klagomål/A 26647-2021 FSC-klagomål.docx", "A 26647-2021")</f>
        <v/>
      </c>
      <c r="W60">
        <f>HYPERLINK("https://klasma.github.io/Logging_0480/klagomålsmail/A 26647-2021 FSC-klagomål mail.docx", "A 26647-2021")</f>
        <v/>
      </c>
      <c r="X60">
        <f>HYPERLINK("https://klasma.github.io/Logging_0480/tillsyn/A 26647-2021 tillsynsbegäran.docx", "A 26647-2021")</f>
        <v/>
      </c>
      <c r="Y60">
        <f>HYPERLINK("https://klasma.github.io/Logging_0480/tillsynsmail/A 26647-2021 tillsynsbegäran mail.docx", "A 26647-2021")</f>
        <v/>
      </c>
      <c r="Z60">
        <f>HYPERLINK("https://klasma.github.io/Logging_0480/fåglar/A 26647-2021 prioriterade fågelarter.docx", "A 26647-2021")</f>
        <v/>
      </c>
    </row>
    <row r="61" ht="15" customHeight="1">
      <c r="A61" t="inlineStr">
        <is>
          <t>A 30155-2021</t>
        </is>
      </c>
      <c r="B61" s="1" t="n">
        <v>44363</v>
      </c>
      <c r="C61" s="1" t="n">
        <v>45785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Havsörn
Spillkråka</t>
        </is>
      </c>
      <c r="S61">
        <f>HYPERLINK("https://klasma.github.io/Logging_0480/artfynd/A 30155-2021 artfynd.xlsx", "A 30155-2021")</f>
        <v/>
      </c>
      <c r="T61">
        <f>HYPERLINK("https://klasma.github.io/Logging_0480/kartor/A 30155-2021 karta.png", "A 30155-2021")</f>
        <v/>
      </c>
      <c r="V61">
        <f>HYPERLINK("https://klasma.github.io/Logging_0480/klagomål/A 30155-2021 FSC-klagomål.docx", "A 30155-2021")</f>
        <v/>
      </c>
      <c r="W61">
        <f>HYPERLINK("https://klasma.github.io/Logging_0480/klagomålsmail/A 30155-2021 FSC-klagomål mail.docx", "A 30155-2021")</f>
        <v/>
      </c>
      <c r="X61">
        <f>HYPERLINK("https://klasma.github.io/Logging_0480/tillsyn/A 30155-2021 tillsynsbegäran.docx", "A 30155-2021")</f>
        <v/>
      </c>
      <c r="Y61">
        <f>HYPERLINK("https://klasma.github.io/Logging_0480/tillsynsmail/A 30155-2021 tillsynsbegäran mail.docx", "A 30155-2021")</f>
        <v/>
      </c>
      <c r="Z61">
        <f>HYPERLINK("https://klasma.github.io/Logging_0480/fåglar/A 30155-2021 prioriterade fågelarter.docx", "A 30155-2021")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45785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38418-2021</t>
        </is>
      </c>
      <c r="B63" s="1" t="n">
        <v>44406</v>
      </c>
      <c r="C63" s="1" t="n">
        <v>45785</v>
      </c>
      <c r="D63" t="inlineStr">
        <is>
          <t>SÖDERMANLANDS LÄN</t>
        </is>
      </c>
      <c r="E63" t="inlineStr">
        <is>
          <t>NYKÖPING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Tibast
Blåsippa</t>
        </is>
      </c>
      <c r="S63">
        <f>HYPERLINK("https://klasma.github.io/Logging_0480/artfynd/A 38418-2021 artfynd.xlsx", "A 38418-2021")</f>
        <v/>
      </c>
      <c r="T63">
        <f>HYPERLINK("https://klasma.github.io/Logging_0480/kartor/A 38418-2021 karta.png", "A 38418-2021")</f>
        <v/>
      </c>
      <c r="V63">
        <f>HYPERLINK("https://klasma.github.io/Logging_0480/klagomål/A 38418-2021 FSC-klagomål.docx", "A 38418-2021")</f>
        <v/>
      </c>
      <c r="W63">
        <f>HYPERLINK("https://klasma.github.io/Logging_0480/klagomålsmail/A 38418-2021 FSC-klagomål mail.docx", "A 38418-2021")</f>
        <v/>
      </c>
      <c r="X63">
        <f>HYPERLINK("https://klasma.github.io/Logging_0480/tillsyn/A 38418-2021 tillsynsbegäran.docx", "A 38418-2021")</f>
        <v/>
      </c>
      <c r="Y63">
        <f>HYPERLINK("https://klasma.github.io/Logging_0480/tillsynsmail/A 38418-2021 tillsynsbegäran mail.docx", "A 38418-2021")</f>
        <v/>
      </c>
    </row>
    <row r="64" ht="15" customHeight="1">
      <c r="A64" t="inlineStr">
        <is>
          <t>A 51697-2021</t>
        </is>
      </c>
      <c r="B64" s="1" t="n">
        <v>44462</v>
      </c>
      <c r="C64" s="1" t="n">
        <v>45785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Fläcknycklar</t>
        </is>
      </c>
      <c r="S64">
        <f>HYPERLINK("https://klasma.github.io/Logging_0480/artfynd/A 51697-2021 artfynd.xlsx", "A 51697-2021")</f>
        <v/>
      </c>
      <c r="T64">
        <f>HYPERLINK("https://klasma.github.io/Logging_0480/kartor/A 51697-2021 karta.png", "A 51697-2021")</f>
        <v/>
      </c>
      <c r="V64">
        <f>HYPERLINK("https://klasma.github.io/Logging_0480/klagomål/A 51697-2021 FSC-klagomål.docx", "A 51697-2021")</f>
        <v/>
      </c>
      <c r="W64">
        <f>HYPERLINK("https://klasma.github.io/Logging_0480/klagomålsmail/A 51697-2021 FSC-klagomål mail.docx", "A 51697-2021")</f>
        <v/>
      </c>
      <c r="X64">
        <f>HYPERLINK("https://klasma.github.io/Logging_0480/tillsyn/A 51697-2021 tillsynsbegäran.docx", "A 51697-2021")</f>
        <v/>
      </c>
      <c r="Y64">
        <f>HYPERLINK("https://klasma.github.io/Logging_0480/tillsynsmail/A 51697-2021 tillsynsbegäran mail.docx", "A 51697-2021")</f>
        <v/>
      </c>
    </row>
    <row r="65" ht="15" customHeight="1">
      <c r="A65" t="inlineStr">
        <is>
          <t>A 51705-2021</t>
        </is>
      </c>
      <c r="B65" s="1" t="n">
        <v>44462</v>
      </c>
      <c r="C65" s="1" t="n">
        <v>45785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10.7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Blåsippa</t>
        </is>
      </c>
      <c r="S65">
        <f>HYPERLINK("https://klasma.github.io/Logging_0480/artfynd/A 51705-2021 artfynd.xlsx", "A 51705-2021")</f>
        <v/>
      </c>
      <c r="T65">
        <f>HYPERLINK("https://klasma.github.io/Logging_0480/kartor/A 51705-2021 karta.png", "A 51705-2021")</f>
        <v/>
      </c>
      <c r="V65">
        <f>HYPERLINK("https://klasma.github.io/Logging_0480/klagomål/A 51705-2021 FSC-klagomål.docx", "A 51705-2021")</f>
        <v/>
      </c>
      <c r="W65">
        <f>HYPERLINK("https://klasma.github.io/Logging_0480/klagomålsmail/A 51705-2021 FSC-klagomål mail.docx", "A 51705-2021")</f>
        <v/>
      </c>
      <c r="X65">
        <f>HYPERLINK("https://klasma.github.io/Logging_0480/tillsyn/A 51705-2021 tillsynsbegäran.docx", "A 51705-2021")</f>
        <v/>
      </c>
      <c r="Y65">
        <f>HYPERLINK("https://klasma.github.io/Logging_0480/tillsynsmail/A 51705-2021 tillsynsbegäran mail.docx", "A 51705-2021")</f>
        <v/>
      </c>
    </row>
    <row r="66" ht="15" customHeight="1">
      <c r="A66" t="inlineStr">
        <is>
          <t>A 54930-2021</t>
        </is>
      </c>
      <c r="B66" s="1" t="n">
        <v>44474</v>
      </c>
      <c r="C66" s="1" t="n">
        <v>45785</v>
      </c>
      <c r="D66" t="inlineStr">
        <is>
          <t>SÖDERMANLANDS LÄN</t>
        </is>
      </c>
      <c r="E66" t="inlineStr">
        <is>
          <t>NYKÖPING</t>
        </is>
      </c>
      <c r="G66" t="n">
        <v>3.4</v>
      </c>
      <c r="H66" t="n">
        <v>2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Bombmurkla
Knärot</t>
        </is>
      </c>
      <c r="S66">
        <f>HYPERLINK("https://klasma.github.io/Logging_0480/artfynd/A 54930-2021 artfynd.xlsx", "A 54930-2021")</f>
        <v/>
      </c>
      <c r="T66">
        <f>HYPERLINK("https://klasma.github.io/Logging_0480/kartor/A 54930-2021 karta.png", "A 54930-2021")</f>
        <v/>
      </c>
      <c r="U66">
        <f>HYPERLINK("https://klasma.github.io/Logging_0480/knärot/A 54930-2021 karta knärot.png", "A 54930-2021")</f>
        <v/>
      </c>
      <c r="V66">
        <f>HYPERLINK("https://klasma.github.io/Logging_0480/klagomål/A 54930-2021 FSC-klagomål.docx", "A 54930-2021")</f>
        <v/>
      </c>
      <c r="W66">
        <f>HYPERLINK("https://klasma.github.io/Logging_0480/klagomålsmail/A 54930-2021 FSC-klagomål mail.docx", "A 54930-2021")</f>
        <v/>
      </c>
      <c r="X66">
        <f>HYPERLINK("https://klasma.github.io/Logging_0480/tillsyn/A 54930-2021 tillsynsbegäran.docx", "A 54930-2021")</f>
        <v/>
      </c>
      <c r="Y66">
        <f>HYPERLINK("https://klasma.github.io/Logging_0480/tillsynsmail/A 54930-2021 tillsynsbegäran mail.docx", "A 54930-2021")</f>
        <v/>
      </c>
    </row>
    <row r="67" ht="15" customHeight="1">
      <c r="A67" t="inlineStr">
        <is>
          <t>A 56420-2021</t>
        </is>
      </c>
      <c r="B67" s="1" t="n">
        <v>44480</v>
      </c>
      <c r="C67" s="1" t="n">
        <v>45785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2.8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Björktrast
Kungsörn</t>
        </is>
      </c>
      <c r="S67">
        <f>HYPERLINK("https://klasma.github.io/Logging_0480/artfynd/A 56420-2021 artfynd.xlsx", "A 56420-2021")</f>
        <v/>
      </c>
      <c r="T67">
        <f>HYPERLINK("https://klasma.github.io/Logging_0480/kartor/A 56420-2021 karta.png", "A 56420-2021")</f>
        <v/>
      </c>
      <c r="V67">
        <f>HYPERLINK("https://klasma.github.io/Logging_0480/klagomål/A 56420-2021 FSC-klagomål.docx", "A 56420-2021")</f>
        <v/>
      </c>
      <c r="W67">
        <f>HYPERLINK("https://klasma.github.io/Logging_0480/klagomålsmail/A 56420-2021 FSC-klagomål mail.docx", "A 56420-2021")</f>
        <v/>
      </c>
      <c r="X67">
        <f>HYPERLINK("https://klasma.github.io/Logging_0480/tillsyn/A 56420-2021 tillsynsbegäran.docx", "A 56420-2021")</f>
        <v/>
      </c>
      <c r="Y67">
        <f>HYPERLINK("https://klasma.github.io/Logging_0480/tillsynsmail/A 56420-2021 tillsynsbegäran mail.docx", "A 56420-2021")</f>
        <v/>
      </c>
      <c r="Z67">
        <f>HYPERLINK("https://klasma.github.io/Logging_0480/fåglar/A 56420-2021 prioriterade fågelarter.docx", "A 56420-2021")</f>
        <v/>
      </c>
    </row>
    <row r="68" ht="15" customHeight="1">
      <c r="A68" t="inlineStr">
        <is>
          <t>A 11640-2022</t>
        </is>
      </c>
      <c r="B68" s="1" t="n">
        <v>44631</v>
      </c>
      <c r="C68" s="1" t="n">
        <v>45785</v>
      </c>
      <c r="D68" t="inlineStr">
        <is>
          <t>SÖDERMANLANDS LÄN</t>
        </is>
      </c>
      <c r="E68" t="inlineStr">
        <is>
          <t>NYKÖPING</t>
        </is>
      </c>
      <c r="F68" t="inlineStr">
        <is>
          <t>Kyrkan</t>
        </is>
      </c>
      <c r="G68" t="n">
        <v>7.6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Granbarkgnagare</t>
        </is>
      </c>
      <c r="S68">
        <f>HYPERLINK("https://klasma.github.io/Logging_0480/artfynd/A 11640-2022 artfynd.xlsx", "A 11640-2022")</f>
        <v/>
      </c>
      <c r="T68">
        <f>HYPERLINK("https://klasma.github.io/Logging_0480/kartor/A 11640-2022 karta.png", "A 11640-2022")</f>
        <v/>
      </c>
      <c r="V68">
        <f>HYPERLINK("https://klasma.github.io/Logging_0480/klagomål/A 11640-2022 FSC-klagomål.docx", "A 11640-2022")</f>
        <v/>
      </c>
      <c r="W68">
        <f>HYPERLINK("https://klasma.github.io/Logging_0480/klagomålsmail/A 11640-2022 FSC-klagomål mail.docx", "A 11640-2022")</f>
        <v/>
      </c>
      <c r="X68">
        <f>HYPERLINK("https://klasma.github.io/Logging_0480/tillsyn/A 11640-2022 tillsynsbegäran.docx", "A 11640-2022")</f>
        <v/>
      </c>
      <c r="Y68">
        <f>HYPERLINK("https://klasma.github.io/Logging_0480/tillsynsmail/A 11640-2022 tillsynsbegäran mail.docx", "A 11640-2022")</f>
        <v/>
      </c>
    </row>
    <row r="69" ht="15" customHeight="1">
      <c r="A69" t="inlineStr">
        <is>
          <t>A 12369-2022</t>
        </is>
      </c>
      <c r="B69" s="1" t="n">
        <v>44637</v>
      </c>
      <c r="C69" s="1" t="n">
        <v>45785</v>
      </c>
      <c r="D69" t="inlineStr">
        <is>
          <t>SÖDERMANLANDS LÄN</t>
        </is>
      </c>
      <c r="E69" t="inlineStr">
        <is>
          <t>NYKÖPING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Granbarkgnagare</t>
        </is>
      </c>
      <c r="S69">
        <f>HYPERLINK("https://klasma.github.io/Logging_0480/artfynd/A 12369-2022 artfynd.xlsx", "A 12369-2022")</f>
        <v/>
      </c>
      <c r="T69">
        <f>HYPERLINK("https://klasma.github.io/Logging_0480/kartor/A 12369-2022 karta.png", "A 12369-2022")</f>
        <v/>
      </c>
      <c r="V69">
        <f>HYPERLINK("https://klasma.github.io/Logging_0480/klagomål/A 12369-2022 FSC-klagomål.docx", "A 12369-2022")</f>
        <v/>
      </c>
      <c r="W69">
        <f>HYPERLINK("https://klasma.github.io/Logging_0480/klagomålsmail/A 12369-2022 FSC-klagomål mail.docx", "A 12369-2022")</f>
        <v/>
      </c>
      <c r="X69">
        <f>HYPERLINK("https://klasma.github.io/Logging_0480/tillsyn/A 12369-2022 tillsynsbegäran.docx", "A 12369-2022")</f>
        <v/>
      </c>
      <c r="Y69">
        <f>HYPERLINK("https://klasma.github.io/Logging_0480/tillsynsmail/A 12369-2022 tillsynsbegäran mail.docx", "A 12369-2022")</f>
        <v/>
      </c>
    </row>
    <row r="70" ht="15" customHeight="1">
      <c r="A70" t="inlineStr">
        <is>
          <t>A 25183-2022</t>
        </is>
      </c>
      <c r="B70" s="1" t="n">
        <v>44729</v>
      </c>
      <c r="C70" s="1" t="n">
        <v>45785</v>
      </c>
      <c r="D70" t="inlineStr">
        <is>
          <t>SÖDERMANLANDS LÄN</t>
        </is>
      </c>
      <c r="E70" t="inlineStr">
        <is>
          <t>NYKÖPING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Gulvaxing
Ängsvaxskivling</t>
        </is>
      </c>
      <c r="S70">
        <f>HYPERLINK("https://klasma.github.io/Logging_0480/artfynd/A 25183-2022 artfynd.xlsx", "A 25183-2022")</f>
        <v/>
      </c>
      <c r="T70">
        <f>HYPERLINK("https://klasma.github.io/Logging_0480/kartor/A 25183-2022 karta.png", "A 25183-2022")</f>
        <v/>
      </c>
      <c r="V70">
        <f>HYPERLINK("https://klasma.github.io/Logging_0480/klagomål/A 25183-2022 FSC-klagomål.docx", "A 25183-2022")</f>
        <v/>
      </c>
      <c r="W70">
        <f>HYPERLINK("https://klasma.github.io/Logging_0480/klagomålsmail/A 25183-2022 FSC-klagomål mail.docx", "A 25183-2022")</f>
        <v/>
      </c>
      <c r="X70">
        <f>HYPERLINK("https://klasma.github.io/Logging_0480/tillsyn/A 25183-2022 tillsynsbegäran.docx", "A 25183-2022")</f>
        <v/>
      </c>
      <c r="Y70">
        <f>HYPERLINK("https://klasma.github.io/Logging_0480/tillsynsmail/A 25183-2022 tillsynsbegäran mail.docx", "A 25183-2022")</f>
        <v/>
      </c>
    </row>
    <row r="71" ht="15" customHeight="1">
      <c r="A71" t="inlineStr">
        <is>
          <t>A 34310-2022</t>
        </is>
      </c>
      <c r="B71" s="1" t="n">
        <v>44792</v>
      </c>
      <c r="C71" s="1" t="n">
        <v>45785</v>
      </c>
      <c r="D71" t="inlineStr">
        <is>
          <t>SÖDERMANLANDS LÄN</t>
        </is>
      </c>
      <c r="E71" t="inlineStr">
        <is>
          <t>NYKÖPING</t>
        </is>
      </c>
      <c r="G71" t="n">
        <v>1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Grönpyrola</t>
        </is>
      </c>
      <c r="S71">
        <f>HYPERLINK("https://klasma.github.io/Logging_0480/artfynd/A 34310-2022 artfynd.xlsx", "A 34310-2022")</f>
        <v/>
      </c>
      <c r="T71">
        <f>HYPERLINK("https://klasma.github.io/Logging_0480/kartor/A 34310-2022 karta.png", "A 34310-2022")</f>
        <v/>
      </c>
      <c r="V71">
        <f>HYPERLINK("https://klasma.github.io/Logging_0480/klagomål/A 34310-2022 FSC-klagomål.docx", "A 34310-2022")</f>
        <v/>
      </c>
      <c r="W71">
        <f>HYPERLINK("https://klasma.github.io/Logging_0480/klagomålsmail/A 34310-2022 FSC-klagomål mail.docx", "A 34310-2022")</f>
        <v/>
      </c>
      <c r="X71">
        <f>HYPERLINK("https://klasma.github.io/Logging_0480/tillsyn/A 34310-2022 tillsynsbegäran.docx", "A 34310-2022")</f>
        <v/>
      </c>
      <c r="Y71">
        <f>HYPERLINK("https://klasma.github.io/Logging_0480/tillsynsmail/A 34310-2022 tillsynsbegäran mail.docx", "A 34310-2022")</f>
        <v/>
      </c>
    </row>
    <row r="72" ht="15" customHeight="1">
      <c r="A72" t="inlineStr">
        <is>
          <t>A 38203-2022</t>
        </is>
      </c>
      <c r="B72" s="1" t="n">
        <v>44812</v>
      </c>
      <c r="C72" s="1" t="n">
        <v>45785</v>
      </c>
      <c r="D72" t="inlineStr">
        <is>
          <t>SÖDERMANLANDS LÄN</t>
        </is>
      </c>
      <c r="E72" t="inlineStr">
        <is>
          <t>NYKÖPING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Kösa
Linmåra/småsnärjmåra</t>
        </is>
      </c>
      <c r="S72">
        <f>HYPERLINK("https://klasma.github.io/Logging_0480/artfynd/A 38203-2022 artfynd.xlsx", "A 38203-2022")</f>
        <v/>
      </c>
      <c r="T72">
        <f>HYPERLINK("https://klasma.github.io/Logging_0480/kartor/A 38203-2022 karta.png", "A 38203-2022")</f>
        <v/>
      </c>
      <c r="V72">
        <f>HYPERLINK("https://klasma.github.io/Logging_0480/klagomål/A 38203-2022 FSC-klagomål.docx", "A 38203-2022")</f>
        <v/>
      </c>
      <c r="W72">
        <f>HYPERLINK("https://klasma.github.io/Logging_0480/klagomålsmail/A 38203-2022 FSC-klagomål mail.docx", "A 38203-2022")</f>
        <v/>
      </c>
      <c r="X72">
        <f>HYPERLINK("https://klasma.github.io/Logging_0480/tillsyn/A 38203-2022 tillsynsbegäran.docx", "A 38203-2022")</f>
        <v/>
      </c>
      <c r="Y72">
        <f>HYPERLINK("https://klasma.github.io/Logging_0480/tillsynsmail/A 38203-2022 tillsynsbegäran mail.docx", "A 38203-2022")</f>
        <v/>
      </c>
    </row>
    <row r="73" ht="15" customHeight="1">
      <c r="A73" t="inlineStr">
        <is>
          <t>A 52792-2022</t>
        </is>
      </c>
      <c r="B73" s="1" t="n">
        <v>44875</v>
      </c>
      <c r="C73" s="1" t="n">
        <v>45785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17.5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Fläcknycklar</t>
        </is>
      </c>
      <c r="S73">
        <f>HYPERLINK("https://klasma.github.io/Logging_0480/artfynd/A 52792-2022 artfynd.xlsx", "A 52792-2022")</f>
        <v/>
      </c>
      <c r="T73">
        <f>HYPERLINK("https://klasma.github.io/Logging_0480/kartor/A 52792-2022 karta.png", "A 52792-2022")</f>
        <v/>
      </c>
      <c r="V73">
        <f>HYPERLINK("https://klasma.github.io/Logging_0480/klagomål/A 52792-2022 FSC-klagomål.docx", "A 52792-2022")</f>
        <v/>
      </c>
      <c r="W73">
        <f>HYPERLINK("https://klasma.github.io/Logging_0480/klagomålsmail/A 52792-2022 FSC-klagomål mail.docx", "A 52792-2022")</f>
        <v/>
      </c>
      <c r="X73">
        <f>HYPERLINK("https://klasma.github.io/Logging_0480/tillsyn/A 52792-2022 tillsynsbegäran.docx", "A 52792-2022")</f>
        <v/>
      </c>
      <c r="Y73">
        <f>HYPERLINK("https://klasma.github.io/Logging_0480/tillsynsmail/A 52792-2022 tillsynsbegäran mail.docx", "A 52792-2022")</f>
        <v/>
      </c>
      <c r="Z73">
        <f>HYPERLINK("https://klasma.github.io/Logging_0480/fåglar/A 52792-2022 prioriterade fågelarter.docx", "A 52792-2022")</f>
        <v/>
      </c>
    </row>
    <row r="74" ht="15" customHeight="1">
      <c r="A74" t="inlineStr">
        <is>
          <t>A 60460-2022</t>
        </is>
      </c>
      <c r="B74" s="1" t="n">
        <v>44911</v>
      </c>
      <c r="C74" s="1" t="n">
        <v>45785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Barkticka
Blåsippa</t>
        </is>
      </c>
      <c r="S74">
        <f>HYPERLINK("https://klasma.github.io/Logging_0480/artfynd/A 60460-2022 artfynd.xlsx", "A 60460-2022")</f>
        <v/>
      </c>
      <c r="T74">
        <f>HYPERLINK("https://klasma.github.io/Logging_0480/kartor/A 60460-2022 karta.png", "A 60460-2022")</f>
        <v/>
      </c>
      <c r="V74">
        <f>HYPERLINK("https://klasma.github.io/Logging_0480/klagomål/A 60460-2022 FSC-klagomål.docx", "A 60460-2022")</f>
        <v/>
      </c>
      <c r="W74">
        <f>HYPERLINK("https://klasma.github.io/Logging_0480/klagomålsmail/A 60460-2022 FSC-klagomål mail.docx", "A 60460-2022")</f>
        <v/>
      </c>
      <c r="X74">
        <f>HYPERLINK("https://klasma.github.io/Logging_0480/tillsyn/A 60460-2022 tillsynsbegäran.docx", "A 60460-2022")</f>
        <v/>
      </c>
      <c r="Y74">
        <f>HYPERLINK("https://klasma.github.io/Logging_0480/tillsynsmail/A 60460-2022 tillsynsbegäran mail.docx", "A 60460-2022")</f>
        <v/>
      </c>
    </row>
    <row r="75" ht="15" customHeight="1">
      <c r="A75" t="inlineStr">
        <is>
          <t>A 853-2023</t>
        </is>
      </c>
      <c r="B75" s="1" t="n">
        <v>44931</v>
      </c>
      <c r="C75" s="1" t="n">
        <v>45785</v>
      </c>
      <c r="D75" t="inlineStr">
        <is>
          <t>SÖDERMANLANDS LÄN</t>
        </is>
      </c>
      <c r="E75" t="inlineStr">
        <is>
          <t>NYKÖPING</t>
        </is>
      </c>
      <c r="G75" t="n">
        <v>10.9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Revlummer</t>
        </is>
      </c>
      <c r="S75">
        <f>HYPERLINK("https://klasma.github.io/Logging_0480/artfynd/A 853-2023 artfynd.xlsx", "A 853-2023")</f>
        <v/>
      </c>
      <c r="T75">
        <f>HYPERLINK("https://klasma.github.io/Logging_0480/kartor/A 853-2023 karta.png", "A 853-2023")</f>
        <v/>
      </c>
      <c r="V75">
        <f>HYPERLINK("https://klasma.github.io/Logging_0480/klagomål/A 853-2023 FSC-klagomål.docx", "A 853-2023")</f>
        <v/>
      </c>
      <c r="W75">
        <f>HYPERLINK("https://klasma.github.io/Logging_0480/klagomålsmail/A 853-2023 FSC-klagomål mail.docx", "A 853-2023")</f>
        <v/>
      </c>
      <c r="X75">
        <f>HYPERLINK("https://klasma.github.io/Logging_0480/tillsyn/A 853-2023 tillsynsbegäran.docx", "A 853-2023")</f>
        <v/>
      </c>
      <c r="Y75">
        <f>HYPERLINK("https://klasma.github.io/Logging_0480/tillsynsmail/A 853-2023 tillsynsbegäran mail.docx", "A 853-2023")</f>
        <v/>
      </c>
    </row>
    <row r="76" ht="15" customHeight="1">
      <c r="A76" t="inlineStr">
        <is>
          <t>A 3070-2023</t>
        </is>
      </c>
      <c r="B76" s="1" t="n">
        <v>44946</v>
      </c>
      <c r="C76" s="1" t="n">
        <v>45785</v>
      </c>
      <c r="D76" t="inlineStr">
        <is>
          <t>SÖDERMANLANDS LÄN</t>
        </is>
      </c>
      <c r="E76" t="inlineStr">
        <is>
          <t>NYKÖPING</t>
        </is>
      </c>
      <c r="G76" t="n">
        <v>8.5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Kambräken</t>
        </is>
      </c>
      <c r="S76">
        <f>HYPERLINK("https://klasma.github.io/Logging_0480/artfynd/A 3070-2023 artfynd.xlsx", "A 3070-2023")</f>
        <v/>
      </c>
      <c r="T76">
        <f>HYPERLINK("https://klasma.github.io/Logging_0480/kartor/A 3070-2023 karta.png", "A 3070-2023")</f>
        <v/>
      </c>
      <c r="V76">
        <f>HYPERLINK("https://klasma.github.io/Logging_0480/klagomål/A 3070-2023 FSC-klagomål.docx", "A 3070-2023")</f>
        <v/>
      </c>
      <c r="W76">
        <f>HYPERLINK("https://klasma.github.io/Logging_0480/klagomålsmail/A 3070-2023 FSC-klagomål mail.docx", "A 3070-2023")</f>
        <v/>
      </c>
      <c r="X76">
        <f>HYPERLINK("https://klasma.github.io/Logging_0480/tillsyn/A 3070-2023 tillsynsbegäran.docx", "A 3070-2023")</f>
        <v/>
      </c>
      <c r="Y76">
        <f>HYPERLINK("https://klasma.github.io/Logging_0480/tillsynsmail/A 3070-2023 tillsynsbegäran mail.docx", "A 3070-2023")</f>
        <v/>
      </c>
      <c r="Z76">
        <f>HYPERLINK("https://klasma.github.io/Logging_0480/fåglar/A 3070-2023 prioriterade fågelarter.docx", "A 3070-2023")</f>
        <v/>
      </c>
    </row>
    <row r="77" ht="15" customHeight="1">
      <c r="A77" t="inlineStr">
        <is>
          <t>A 48174-2023</t>
        </is>
      </c>
      <c r="B77" s="1" t="n">
        <v>45205</v>
      </c>
      <c r="C77" s="1" t="n">
        <v>45785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1.2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Havsörn
Nötkråka</t>
        </is>
      </c>
      <c r="S77">
        <f>HYPERLINK("https://klasma.github.io/Logging_0480/artfynd/A 48174-2023 artfynd.xlsx", "A 48174-2023")</f>
        <v/>
      </c>
      <c r="T77">
        <f>HYPERLINK("https://klasma.github.io/Logging_0480/kartor/A 48174-2023 karta.png", "A 48174-2023")</f>
        <v/>
      </c>
      <c r="V77">
        <f>HYPERLINK("https://klasma.github.io/Logging_0480/klagomål/A 48174-2023 FSC-klagomål.docx", "A 48174-2023")</f>
        <v/>
      </c>
      <c r="W77">
        <f>HYPERLINK("https://klasma.github.io/Logging_0480/klagomålsmail/A 48174-2023 FSC-klagomål mail.docx", "A 48174-2023")</f>
        <v/>
      </c>
      <c r="X77">
        <f>HYPERLINK("https://klasma.github.io/Logging_0480/tillsyn/A 48174-2023 tillsynsbegäran.docx", "A 48174-2023")</f>
        <v/>
      </c>
      <c r="Y77">
        <f>HYPERLINK("https://klasma.github.io/Logging_0480/tillsynsmail/A 48174-2023 tillsynsbegäran mail.docx", "A 48174-2023")</f>
        <v/>
      </c>
      <c r="Z77">
        <f>HYPERLINK("https://klasma.github.io/Logging_0480/fåglar/A 48174-2023 prioriterade fågelarter.docx", "A 48174-2023")</f>
        <v/>
      </c>
    </row>
    <row r="78" ht="15" customHeight="1">
      <c r="A78" t="inlineStr">
        <is>
          <t>A 49231-2023</t>
        </is>
      </c>
      <c r="B78" s="1" t="n">
        <v>45210</v>
      </c>
      <c r="C78" s="1" t="n">
        <v>45785</v>
      </c>
      <c r="D78" t="inlineStr">
        <is>
          <t>SÖDERMANLANDS LÄN</t>
        </is>
      </c>
      <c r="E78" t="inlineStr">
        <is>
          <t>NYKÖPING</t>
        </is>
      </c>
      <c r="G78" t="n">
        <v>0.5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Bombmurkla
Blåmossa</t>
        </is>
      </c>
      <c r="S78">
        <f>HYPERLINK("https://klasma.github.io/Logging_0480/artfynd/A 49231-2023 artfynd.xlsx", "A 49231-2023")</f>
        <v/>
      </c>
      <c r="T78">
        <f>HYPERLINK("https://klasma.github.io/Logging_0480/kartor/A 49231-2023 karta.png", "A 49231-2023")</f>
        <v/>
      </c>
      <c r="V78">
        <f>HYPERLINK("https://klasma.github.io/Logging_0480/klagomål/A 49231-2023 FSC-klagomål.docx", "A 49231-2023")</f>
        <v/>
      </c>
      <c r="W78">
        <f>HYPERLINK("https://klasma.github.io/Logging_0480/klagomålsmail/A 49231-2023 FSC-klagomål mail.docx", "A 49231-2023")</f>
        <v/>
      </c>
      <c r="X78">
        <f>HYPERLINK("https://klasma.github.io/Logging_0480/tillsyn/A 49231-2023 tillsynsbegäran.docx", "A 49231-2023")</f>
        <v/>
      </c>
      <c r="Y78">
        <f>HYPERLINK("https://klasma.github.io/Logging_0480/tillsynsmail/A 49231-2023 tillsynsbegäran mail.docx", "A 49231-2023")</f>
        <v/>
      </c>
    </row>
    <row r="79" ht="15" customHeight="1">
      <c r="A79" t="inlineStr">
        <is>
          <t>A 57006-2023</t>
        </is>
      </c>
      <c r="B79" s="1" t="n">
        <v>45244</v>
      </c>
      <c r="C79" s="1" t="n">
        <v>45785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11.9</v>
      </c>
      <c r="H79" t="n">
        <v>1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Tornseglare
Rödgul trumpetsvamp</t>
        </is>
      </c>
      <c r="S79">
        <f>HYPERLINK("https://klasma.github.io/Logging_0480/artfynd/A 57006-2023 artfynd.xlsx", "A 57006-2023")</f>
        <v/>
      </c>
      <c r="T79">
        <f>HYPERLINK("https://klasma.github.io/Logging_0480/kartor/A 57006-2023 karta.png", "A 57006-2023")</f>
        <v/>
      </c>
      <c r="V79">
        <f>HYPERLINK("https://klasma.github.io/Logging_0480/klagomål/A 57006-2023 FSC-klagomål.docx", "A 57006-2023")</f>
        <v/>
      </c>
      <c r="W79">
        <f>HYPERLINK("https://klasma.github.io/Logging_0480/klagomålsmail/A 57006-2023 FSC-klagomål mail.docx", "A 57006-2023")</f>
        <v/>
      </c>
      <c r="X79">
        <f>HYPERLINK("https://klasma.github.io/Logging_0480/tillsyn/A 57006-2023 tillsynsbegäran.docx", "A 57006-2023")</f>
        <v/>
      </c>
      <c r="Y79">
        <f>HYPERLINK("https://klasma.github.io/Logging_0480/tillsynsmail/A 57006-2023 tillsynsbegäran mail.docx", "A 57006-2023")</f>
        <v/>
      </c>
      <c r="Z79">
        <f>HYPERLINK("https://klasma.github.io/Logging_0480/fåglar/A 57006-2023 prioriterade fågelarter.docx", "A 57006-2023")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45785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45785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45785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45785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45785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45785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45785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45785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45785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45785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45785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45785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45785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45785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45785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45785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45785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45785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45785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45785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45785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45785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45785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45785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45785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45785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45785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45785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45785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45785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45785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45785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45785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45785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45785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45785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45785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45785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45785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45785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45785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45785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45785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45785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52095-2022</t>
        </is>
      </c>
      <c r="B124" s="1" t="n">
        <v>44873</v>
      </c>
      <c r="C124" s="1" t="n">
        <v>45785</v>
      </c>
      <c r="D124" t="inlineStr">
        <is>
          <t>SÖDERMANLANDS LÄN</t>
        </is>
      </c>
      <c r="E124" t="inlineStr">
        <is>
          <t>NYKÖPING</t>
        </is>
      </c>
      <c r="G124" t="n">
        <v>1.8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Drillsnäppa</t>
        </is>
      </c>
      <c r="S124">
        <f>HYPERLINK("https://klasma.github.io/Logging_0480/artfynd/A 52095-2022 artfynd.xlsx", "A 52095-2022")</f>
        <v/>
      </c>
      <c r="T124">
        <f>HYPERLINK("https://klasma.github.io/Logging_0480/kartor/A 52095-2022 karta.png", "A 52095-2022")</f>
        <v/>
      </c>
      <c r="V124">
        <f>HYPERLINK("https://klasma.github.io/Logging_0480/klagomål/A 52095-2022 FSC-klagomål.docx", "A 52095-2022")</f>
        <v/>
      </c>
      <c r="W124">
        <f>HYPERLINK("https://klasma.github.io/Logging_0480/klagomålsmail/A 52095-2022 FSC-klagomål mail.docx", "A 52095-2022")</f>
        <v/>
      </c>
      <c r="X124">
        <f>HYPERLINK("https://klasma.github.io/Logging_0480/tillsyn/A 52095-2022 tillsynsbegäran.docx", "A 52095-2022")</f>
        <v/>
      </c>
      <c r="Y124">
        <f>HYPERLINK("https://klasma.github.io/Logging_0480/tillsynsmail/A 52095-2022 tillsynsbegäran mail.docx", "A 52095-2022")</f>
        <v/>
      </c>
    </row>
    <row r="125" ht="15" customHeight="1">
      <c r="A125" t="inlineStr">
        <is>
          <t>A 2842-2023</t>
        </is>
      </c>
      <c r="B125" s="1" t="n">
        <v>44945</v>
      </c>
      <c r="C125" s="1" t="n">
        <v>45785</v>
      </c>
      <c r="D125" t="inlineStr">
        <is>
          <t>SÖDERMANLANDS LÄN</t>
        </is>
      </c>
      <c r="E125" t="inlineStr">
        <is>
          <t>NYKÖPING</t>
        </is>
      </c>
      <c r="G125" t="n">
        <v>6.7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Svavelriska</t>
        </is>
      </c>
      <c r="S125">
        <f>HYPERLINK("https://klasma.github.io/Logging_0480/artfynd/A 2842-2023 artfynd.xlsx", "A 2842-2023")</f>
        <v/>
      </c>
      <c r="T125">
        <f>HYPERLINK("https://klasma.github.io/Logging_0480/kartor/A 2842-2023 karta.png", "A 2842-2023")</f>
        <v/>
      </c>
      <c r="V125">
        <f>HYPERLINK("https://klasma.github.io/Logging_0480/klagomål/A 2842-2023 FSC-klagomål.docx", "A 2842-2023")</f>
        <v/>
      </c>
      <c r="W125">
        <f>HYPERLINK("https://klasma.github.io/Logging_0480/klagomålsmail/A 2842-2023 FSC-klagomål mail.docx", "A 2842-2023")</f>
        <v/>
      </c>
      <c r="X125">
        <f>HYPERLINK("https://klasma.github.io/Logging_0480/tillsyn/A 2842-2023 tillsynsbegäran.docx", "A 2842-2023")</f>
        <v/>
      </c>
      <c r="Y125">
        <f>HYPERLINK("https://klasma.github.io/Logging_0480/tillsynsmail/A 2842-2023 tillsynsbegäran mail.docx", "A 2842-2023")</f>
        <v/>
      </c>
    </row>
    <row r="126" ht="15" customHeight="1">
      <c r="A126" t="inlineStr">
        <is>
          <t>A 9221-2023</t>
        </is>
      </c>
      <c r="B126" s="1" t="n">
        <v>44977</v>
      </c>
      <c r="C126" s="1" t="n">
        <v>45785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Allmännings- och besparingsskogar</t>
        </is>
      </c>
      <c r="G126" t="n">
        <v>20.4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Igelkott</t>
        </is>
      </c>
      <c r="S126">
        <f>HYPERLINK("https://klasma.github.io/Logging_0480/artfynd/A 9221-2023 artfynd.xlsx", "A 9221-2023")</f>
        <v/>
      </c>
      <c r="T126">
        <f>HYPERLINK("https://klasma.github.io/Logging_0480/kartor/A 9221-2023 karta.png", "A 9221-2023")</f>
        <v/>
      </c>
      <c r="V126">
        <f>HYPERLINK("https://klasma.github.io/Logging_0480/klagomål/A 9221-2023 FSC-klagomål.docx", "A 9221-2023")</f>
        <v/>
      </c>
      <c r="W126">
        <f>HYPERLINK("https://klasma.github.io/Logging_0480/klagomålsmail/A 9221-2023 FSC-klagomål mail.docx", "A 9221-2023")</f>
        <v/>
      </c>
      <c r="X126">
        <f>HYPERLINK("https://klasma.github.io/Logging_0480/tillsyn/A 9221-2023 tillsynsbegäran.docx", "A 9221-2023")</f>
        <v/>
      </c>
      <c r="Y126">
        <f>HYPERLINK("https://klasma.github.io/Logging_0480/tillsynsmail/A 9221-2023 tillsynsbegäran mail.docx", "A 9221-2023")</f>
        <v/>
      </c>
    </row>
    <row r="127" ht="15" customHeight="1">
      <c r="A127" t="inlineStr">
        <is>
          <t>A 12891-2023</t>
        </is>
      </c>
      <c r="B127" s="1" t="n">
        <v>45001</v>
      </c>
      <c r="C127" s="1" t="n">
        <v>45785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6.9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HYPERLINK("https://klasma.github.io/Logging_0480/artfynd/A 12891-2023 artfynd.xlsx", "A 12891-2023")</f>
        <v/>
      </c>
      <c r="T127">
        <f>HYPERLINK("https://klasma.github.io/Logging_0480/kartor/A 12891-2023 karta.png", "A 12891-2023")</f>
        <v/>
      </c>
      <c r="V127">
        <f>HYPERLINK("https://klasma.github.io/Logging_0480/klagomål/A 12891-2023 FSC-klagomål.docx", "A 12891-2023")</f>
        <v/>
      </c>
      <c r="W127">
        <f>HYPERLINK("https://klasma.github.io/Logging_0480/klagomålsmail/A 12891-2023 FSC-klagomål mail.docx", "A 12891-2023")</f>
        <v/>
      </c>
      <c r="X127">
        <f>HYPERLINK("https://klasma.github.io/Logging_0480/tillsyn/A 12891-2023 tillsynsbegäran.docx", "A 12891-2023")</f>
        <v/>
      </c>
      <c r="Y127">
        <f>HYPERLINK("https://klasma.github.io/Logging_0480/tillsynsmail/A 12891-2023 tillsynsbegäran mail.docx", "A 12891-2023")</f>
        <v/>
      </c>
    </row>
    <row r="128" ht="15" customHeight="1">
      <c r="A128" t="inlineStr">
        <is>
          <t>A 16078-2023</t>
        </is>
      </c>
      <c r="B128" s="1" t="n">
        <v>45027</v>
      </c>
      <c r="C128" s="1" t="n">
        <v>45785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Rödlånke</t>
        </is>
      </c>
      <c r="S128">
        <f>HYPERLINK("https://klasma.github.io/Logging_0480/artfynd/A 16078-2023 artfynd.xlsx", "A 16078-2023")</f>
        <v/>
      </c>
      <c r="T128">
        <f>HYPERLINK("https://klasma.github.io/Logging_0480/kartor/A 16078-2023 karta.png", "A 16078-2023")</f>
        <v/>
      </c>
      <c r="V128">
        <f>HYPERLINK("https://klasma.github.io/Logging_0480/klagomål/A 16078-2023 FSC-klagomål.docx", "A 16078-2023")</f>
        <v/>
      </c>
      <c r="W128">
        <f>HYPERLINK("https://klasma.github.io/Logging_0480/klagomålsmail/A 16078-2023 FSC-klagomål mail.docx", "A 16078-2023")</f>
        <v/>
      </c>
      <c r="X128">
        <f>HYPERLINK("https://klasma.github.io/Logging_0480/tillsyn/A 16078-2023 tillsynsbegäran.docx", "A 16078-2023")</f>
        <v/>
      </c>
      <c r="Y128">
        <f>HYPERLINK("https://klasma.github.io/Logging_0480/tillsynsmail/A 16078-2023 tillsynsbegäran mail.docx", "A 16078-2023")</f>
        <v/>
      </c>
    </row>
    <row r="129" ht="15" customHeight="1">
      <c r="A129" t="inlineStr">
        <is>
          <t>A 20325-2023</t>
        </is>
      </c>
      <c r="B129" s="1" t="n">
        <v>45056</v>
      </c>
      <c r="C129" s="1" t="n">
        <v>45785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Kamjordstjärna</t>
        </is>
      </c>
      <c r="S129">
        <f>HYPERLINK("https://klasma.github.io/Logging_0480/artfynd/A 20325-2023 artfynd.xlsx", "A 20325-2023")</f>
        <v/>
      </c>
      <c r="T129">
        <f>HYPERLINK("https://klasma.github.io/Logging_0480/kartor/A 20325-2023 karta.png", "A 20325-2023")</f>
        <v/>
      </c>
      <c r="V129">
        <f>HYPERLINK("https://klasma.github.io/Logging_0480/klagomål/A 20325-2023 FSC-klagomål.docx", "A 20325-2023")</f>
        <v/>
      </c>
      <c r="W129">
        <f>HYPERLINK("https://klasma.github.io/Logging_0480/klagomålsmail/A 20325-2023 FSC-klagomål mail.docx", "A 20325-2023")</f>
        <v/>
      </c>
      <c r="X129">
        <f>HYPERLINK("https://klasma.github.io/Logging_0480/tillsyn/A 20325-2023 tillsynsbegäran.docx", "A 20325-2023")</f>
        <v/>
      </c>
      <c r="Y129">
        <f>HYPERLINK("https://klasma.github.io/Logging_0480/tillsynsmail/A 20325-2023 tillsynsbegäran mail.docx", "A 20325-2023")</f>
        <v/>
      </c>
    </row>
    <row r="130" ht="15" customHeight="1">
      <c r="A130" t="inlineStr">
        <is>
          <t>A 28542-2023</t>
        </is>
      </c>
      <c r="B130" s="1" t="n">
        <v>45103</v>
      </c>
      <c r="C130" s="1" t="n">
        <v>45785</v>
      </c>
      <c r="D130" t="inlineStr">
        <is>
          <t>SÖDERMANLANDS LÄN</t>
        </is>
      </c>
      <c r="E130" t="inlineStr">
        <is>
          <t>NYKÖPING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HYPERLINK("https://klasma.github.io/Logging_0480/artfynd/A 28542-2023 artfynd.xlsx", "A 28542-2023")</f>
        <v/>
      </c>
      <c r="T130">
        <f>HYPERLINK("https://klasma.github.io/Logging_0480/kartor/A 28542-2023 karta.png", "A 28542-2023")</f>
        <v/>
      </c>
      <c r="U130">
        <f>HYPERLINK("https://klasma.github.io/Logging_0480/knärot/A 28542-2023 karta knärot.png", "A 28542-2023")</f>
        <v/>
      </c>
      <c r="V130">
        <f>HYPERLINK("https://klasma.github.io/Logging_0480/klagomål/A 28542-2023 FSC-klagomål.docx", "A 28542-2023")</f>
        <v/>
      </c>
      <c r="W130">
        <f>HYPERLINK("https://klasma.github.io/Logging_0480/klagomålsmail/A 28542-2023 FSC-klagomål mail.docx", "A 28542-2023")</f>
        <v/>
      </c>
      <c r="X130">
        <f>HYPERLINK("https://klasma.github.io/Logging_0480/tillsyn/A 28542-2023 tillsynsbegäran.docx", "A 28542-2023")</f>
        <v/>
      </c>
      <c r="Y130">
        <f>HYPERLINK("https://klasma.github.io/Logging_0480/tillsynsmail/A 28542-2023 tillsynsbegäran mail.docx", "A 28542-2023")</f>
        <v/>
      </c>
    </row>
    <row r="131" ht="15" customHeight="1">
      <c r="A131" t="inlineStr">
        <is>
          <t>A 35122-2023</t>
        </is>
      </c>
      <c r="B131" s="1" t="n">
        <v>45145</v>
      </c>
      <c r="C131" s="1" t="n">
        <v>45785</v>
      </c>
      <c r="D131" t="inlineStr">
        <is>
          <t>SÖDERMANLANDS LÄN</t>
        </is>
      </c>
      <c r="E131" t="inlineStr">
        <is>
          <t>NYKÖPING</t>
        </is>
      </c>
      <c r="G131" t="n">
        <v>3.2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35122-2023 artfynd.xlsx", "A 35122-2023")</f>
        <v/>
      </c>
      <c r="T131">
        <f>HYPERLINK("https://klasma.github.io/Logging_0480/kartor/A 35122-2023 karta.png", "A 35122-2023")</f>
        <v/>
      </c>
      <c r="V131">
        <f>HYPERLINK("https://klasma.github.io/Logging_0480/klagomål/A 35122-2023 FSC-klagomål.docx", "A 35122-2023")</f>
        <v/>
      </c>
      <c r="W131">
        <f>HYPERLINK("https://klasma.github.io/Logging_0480/klagomålsmail/A 35122-2023 FSC-klagomål mail.docx", "A 35122-2023")</f>
        <v/>
      </c>
      <c r="X131">
        <f>HYPERLINK("https://klasma.github.io/Logging_0480/tillsyn/A 35122-2023 tillsynsbegäran.docx", "A 35122-2023")</f>
        <v/>
      </c>
      <c r="Y131">
        <f>HYPERLINK("https://klasma.github.io/Logging_0480/tillsynsmail/A 35122-2023 tillsynsbegäran mail.docx", "A 35122-2023")</f>
        <v/>
      </c>
    </row>
    <row r="132" ht="15" customHeight="1">
      <c r="A132" t="inlineStr">
        <is>
          <t>A 39019-2023</t>
        </is>
      </c>
      <c r="B132" s="1" t="n">
        <v>45163</v>
      </c>
      <c r="C132" s="1" t="n">
        <v>45785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Kommuner</t>
        </is>
      </c>
      <c r="G132" t="n">
        <v>12.3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Mindre hackspett</t>
        </is>
      </c>
      <c r="S132">
        <f>HYPERLINK("https://klasma.github.io/Logging_0480/artfynd/A 39019-2023 artfynd.xlsx", "A 39019-2023")</f>
        <v/>
      </c>
      <c r="T132">
        <f>HYPERLINK("https://klasma.github.io/Logging_0480/kartor/A 39019-2023 karta.png", "A 39019-2023")</f>
        <v/>
      </c>
      <c r="V132">
        <f>HYPERLINK("https://klasma.github.io/Logging_0480/klagomål/A 39019-2023 FSC-klagomål.docx", "A 39019-2023")</f>
        <v/>
      </c>
      <c r="W132">
        <f>HYPERLINK("https://klasma.github.io/Logging_0480/klagomålsmail/A 39019-2023 FSC-klagomål mail.docx", "A 39019-2023")</f>
        <v/>
      </c>
      <c r="X132">
        <f>HYPERLINK("https://klasma.github.io/Logging_0480/tillsyn/A 39019-2023 tillsynsbegäran.docx", "A 39019-2023")</f>
        <v/>
      </c>
      <c r="Y132">
        <f>HYPERLINK("https://klasma.github.io/Logging_0480/tillsynsmail/A 39019-2023 tillsynsbegäran mail.docx", "A 39019-2023")</f>
        <v/>
      </c>
      <c r="Z132">
        <f>HYPERLINK("https://klasma.github.io/Logging_0480/fåglar/A 39019-2023 prioriterade fågelarter.docx", "A 39019-2023")</f>
        <v/>
      </c>
    </row>
    <row r="133" ht="15" customHeight="1">
      <c r="A133" t="inlineStr">
        <is>
          <t>A 43756-2023</t>
        </is>
      </c>
      <c r="B133" s="1" t="n">
        <v>45187</v>
      </c>
      <c r="C133" s="1" t="n">
        <v>45785</v>
      </c>
      <c r="D133" t="inlineStr">
        <is>
          <t>SÖDERMANLANDS LÄN</t>
        </is>
      </c>
      <c r="E133" t="inlineStr">
        <is>
          <t>NYKÖPING</t>
        </is>
      </c>
      <c r="G133" t="n">
        <v>5.4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Svedjenäva</t>
        </is>
      </c>
      <c r="S133">
        <f>HYPERLINK("https://klasma.github.io/Logging_0480/artfynd/A 43756-2023 artfynd.xlsx", "A 43756-2023")</f>
        <v/>
      </c>
      <c r="T133">
        <f>HYPERLINK("https://klasma.github.io/Logging_0480/kartor/A 43756-2023 karta.png", "A 43756-2023")</f>
        <v/>
      </c>
      <c r="V133">
        <f>HYPERLINK("https://klasma.github.io/Logging_0480/klagomål/A 43756-2023 FSC-klagomål.docx", "A 43756-2023")</f>
        <v/>
      </c>
      <c r="W133">
        <f>HYPERLINK("https://klasma.github.io/Logging_0480/klagomålsmail/A 43756-2023 FSC-klagomål mail.docx", "A 43756-2023")</f>
        <v/>
      </c>
      <c r="X133">
        <f>HYPERLINK("https://klasma.github.io/Logging_0480/tillsyn/A 43756-2023 tillsynsbegäran.docx", "A 43756-2023")</f>
        <v/>
      </c>
      <c r="Y133">
        <f>HYPERLINK("https://klasma.github.io/Logging_0480/tillsynsmail/A 43756-2023 tillsynsbegäran mail.docx", "A 43756-2023")</f>
        <v/>
      </c>
    </row>
    <row r="134" ht="15" customHeight="1">
      <c r="A134" t="inlineStr">
        <is>
          <t>A 54498-2023</t>
        </is>
      </c>
      <c r="B134" s="1" t="n">
        <v>45226</v>
      </c>
      <c r="C134" s="1" t="n">
        <v>45785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1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Brun glada</t>
        </is>
      </c>
      <c r="S134">
        <f>HYPERLINK("https://klasma.github.io/Logging_0480/artfynd/A 54498-2023 artfynd.xlsx", "A 54498-2023")</f>
        <v/>
      </c>
      <c r="T134">
        <f>HYPERLINK("https://klasma.github.io/Logging_0480/kartor/A 54498-2023 karta.png", "A 54498-2023")</f>
        <v/>
      </c>
      <c r="V134">
        <f>HYPERLINK("https://klasma.github.io/Logging_0480/klagomål/A 54498-2023 FSC-klagomål.docx", "A 54498-2023")</f>
        <v/>
      </c>
      <c r="W134">
        <f>HYPERLINK("https://klasma.github.io/Logging_0480/klagomålsmail/A 54498-2023 FSC-klagomål mail.docx", "A 54498-2023")</f>
        <v/>
      </c>
      <c r="X134">
        <f>HYPERLINK("https://klasma.github.io/Logging_0480/tillsyn/A 54498-2023 tillsynsbegäran.docx", "A 54498-2023")</f>
        <v/>
      </c>
      <c r="Y134">
        <f>HYPERLINK("https://klasma.github.io/Logging_0480/tillsynsmail/A 54498-2023 tillsynsbegäran mail.docx", "A 54498-2023")</f>
        <v/>
      </c>
      <c r="Z134">
        <f>HYPERLINK("https://klasma.github.io/Logging_0480/fåglar/A 54498-2023 prioriterade fågelarter.docx", "A 54498-2023")</f>
        <v/>
      </c>
    </row>
    <row r="135" ht="15" customHeight="1">
      <c r="A135" t="inlineStr">
        <is>
          <t>A 53340-2023</t>
        </is>
      </c>
      <c r="B135" s="1" t="n">
        <v>45229</v>
      </c>
      <c r="C135" s="1" t="n">
        <v>45785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Tallticka</t>
        </is>
      </c>
      <c r="S135">
        <f>HYPERLINK("https://klasma.github.io/Logging_0480/artfynd/A 53340-2023 artfynd.xlsx", "A 53340-2023")</f>
        <v/>
      </c>
      <c r="T135">
        <f>HYPERLINK("https://klasma.github.io/Logging_0480/kartor/A 53340-2023 karta.png", "A 53340-2023")</f>
        <v/>
      </c>
      <c r="V135">
        <f>HYPERLINK("https://klasma.github.io/Logging_0480/klagomål/A 53340-2023 FSC-klagomål.docx", "A 53340-2023")</f>
        <v/>
      </c>
      <c r="W135">
        <f>HYPERLINK("https://klasma.github.io/Logging_0480/klagomålsmail/A 53340-2023 FSC-klagomål mail.docx", "A 53340-2023")</f>
        <v/>
      </c>
      <c r="X135">
        <f>HYPERLINK("https://klasma.github.io/Logging_0480/tillsyn/A 53340-2023 tillsynsbegäran.docx", "A 53340-2023")</f>
        <v/>
      </c>
      <c r="Y135">
        <f>HYPERLINK("https://klasma.github.io/Logging_0480/tillsynsmail/A 53340-2023 tillsynsbegäran mail.docx", "A 53340-2023")</f>
        <v/>
      </c>
    </row>
    <row r="136" ht="15" customHeight="1">
      <c r="A136" t="inlineStr">
        <is>
          <t>A 59329-2023</t>
        </is>
      </c>
      <c r="B136" s="1" t="n">
        <v>45252</v>
      </c>
      <c r="C136" s="1" t="n">
        <v>45785</v>
      </c>
      <c r="D136" t="inlineStr">
        <is>
          <t>SÖDERMANLANDS LÄN</t>
        </is>
      </c>
      <c r="E136" t="inlineStr">
        <is>
          <t>NYKÖPING</t>
        </is>
      </c>
      <c r="G136" t="n">
        <v>22.1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HYPERLINK("https://klasma.github.io/Logging_0480/artfynd/A 59329-2023 artfynd.xlsx", "A 59329-2023")</f>
        <v/>
      </c>
      <c r="T136">
        <f>HYPERLINK("https://klasma.github.io/Logging_0480/kartor/A 59329-2023 karta.png", "A 59329-2023")</f>
        <v/>
      </c>
      <c r="V136">
        <f>HYPERLINK("https://klasma.github.io/Logging_0480/klagomål/A 59329-2023 FSC-klagomål.docx", "A 59329-2023")</f>
        <v/>
      </c>
      <c r="W136">
        <f>HYPERLINK("https://klasma.github.io/Logging_0480/klagomålsmail/A 59329-2023 FSC-klagomål mail.docx", "A 59329-2023")</f>
        <v/>
      </c>
      <c r="X136">
        <f>HYPERLINK("https://klasma.github.io/Logging_0480/tillsyn/A 59329-2023 tillsynsbegäran.docx", "A 59329-2023")</f>
        <v/>
      </c>
      <c r="Y136">
        <f>HYPERLINK("https://klasma.github.io/Logging_0480/tillsynsmail/A 59329-2023 tillsynsbegäran mail.docx", "A 59329-2023")</f>
        <v/>
      </c>
    </row>
    <row r="137" ht="15" customHeight="1">
      <c r="A137" t="inlineStr">
        <is>
          <t>A 891-2024</t>
        </is>
      </c>
      <c r="B137" s="1" t="n">
        <v>45301</v>
      </c>
      <c r="C137" s="1" t="n">
        <v>45785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Holmen skog AB</t>
        </is>
      </c>
      <c r="G137" t="n">
        <v>2.1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HYPERLINK("https://klasma.github.io/Logging_0480/artfynd/A 891-2024 artfynd.xlsx", "A 891-2024")</f>
        <v/>
      </c>
      <c r="T137">
        <f>HYPERLINK("https://klasma.github.io/Logging_0480/kartor/A 891-2024 karta.png", "A 891-2024")</f>
        <v/>
      </c>
      <c r="V137">
        <f>HYPERLINK("https://klasma.github.io/Logging_0480/klagomål/A 891-2024 FSC-klagomål.docx", "A 891-2024")</f>
        <v/>
      </c>
      <c r="W137">
        <f>HYPERLINK("https://klasma.github.io/Logging_0480/klagomålsmail/A 891-2024 FSC-klagomål mail.docx", "A 891-2024")</f>
        <v/>
      </c>
      <c r="X137">
        <f>HYPERLINK("https://klasma.github.io/Logging_0480/tillsyn/A 891-2024 tillsynsbegäran.docx", "A 891-2024")</f>
        <v/>
      </c>
      <c r="Y137">
        <f>HYPERLINK("https://klasma.github.io/Logging_0480/tillsynsmail/A 891-2024 tillsynsbegäran mail.docx", "A 891-2024")</f>
        <v/>
      </c>
    </row>
    <row r="138" ht="15" customHeight="1">
      <c r="A138" t="inlineStr">
        <is>
          <t>A 2902-2024</t>
        </is>
      </c>
      <c r="B138" s="1" t="n">
        <v>45315</v>
      </c>
      <c r="C138" s="1" t="n">
        <v>45785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Kyrkan</t>
        </is>
      </c>
      <c r="G138" t="n">
        <v>3.7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Stubbspretmossa</t>
        </is>
      </c>
      <c r="S138">
        <f>HYPERLINK("https://klasma.github.io/Logging_0480/artfynd/A 2902-2024 artfynd.xlsx", "A 2902-2024")</f>
        <v/>
      </c>
      <c r="T138">
        <f>HYPERLINK("https://klasma.github.io/Logging_0480/kartor/A 2902-2024 karta.png", "A 2902-2024")</f>
        <v/>
      </c>
      <c r="V138">
        <f>HYPERLINK("https://klasma.github.io/Logging_0480/klagomål/A 2902-2024 FSC-klagomål.docx", "A 2902-2024")</f>
        <v/>
      </c>
      <c r="W138">
        <f>HYPERLINK("https://klasma.github.io/Logging_0480/klagomålsmail/A 2902-2024 FSC-klagomål mail.docx", "A 2902-2024")</f>
        <v/>
      </c>
      <c r="X138">
        <f>HYPERLINK("https://klasma.github.io/Logging_0480/tillsyn/A 2902-2024 tillsynsbegäran.docx", "A 2902-2024")</f>
        <v/>
      </c>
      <c r="Y138">
        <f>HYPERLINK("https://klasma.github.io/Logging_0480/tillsynsmail/A 2902-2024 tillsynsbegäran mail.docx", "A 2902-2024")</f>
        <v/>
      </c>
    </row>
    <row r="139" ht="15" customHeight="1">
      <c r="A139" t="inlineStr">
        <is>
          <t>A 4725-2024</t>
        </is>
      </c>
      <c r="B139" s="1" t="n">
        <v>45328</v>
      </c>
      <c r="C139" s="1" t="n">
        <v>45785</v>
      </c>
      <c r="D139" t="inlineStr">
        <is>
          <t>SÖDERMANLANDS LÄN</t>
        </is>
      </c>
      <c r="E139" t="inlineStr">
        <is>
          <t>NYKÖPING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Plattsäv</t>
        </is>
      </c>
      <c r="S139">
        <f>HYPERLINK("https://klasma.github.io/Logging_0480/artfynd/A 4725-2024 artfynd.xlsx", "A 4725-2024")</f>
        <v/>
      </c>
      <c r="T139">
        <f>HYPERLINK("https://klasma.github.io/Logging_0480/kartor/A 4725-2024 karta.png", "A 4725-2024")</f>
        <v/>
      </c>
      <c r="V139">
        <f>HYPERLINK("https://klasma.github.io/Logging_0480/klagomål/A 4725-2024 FSC-klagomål.docx", "A 4725-2024")</f>
        <v/>
      </c>
      <c r="W139">
        <f>HYPERLINK("https://klasma.github.io/Logging_0480/klagomålsmail/A 4725-2024 FSC-klagomål mail.docx", "A 4725-2024")</f>
        <v/>
      </c>
      <c r="X139">
        <f>HYPERLINK("https://klasma.github.io/Logging_0480/tillsyn/A 4725-2024 tillsynsbegäran.docx", "A 4725-2024")</f>
        <v/>
      </c>
      <c r="Y139">
        <f>HYPERLINK("https://klasma.github.io/Logging_0480/tillsynsmail/A 4725-2024 tillsynsbegäran mail.docx", "A 4725-2024")</f>
        <v/>
      </c>
    </row>
    <row r="140" ht="15" customHeight="1">
      <c r="A140" t="inlineStr">
        <is>
          <t>A 9184-2024</t>
        </is>
      </c>
      <c r="B140" s="1" t="n">
        <v>45357</v>
      </c>
      <c r="C140" s="1" t="n">
        <v>45785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Raggtaggsvamp</t>
        </is>
      </c>
      <c r="S140">
        <f>HYPERLINK("https://klasma.github.io/Logging_0480/artfynd/A 9184-2024 artfynd.xlsx", "A 9184-2024")</f>
        <v/>
      </c>
      <c r="T140">
        <f>HYPERLINK("https://klasma.github.io/Logging_0480/kartor/A 9184-2024 karta.png", "A 9184-2024")</f>
        <v/>
      </c>
      <c r="V140">
        <f>HYPERLINK("https://klasma.github.io/Logging_0480/klagomål/A 9184-2024 FSC-klagomål.docx", "A 9184-2024")</f>
        <v/>
      </c>
      <c r="W140">
        <f>HYPERLINK("https://klasma.github.io/Logging_0480/klagomålsmail/A 9184-2024 FSC-klagomål mail.docx", "A 9184-2024")</f>
        <v/>
      </c>
      <c r="X140">
        <f>HYPERLINK("https://klasma.github.io/Logging_0480/tillsyn/A 9184-2024 tillsynsbegäran.docx", "A 9184-2024")</f>
        <v/>
      </c>
      <c r="Y140">
        <f>HYPERLINK("https://klasma.github.io/Logging_0480/tillsynsmail/A 9184-2024 tillsynsbegäran mail.docx", "A 9184-2024")</f>
        <v/>
      </c>
    </row>
    <row r="141" ht="15" customHeight="1">
      <c r="A141" t="inlineStr">
        <is>
          <t>A 13038-2024</t>
        </is>
      </c>
      <c r="B141" s="1" t="n">
        <v>45385</v>
      </c>
      <c r="C141" s="1" t="n">
        <v>45785</v>
      </c>
      <c r="D141" t="inlineStr">
        <is>
          <t>SÖDERMANLANDS LÄN</t>
        </is>
      </c>
      <c r="E141" t="inlineStr">
        <is>
          <t>NYKÖPING</t>
        </is>
      </c>
      <c r="G141" t="n">
        <v>3.8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HYPERLINK("https://klasma.github.io/Logging_0480/artfynd/A 13038-2024 artfynd.xlsx", "A 13038-2024")</f>
        <v/>
      </c>
      <c r="T141">
        <f>HYPERLINK("https://klasma.github.io/Logging_0480/kartor/A 13038-2024 karta.png", "A 13038-2024")</f>
        <v/>
      </c>
      <c r="U141">
        <f>HYPERLINK("https://klasma.github.io/Logging_0480/knärot/A 13038-2024 karta knärot.png", "A 13038-2024")</f>
        <v/>
      </c>
      <c r="V141">
        <f>HYPERLINK("https://klasma.github.io/Logging_0480/klagomål/A 13038-2024 FSC-klagomål.docx", "A 13038-2024")</f>
        <v/>
      </c>
      <c r="W141">
        <f>HYPERLINK("https://klasma.github.io/Logging_0480/klagomålsmail/A 13038-2024 FSC-klagomål mail.docx", "A 13038-2024")</f>
        <v/>
      </c>
      <c r="X141">
        <f>HYPERLINK("https://klasma.github.io/Logging_0480/tillsyn/A 13038-2024 tillsynsbegäran.docx", "A 13038-2024")</f>
        <v/>
      </c>
      <c r="Y141">
        <f>HYPERLINK("https://klasma.github.io/Logging_0480/tillsynsmail/A 13038-2024 tillsynsbegäran mail.docx", "A 13038-2024")</f>
        <v/>
      </c>
    </row>
    <row r="142" ht="15" customHeight="1">
      <c r="A142" t="inlineStr">
        <is>
          <t>A 13724-2024</t>
        </is>
      </c>
      <c r="B142" s="1" t="n">
        <v>45390</v>
      </c>
      <c r="C142" s="1" t="n">
        <v>45785</v>
      </c>
      <c r="D142" t="inlineStr">
        <is>
          <t>SÖDERMANLANDS LÄN</t>
        </is>
      </c>
      <c r="E142" t="inlineStr">
        <is>
          <t>NYKÖPING</t>
        </is>
      </c>
      <c r="G142" t="n">
        <v>0.9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HYPERLINK("https://klasma.github.io/Logging_0480/artfynd/A 13724-2024 artfynd.xlsx", "A 13724-2024")</f>
        <v/>
      </c>
      <c r="T142">
        <f>HYPERLINK("https://klasma.github.io/Logging_0480/kartor/A 13724-2024 karta.png", "A 13724-2024")</f>
        <v/>
      </c>
      <c r="V142">
        <f>HYPERLINK("https://klasma.github.io/Logging_0480/klagomål/A 13724-2024 FSC-klagomål.docx", "A 13724-2024")</f>
        <v/>
      </c>
      <c r="W142">
        <f>HYPERLINK("https://klasma.github.io/Logging_0480/klagomålsmail/A 13724-2024 FSC-klagomål mail.docx", "A 13724-2024")</f>
        <v/>
      </c>
      <c r="X142">
        <f>HYPERLINK("https://klasma.github.io/Logging_0480/tillsyn/A 13724-2024 tillsynsbegäran.docx", "A 13724-2024")</f>
        <v/>
      </c>
      <c r="Y142">
        <f>HYPERLINK("https://klasma.github.io/Logging_0480/tillsynsmail/A 13724-2024 tillsynsbegäran mail.docx", "A 13724-2024")</f>
        <v/>
      </c>
    </row>
    <row r="143" ht="15" customHeight="1">
      <c r="A143" t="inlineStr">
        <is>
          <t>A 13851-2024</t>
        </is>
      </c>
      <c r="B143" s="1" t="n">
        <v>45391</v>
      </c>
      <c r="C143" s="1" t="n">
        <v>45785</v>
      </c>
      <c r="D143" t="inlineStr">
        <is>
          <t>SÖDERMANLANDS LÄN</t>
        </is>
      </c>
      <c r="E143" t="inlineStr">
        <is>
          <t>NYKÖPING</t>
        </is>
      </c>
      <c r="G143" t="n">
        <v>15.8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HYPERLINK("https://klasma.github.io/Logging_0480/artfynd/A 13851-2024 artfynd.xlsx", "A 13851-2024")</f>
        <v/>
      </c>
      <c r="T143">
        <f>HYPERLINK("https://klasma.github.io/Logging_0480/kartor/A 13851-2024 karta.png", "A 13851-2024")</f>
        <v/>
      </c>
      <c r="V143">
        <f>HYPERLINK("https://klasma.github.io/Logging_0480/klagomål/A 13851-2024 FSC-klagomål.docx", "A 13851-2024")</f>
        <v/>
      </c>
      <c r="W143">
        <f>HYPERLINK("https://klasma.github.io/Logging_0480/klagomålsmail/A 13851-2024 FSC-klagomål mail.docx", "A 13851-2024")</f>
        <v/>
      </c>
      <c r="X143">
        <f>HYPERLINK("https://klasma.github.io/Logging_0480/tillsyn/A 13851-2024 tillsynsbegäran.docx", "A 13851-2024")</f>
        <v/>
      </c>
      <c r="Y143">
        <f>HYPERLINK("https://klasma.github.io/Logging_0480/tillsynsmail/A 13851-2024 tillsynsbegäran mail.docx", "A 13851-2024")</f>
        <v/>
      </c>
    </row>
    <row r="144" ht="15" customHeight="1">
      <c r="A144" t="inlineStr">
        <is>
          <t>A 21173-2024</t>
        </is>
      </c>
      <c r="B144" s="1" t="n">
        <v>45440</v>
      </c>
      <c r="C144" s="1" t="n">
        <v>45785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Kommuner</t>
        </is>
      </c>
      <c r="G144" t="n">
        <v>2.3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Tallticka</t>
        </is>
      </c>
      <c r="S144">
        <f>HYPERLINK("https://klasma.github.io/Logging_0480/artfynd/A 21173-2024 artfynd.xlsx", "A 21173-2024")</f>
        <v/>
      </c>
      <c r="T144">
        <f>HYPERLINK("https://klasma.github.io/Logging_0480/kartor/A 21173-2024 karta.png", "A 21173-2024")</f>
        <v/>
      </c>
      <c r="V144">
        <f>HYPERLINK("https://klasma.github.io/Logging_0480/klagomål/A 21173-2024 FSC-klagomål.docx", "A 21173-2024")</f>
        <v/>
      </c>
      <c r="W144">
        <f>HYPERLINK("https://klasma.github.io/Logging_0480/klagomålsmail/A 21173-2024 FSC-klagomål mail.docx", "A 21173-2024")</f>
        <v/>
      </c>
      <c r="X144">
        <f>HYPERLINK("https://klasma.github.io/Logging_0480/tillsyn/A 21173-2024 tillsynsbegäran.docx", "A 21173-2024")</f>
        <v/>
      </c>
      <c r="Y144">
        <f>HYPERLINK("https://klasma.github.io/Logging_0480/tillsynsmail/A 21173-2024 tillsynsbegäran mail.docx", "A 21173-2024")</f>
        <v/>
      </c>
    </row>
    <row r="145" ht="15" customHeight="1">
      <c r="A145" t="inlineStr">
        <is>
          <t>A 23913-2024</t>
        </is>
      </c>
      <c r="B145" s="1" t="n">
        <v>45455</v>
      </c>
      <c r="C145" s="1" t="n">
        <v>45785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Allmännings- och besparingsskogar</t>
        </is>
      </c>
      <c r="G145" t="n">
        <v>6.6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HYPERLINK("https://klasma.github.io/Logging_0480/artfynd/A 23913-2024 artfynd.xlsx", "A 23913-2024")</f>
        <v/>
      </c>
      <c r="T145">
        <f>HYPERLINK("https://klasma.github.io/Logging_0480/kartor/A 23913-2024 karta.png", "A 23913-2024")</f>
        <v/>
      </c>
      <c r="V145">
        <f>HYPERLINK("https://klasma.github.io/Logging_0480/klagomål/A 23913-2024 FSC-klagomål.docx", "A 23913-2024")</f>
        <v/>
      </c>
      <c r="W145">
        <f>HYPERLINK("https://klasma.github.io/Logging_0480/klagomålsmail/A 23913-2024 FSC-klagomål mail.docx", "A 23913-2024")</f>
        <v/>
      </c>
      <c r="X145">
        <f>HYPERLINK("https://klasma.github.io/Logging_0480/tillsyn/A 23913-2024 tillsynsbegäran.docx", "A 23913-2024")</f>
        <v/>
      </c>
      <c r="Y145">
        <f>HYPERLINK("https://klasma.github.io/Logging_0480/tillsynsmail/A 23913-2024 tillsynsbegäran mail.docx", "A 23913-2024")</f>
        <v/>
      </c>
    </row>
    <row r="146" ht="15" customHeight="1">
      <c r="A146" t="inlineStr">
        <is>
          <t>A 29797-2024</t>
        </is>
      </c>
      <c r="B146" s="1" t="n">
        <v>45485</v>
      </c>
      <c r="C146" s="1" t="n">
        <v>45785</v>
      </c>
      <c r="D146" t="inlineStr">
        <is>
          <t>SÖDERMANLANDS LÄN</t>
        </is>
      </c>
      <c r="E146" t="inlineStr">
        <is>
          <t>NYKÖPING</t>
        </is>
      </c>
      <c r="G146" t="n">
        <v>22.2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Större vattensalamander</t>
        </is>
      </c>
      <c r="S146">
        <f>HYPERLINK("https://klasma.github.io/Logging_0480/artfynd/A 29797-2024 artfynd.xlsx", "A 29797-2024")</f>
        <v/>
      </c>
      <c r="T146">
        <f>HYPERLINK("https://klasma.github.io/Logging_0480/kartor/A 29797-2024 karta.png", "A 29797-2024")</f>
        <v/>
      </c>
      <c r="V146">
        <f>HYPERLINK("https://klasma.github.io/Logging_0480/klagomål/A 29797-2024 FSC-klagomål.docx", "A 29797-2024")</f>
        <v/>
      </c>
      <c r="W146">
        <f>HYPERLINK("https://klasma.github.io/Logging_0480/klagomålsmail/A 29797-2024 FSC-klagomål mail.docx", "A 29797-2024")</f>
        <v/>
      </c>
      <c r="X146">
        <f>HYPERLINK("https://klasma.github.io/Logging_0480/tillsyn/A 29797-2024 tillsynsbegäran.docx", "A 29797-2024")</f>
        <v/>
      </c>
      <c r="Y146">
        <f>HYPERLINK("https://klasma.github.io/Logging_0480/tillsynsmail/A 29797-2024 tillsynsbegäran mail.docx", "A 29797-2024")</f>
        <v/>
      </c>
    </row>
    <row r="147" ht="15" customHeight="1">
      <c r="A147" t="inlineStr">
        <is>
          <t>A 45459-2024</t>
        </is>
      </c>
      <c r="B147" s="1" t="n">
        <v>45576</v>
      </c>
      <c r="C147" s="1" t="n">
        <v>45785</v>
      </c>
      <c r="D147" t="inlineStr">
        <is>
          <t>SÖDERMANLANDS LÄN</t>
        </is>
      </c>
      <c r="E147" t="inlineStr">
        <is>
          <t>NYKÖPING</t>
        </is>
      </c>
      <c r="G147" t="n">
        <v>11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HYPERLINK("https://klasma.github.io/Logging_0480/artfynd/A 45459-2024 artfynd.xlsx", "A 45459-2024")</f>
        <v/>
      </c>
      <c r="T147">
        <f>HYPERLINK("https://klasma.github.io/Logging_0480/kartor/A 45459-2024 karta.png", "A 45459-2024")</f>
        <v/>
      </c>
      <c r="V147">
        <f>HYPERLINK("https://klasma.github.io/Logging_0480/klagomål/A 45459-2024 FSC-klagomål.docx", "A 45459-2024")</f>
        <v/>
      </c>
      <c r="W147">
        <f>HYPERLINK("https://klasma.github.io/Logging_0480/klagomålsmail/A 45459-2024 FSC-klagomål mail.docx", "A 45459-2024")</f>
        <v/>
      </c>
      <c r="X147">
        <f>HYPERLINK("https://klasma.github.io/Logging_0480/tillsyn/A 45459-2024 tillsynsbegäran.docx", "A 45459-2024")</f>
        <v/>
      </c>
      <c r="Y147">
        <f>HYPERLINK("https://klasma.github.io/Logging_0480/tillsynsmail/A 45459-2024 tillsynsbegäran mail.docx", "A 45459-2024")</f>
        <v/>
      </c>
    </row>
    <row r="148" ht="15" customHeight="1">
      <c r="A148" t="inlineStr">
        <is>
          <t>A 51258-2024</t>
        </is>
      </c>
      <c r="B148" s="1" t="n">
        <v>45603</v>
      </c>
      <c r="C148" s="1" t="n">
        <v>45785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2.6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HYPERLINK("https://klasma.github.io/Logging_0480/artfynd/A 51258-2024 artfynd.xlsx", "A 51258-2024")</f>
        <v/>
      </c>
      <c r="T148">
        <f>HYPERLINK("https://klasma.github.io/Logging_0480/kartor/A 51258-2024 karta.png", "A 51258-2024")</f>
        <v/>
      </c>
      <c r="V148">
        <f>HYPERLINK("https://klasma.github.io/Logging_0480/klagomål/A 51258-2024 FSC-klagomål.docx", "A 51258-2024")</f>
        <v/>
      </c>
      <c r="W148">
        <f>HYPERLINK("https://klasma.github.io/Logging_0480/klagomålsmail/A 51258-2024 FSC-klagomål mail.docx", "A 51258-2024")</f>
        <v/>
      </c>
      <c r="X148">
        <f>HYPERLINK("https://klasma.github.io/Logging_0480/tillsyn/A 51258-2024 tillsynsbegäran.docx", "A 51258-2024")</f>
        <v/>
      </c>
      <c r="Y148">
        <f>HYPERLINK("https://klasma.github.io/Logging_0480/tillsynsmail/A 51258-2024 tillsynsbegäran mail.docx", "A 51258-2024")</f>
        <v/>
      </c>
    </row>
    <row r="149" ht="15" customHeight="1">
      <c r="A149" t="inlineStr">
        <is>
          <t>A 51249-2024</t>
        </is>
      </c>
      <c r="B149" s="1" t="n">
        <v>45603</v>
      </c>
      <c r="C149" s="1" t="n">
        <v>45785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HYPERLINK("https://klasma.github.io/Logging_0480/artfynd/A 51249-2024 artfynd.xlsx", "A 51249-2024")</f>
        <v/>
      </c>
      <c r="T149">
        <f>HYPERLINK("https://klasma.github.io/Logging_0480/kartor/A 51249-2024 karta.png", "A 51249-2024")</f>
        <v/>
      </c>
      <c r="V149">
        <f>HYPERLINK("https://klasma.github.io/Logging_0480/klagomål/A 51249-2024 FSC-klagomål.docx", "A 51249-2024")</f>
        <v/>
      </c>
      <c r="W149">
        <f>HYPERLINK("https://klasma.github.io/Logging_0480/klagomålsmail/A 51249-2024 FSC-klagomål mail.docx", "A 51249-2024")</f>
        <v/>
      </c>
      <c r="X149">
        <f>HYPERLINK("https://klasma.github.io/Logging_0480/tillsyn/A 51249-2024 tillsynsbegäran.docx", "A 51249-2024")</f>
        <v/>
      </c>
      <c r="Y149">
        <f>HYPERLINK("https://klasma.github.io/Logging_0480/tillsynsmail/A 51249-2024 tillsynsbegäran mail.docx", "A 51249-2024")</f>
        <v/>
      </c>
      <c r="Z149">
        <f>HYPERLINK("https://klasma.github.io/Logging_0480/fåglar/A 51249-2024 prioriterade fågelarter.docx", "A 51249-2024")</f>
        <v/>
      </c>
    </row>
    <row r="150" ht="15" customHeight="1">
      <c r="A150" t="inlineStr">
        <is>
          <t>A 52594-2024</t>
        </is>
      </c>
      <c r="B150" s="1" t="n">
        <v>45609</v>
      </c>
      <c r="C150" s="1" t="n">
        <v>45785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HYPERLINK("https://klasma.github.io/Logging_0480/artfynd/A 52594-2024 artfynd.xlsx", "A 52594-2024")</f>
        <v/>
      </c>
      <c r="T150">
        <f>HYPERLINK("https://klasma.github.io/Logging_0480/kartor/A 52594-2024 karta.png", "A 52594-2024")</f>
        <v/>
      </c>
      <c r="V150">
        <f>HYPERLINK("https://klasma.github.io/Logging_0480/klagomål/A 52594-2024 FSC-klagomål.docx", "A 52594-2024")</f>
        <v/>
      </c>
      <c r="W150">
        <f>HYPERLINK("https://klasma.github.io/Logging_0480/klagomålsmail/A 52594-2024 FSC-klagomål mail.docx", "A 52594-2024")</f>
        <v/>
      </c>
      <c r="X150">
        <f>HYPERLINK("https://klasma.github.io/Logging_0480/tillsyn/A 52594-2024 tillsynsbegäran.docx", "A 52594-2024")</f>
        <v/>
      </c>
      <c r="Y150">
        <f>HYPERLINK("https://klasma.github.io/Logging_0480/tillsynsmail/A 52594-2024 tillsynsbegäran mail.docx", "A 52594-2024")</f>
        <v/>
      </c>
    </row>
    <row r="151" ht="15" customHeight="1">
      <c r="A151" t="inlineStr">
        <is>
          <t>A 59214-2024</t>
        </is>
      </c>
      <c r="B151" s="1" t="n">
        <v>45636</v>
      </c>
      <c r="C151" s="1" t="n">
        <v>45785</v>
      </c>
      <c r="D151" t="inlineStr">
        <is>
          <t>SÖDERMANLANDS LÄN</t>
        </is>
      </c>
      <c r="E151" t="inlineStr">
        <is>
          <t>NYKÖPING</t>
        </is>
      </c>
      <c r="G151" t="n">
        <v>5.1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Blåmossa</t>
        </is>
      </c>
      <c r="S151">
        <f>HYPERLINK("https://klasma.github.io/Logging_0480/artfynd/A 59214-2024 artfynd.xlsx", "A 59214-2024")</f>
        <v/>
      </c>
      <c r="T151">
        <f>HYPERLINK("https://klasma.github.io/Logging_0480/kartor/A 59214-2024 karta.png", "A 59214-2024")</f>
        <v/>
      </c>
      <c r="V151">
        <f>HYPERLINK("https://klasma.github.io/Logging_0480/klagomål/A 59214-2024 FSC-klagomål.docx", "A 59214-2024")</f>
        <v/>
      </c>
      <c r="W151">
        <f>HYPERLINK("https://klasma.github.io/Logging_0480/klagomålsmail/A 59214-2024 FSC-klagomål mail.docx", "A 59214-2024")</f>
        <v/>
      </c>
      <c r="X151">
        <f>HYPERLINK("https://klasma.github.io/Logging_0480/tillsyn/A 59214-2024 tillsynsbegäran.docx", "A 59214-2024")</f>
        <v/>
      </c>
      <c r="Y151">
        <f>HYPERLINK("https://klasma.github.io/Logging_0480/tillsynsmail/A 59214-2024 tillsynsbegäran mail.docx", "A 59214-2024")</f>
        <v/>
      </c>
    </row>
    <row r="152" ht="15" customHeight="1">
      <c r="A152" t="inlineStr">
        <is>
          <t>A 2837-2025</t>
        </is>
      </c>
      <c r="B152" s="1" t="n">
        <v>45677</v>
      </c>
      <c r="C152" s="1" t="n">
        <v>45785</v>
      </c>
      <c r="D152" t="inlineStr">
        <is>
          <t>SÖDERMANLANDS LÄN</t>
        </is>
      </c>
      <c r="E152" t="inlineStr">
        <is>
          <t>NYKÖPING</t>
        </is>
      </c>
      <c r="G152" t="n">
        <v>5.2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Hasselticka</t>
        </is>
      </c>
      <c r="S152">
        <f>HYPERLINK("https://klasma.github.io/Logging_0480/artfynd/A 2837-2025 artfynd.xlsx", "A 2837-2025")</f>
        <v/>
      </c>
      <c r="T152">
        <f>HYPERLINK("https://klasma.github.io/Logging_0480/kartor/A 2837-2025 karta.png", "A 2837-2025")</f>
        <v/>
      </c>
      <c r="V152">
        <f>HYPERLINK("https://klasma.github.io/Logging_0480/klagomål/A 2837-2025 FSC-klagomål.docx", "A 2837-2025")</f>
        <v/>
      </c>
      <c r="W152">
        <f>HYPERLINK("https://klasma.github.io/Logging_0480/klagomålsmail/A 2837-2025 FSC-klagomål mail.docx", "A 2837-2025")</f>
        <v/>
      </c>
      <c r="X152">
        <f>HYPERLINK("https://klasma.github.io/Logging_0480/tillsyn/A 2837-2025 tillsynsbegäran.docx", "A 2837-2025")</f>
        <v/>
      </c>
      <c r="Y152">
        <f>HYPERLINK("https://klasma.github.io/Logging_0480/tillsynsmail/A 2837-2025 tillsynsbegäran mail.docx", "A 2837-2025")</f>
        <v/>
      </c>
    </row>
    <row r="153" ht="15" customHeight="1">
      <c r="A153" t="inlineStr">
        <is>
          <t>A 3700-2025</t>
        </is>
      </c>
      <c r="B153" s="1" t="n">
        <v>45681</v>
      </c>
      <c r="C153" s="1" t="n">
        <v>45785</v>
      </c>
      <c r="D153" t="inlineStr">
        <is>
          <t>SÖDERMANLANDS LÄN</t>
        </is>
      </c>
      <c r="E153" t="inlineStr">
        <is>
          <t>NYKÖPING</t>
        </is>
      </c>
      <c r="G153" t="n">
        <v>3.2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Havsörn</t>
        </is>
      </c>
      <c r="S153">
        <f>HYPERLINK("https://klasma.github.io/Logging_0480/artfynd/A 3700-2025 artfynd.xlsx", "A 3700-2025")</f>
        <v/>
      </c>
      <c r="T153">
        <f>HYPERLINK("https://klasma.github.io/Logging_0480/kartor/A 3700-2025 karta.png", "A 3700-2025")</f>
        <v/>
      </c>
      <c r="V153">
        <f>HYPERLINK("https://klasma.github.io/Logging_0480/klagomål/A 3700-2025 FSC-klagomål.docx", "A 3700-2025")</f>
        <v/>
      </c>
      <c r="W153">
        <f>HYPERLINK("https://klasma.github.io/Logging_0480/klagomålsmail/A 3700-2025 FSC-klagomål mail.docx", "A 3700-2025")</f>
        <v/>
      </c>
      <c r="X153">
        <f>HYPERLINK("https://klasma.github.io/Logging_0480/tillsyn/A 3700-2025 tillsynsbegäran.docx", "A 3700-2025")</f>
        <v/>
      </c>
      <c r="Y153">
        <f>HYPERLINK("https://klasma.github.io/Logging_0480/tillsynsmail/A 3700-2025 tillsynsbegäran mail.docx", "A 3700-2025")</f>
        <v/>
      </c>
      <c r="Z153">
        <f>HYPERLINK("https://klasma.github.io/Logging_0480/fåglar/A 3700-2025 prioriterade fågelarter.docx", "A 3700-2025")</f>
        <v/>
      </c>
    </row>
    <row r="154" ht="15" customHeight="1">
      <c r="A154" t="inlineStr">
        <is>
          <t>A 7274-2025</t>
        </is>
      </c>
      <c r="B154" s="1" t="n">
        <v>45702</v>
      </c>
      <c r="C154" s="1" t="n">
        <v>45785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Övriga Aktiebolag</t>
        </is>
      </c>
      <c r="G154" t="n">
        <v>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Järpe</t>
        </is>
      </c>
      <c r="S154">
        <f>HYPERLINK("https://klasma.github.io/Logging_0480/artfynd/A 7274-2025 artfynd.xlsx", "A 7274-2025")</f>
        <v/>
      </c>
      <c r="T154">
        <f>HYPERLINK("https://klasma.github.io/Logging_0480/kartor/A 7274-2025 karta.png", "A 7274-2025")</f>
        <v/>
      </c>
      <c r="V154">
        <f>HYPERLINK("https://klasma.github.io/Logging_0480/klagomål/A 7274-2025 FSC-klagomål.docx", "A 7274-2025")</f>
        <v/>
      </c>
      <c r="W154">
        <f>HYPERLINK("https://klasma.github.io/Logging_0480/klagomålsmail/A 7274-2025 FSC-klagomål mail.docx", "A 7274-2025")</f>
        <v/>
      </c>
      <c r="X154">
        <f>HYPERLINK("https://klasma.github.io/Logging_0480/tillsyn/A 7274-2025 tillsynsbegäran.docx", "A 7274-2025")</f>
        <v/>
      </c>
      <c r="Y154">
        <f>HYPERLINK("https://klasma.github.io/Logging_0480/tillsynsmail/A 7274-2025 tillsynsbegäran mail.docx", "A 7274-2025")</f>
        <v/>
      </c>
      <c r="Z154">
        <f>HYPERLINK("https://klasma.github.io/Logging_0480/fåglar/A 7274-2025 prioriterade fågelarter.docx", "A 7274-2025")</f>
        <v/>
      </c>
    </row>
    <row r="155" ht="15" customHeight="1">
      <c r="A155" t="inlineStr">
        <is>
          <t>A 17818-2019</t>
        </is>
      </c>
      <c r="B155" s="1" t="n">
        <v>43556</v>
      </c>
      <c r="C155" s="1" t="n">
        <v>45785</v>
      </c>
      <c r="D155" t="inlineStr">
        <is>
          <t>SÖDERMANLANDS LÄN</t>
        </is>
      </c>
      <c r="E155" t="inlineStr">
        <is>
          <t>NYKÖPING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17815-2019</t>
        </is>
      </c>
      <c r="B156" s="1" t="n">
        <v>43556</v>
      </c>
      <c r="C156" s="1" t="n">
        <v>45785</v>
      </c>
      <c r="D156" t="inlineStr">
        <is>
          <t>SÖDERMANLANDS LÄN</t>
        </is>
      </c>
      <c r="E156" t="inlineStr">
        <is>
          <t>NYKÖPING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17823-2019</t>
        </is>
      </c>
      <c r="B157" s="1" t="n">
        <v>43556</v>
      </c>
      <c r="C157" s="1" t="n">
        <v>45785</v>
      </c>
      <c r="D157" t="inlineStr">
        <is>
          <t>SÖDERMANLANDS LÄN</t>
        </is>
      </c>
      <c r="E157" t="inlineStr">
        <is>
          <t>NYKÖPING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18334-2019</t>
        </is>
      </c>
      <c r="B158" s="1" t="n">
        <v>43558</v>
      </c>
      <c r="C158" s="1" t="n">
        <v>45785</v>
      </c>
      <c r="D158" t="inlineStr">
        <is>
          <t>SÖDERMANLANDS LÄN</t>
        </is>
      </c>
      <c r="E158" t="inlineStr">
        <is>
          <t>NYKÖPING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18740-2019</t>
        </is>
      </c>
      <c r="B159" s="1" t="n">
        <v>43560</v>
      </c>
      <c r="C159" s="1" t="n">
        <v>45785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18786-2019</t>
        </is>
      </c>
      <c r="B160" s="1" t="n">
        <v>43562</v>
      </c>
      <c r="C160" s="1" t="n">
        <v>45785</v>
      </c>
      <c r="D160" t="inlineStr">
        <is>
          <t>SÖDERMANLANDS LÄN</t>
        </is>
      </c>
      <c r="E160" t="inlineStr">
        <is>
          <t>NYKÖPING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18793-2019</t>
        </is>
      </c>
      <c r="B161" s="1" t="n">
        <v>43562</v>
      </c>
      <c r="C161" s="1" t="n">
        <v>45785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19476-2019</t>
        </is>
      </c>
      <c r="B162" s="1" t="n">
        <v>43565</v>
      </c>
      <c r="C162" s="1" t="n">
        <v>45785</v>
      </c>
      <c r="D162" t="inlineStr">
        <is>
          <t>SÖDERMANLANDS LÄN</t>
        </is>
      </c>
      <c r="E162" t="inlineStr">
        <is>
          <t>NYKÖPING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19427-2019</t>
        </is>
      </c>
      <c r="B163" s="1" t="n">
        <v>43565</v>
      </c>
      <c r="C163" s="1" t="n">
        <v>45785</v>
      </c>
      <c r="D163" t="inlineStr">
        <is>
          <t>SÖDERMANLANDS LÄN</t>
        </is>
      </c>
      <c r="E163" t="inlineStr">
        <is>
          <t>NYKÖPING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19511-2019</t>
        </is>
      </c>
      <c r="B164" s="1" t="n">
        <v>43565</v>
      </c>
      <c r="C164" s="1" t="n">
        <v>45785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19469-2019</t>
        </is>
      </c>
      <c r="B165" s="1" t="n">
        <v>43565</v>
      </c>
      <c r="C165" s="1" t="n">
        <v>45785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19692-2019</t>
        </is>
      </c>
      <c r="B166" s="1" t="n">
        <v>43566</v>
      </c>
      <c r="C166" s="1" t="n">
        <v>45785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Kyrkan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19980-2019</t>
        </is>
      </c>
      <c r="B167" s="1" t="n">
        <v>43570</v>
      </c>
      <c r="C167" s="1" t="n">
        <v>45785</v>
      </c>
      <c r="D167" t="inlineStr">
        <is>
          <t>SÖDERMANLANDS LÄN</t>
        </is>
      </c>
      <c r="E167" t="inlineStr">
        <is>
          <t>NYKÖPING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21585-2019</t>
        </is>
      </c>
      <c r="B168" s="1" t="n">
        <v>43580</v>
      </c>
      <c r="C168" s="1" t="n">
        <v>45785</v>
      </c>
      <c r="D168" t="inlineStr">
        <is>
          <t>SÖDERMANLANDS LÄN</t>
        </is>
      </c>
      <c r="E168" t="inlineStr">
        <is>
          <t>NYKÖPING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21694-2019</t>
        </is>
      </c>
      <c r="B169" s="1" t="n">
        <v>43581</v>
      </c>
      <c r="C169" s="1" t="n">
        <v>45785</v>
      </c>
      <c r="D169" t="inlineStr">
        <is>
          <t>SÖDERMANLANDS LÄN</t>
        </is>
      </c>
      <c r="E169" t="inlineStr">
        <is>
          <t>NYKÖPING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23055-2019</t>
        </is>
      </c>
      <c r="B170" s="1" t="n">
        <v>43591</v>
      </c>
      <c r="C170" s="1" t="n">
        <v>45785</v>
      </c>
      <c r="D170" t="inlineStr">
        <is>
          <t>SÖDERMANLANDS LÄN</t>
        </is>
      </c>
      <c r="E170" t="inlineStr">
        <is>
          <t>NYKÖPING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23053-2019</t>
        </is>
      </c>
      <c r="B171" s="1" t="n">
        <v>43591</v>
      </c>
      <c r="C171" s="1" t="n">
        <v>45785</v>
      </c>
      <c r="D171" t="inlineStr">
        <is>
          <t>SÖDERMANLANDS LÄN</t>
        </is>
      </c>
      <c r="E171" t="inlineStr">
        <is>
          <t>NYKÖPING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23553-2019</t>
        </is>
      </c>
      <c r="B172" s="1" t="n">
        <v>43594</v>
      </c>
      <c r="C172" s="1" t="n">
        <v>45785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24069-2019</t>
        </is>
      </c>
      <c r="B173" s="1" t="n">
        <v>43598</v>
      </c>
      <c r="C173" s="1" t="n">
        <v>45785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24368-2019</t>
        </is>
      </c>
      <c r="B174" s="1" t="n">
        <v>43599</v>
      </c>
      <c r="C174" s="1" t="n">
        <v>45785</v>
      </c>
      <c r="D174" t="inlineStr">
        <is>
          <t>SÖDERMANLANDS LÄN</t>
        </is>
      </c>
      <c r="E174" t="inlineStr">
        <is>
          <t>NYKÖPING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24622-2019</t>
        </is>
      </c>
      <c r="B175" s="1" t="n">
        <v>43601</v>
      </c>
      <c r="C175" s="1" t="n">
        <v>45785</v>
      </c>
      <c r="D175" t="inlineStr">
        <is>
          <t>SÖDERMANLANDS LÄN</t>
        </is>
      </c>
      <c r="E175" t="inlineStr">
        <is>
          <t>NYKÖPING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24616-2019</t>
        </is>
      </c>
      <c r="B176" s="1" t="n">
        <v>43601</v>
      </c>
      <c r="C176" s="1" t="n">
        <v>45785</v>
      </c>
      <c r="D176" t="inlineStr">
        <is>
          <t>SÖDERMANLANDS LÄN</t>
        </is>
      </c>
      <c r="E176" t="inlineStr">
        <is>
          <t>NYKÖPING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26542-2019</t>
        </is>
      </c>
      <c r="B177" s="1" t="n">
        <v>43612</v>
      </c>
      <c r="C177" s="1" t="n">
        <v>45785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27545-2019</t>
        </is>
      </c>
      <c r="B178" s="1" t="n">
        <v>43619</v>
      </c>
      <c r="C178" s="1" t="n">
        <v>45785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28029-2019</t>
        </is>
      </c>
      <c r="B179" s="1" t="n">
        <v>43621</v>
      </c>
      <c r="C179" s="1" t="n">
        <v>45785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28035-2019</t>
        </is>
      </c>
      <c r="B180" s="1" t="n">
        <v>43621</v>
      </c>
      <c r="C180" s="1" t="n">
        <v>45785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28025-2019</t>
        </is>
      </c>
      <c r="B181" s="1" t="n">
        <v>43621</v>
      </c>
      <c r="C181" s="1" t="n">
        <v>45785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28401-2019</t>
        </is>
      </c>
      <c r="B182" s="1" t="n">
        <v>43626</v>
      </c>
      <c r="C182" s="1" t="n">
        <v>45785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28400-2019</t>
        </is>
      </c>
      <c r="B183" s="1" t="n">
        <v>43626</v>
      </c>
      <c r="C183" s="1" t="n">
        <v>45785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28404-2019</t>
        </is>
      </c>
      <c r="B184" s="1" t="n">
        <v>43626</v>
      </c>
      <c r="C184" s="1" t="n">
        <v>45785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28402-2019</t>
        </is>
      </c>
      <c r="B185" s="1" t="n">
        <v>43626</v>
      </c>
      <c r="C185" s="1" t="n">
        <v>45785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28568-2019</t>
        </is>
      </c>
      <c r="B186" s="1" t="n">
        <v>43626</v>
      </c>
      <c r="C186" s="1" t="n">
        <v>45785</v>
      </c>
      <c r="D186" t="inlineStr">
        <is>
          <t>SÖDERMANLANDS LÄN</t>
        </is>
      </c>
      <c r="E186" t="inlineStr">
        <is>
          <t>NYKÖPING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28567-2019</t>
        </is>
      </c>
      <c r="B187" s="1" t="n">
        <v>43626</v>
      </c>
      <c r="C187" s="1" t="n">
        <v>45785</v>
      </c>
      <c r="D187" t="inlineStr">
        <is>
          <t>SÖDERMANLANDS LÄN</t>
        </is>
      </c>
      <c r="E187" t="inlineStr">
        <is>
          <t>NYKÖPING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28405-2019</t>
        </is>
      </c>
      <c r="B188" s="1" t="n">
        <v>43626</v>
      </c>
      <c r="C188" s="1" t="n">
        <v>45785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28719-2019</t>
        </is>
      </c>
      <c r="B189" s="1" t="n">
        <v>43627</v>
      </c>
      <c r="C189" s="1" t="n">
        <v>45785</v>
      </c>
      <c r="D189" t="inlineStr">
        <is>
          <t>SÖDERMANLANDS LÄN</t>
        </is>
      </c>
      <c r="E189" t="inlineStr">
        <is>
          <t>NYKÖPING</t>
        </is>
      </c>
      <c r="G189" t="n">
        <v>14.7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30025-2019</t>
        </is>
      </c>
      <c r="B190" s="1" t="n">
        <v>43630</v>
      </c>
      <c r="C190" s="1" t="n">
        <v>45785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30982-2019</t>
        </is>
      </c>
      <c r="B191" s="1" t="n">
        <v>43640</v>
      </c>
      <c r="C191" s="1" t="n">
        <v>45785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31687-2019</t>
        </is>
      </c>
      <c r="B192" s="1" t="n">
        <v>43642</v>
      </c>
      <c r="C192" s="1" t="n">
        <v>45785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32926-2019</t>
        </is>
      </c>
      <c r="B193" s="1" t="n">
        <v>43643</v>
      </c>
      <c r="C193" s="1" t="n">
        <v>45785</v>
      </c>
      <c r="D193" t="inlineStr">
        <is>
          <t>SÖDERMANLANDS LÄN</t>
        </is>
      </c>
      <c r="E193" t="inlineStr">
        <is>
          <t>NYKÖPING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32804-2019</t>
        </is>
      </c>
      <c r="B194" s="1" t="n">
        <v>43643</v>
      </c>
      <c r="C194" s="1" t="n">
        <v>45785</v>
      </c>
      <c r="D194" t="inlineStr">
        <is>
          <t>SÖDERMANLANDS LÄN</t>
        </is>
      </c>
      <c r="E194" t="inlineStr">
        <is>
          <t>NYKÖPING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32931-2019</t>
        </is>
      </c>
      <c r="B195" s="1" t="n">
        <v>43643</v>
      </c>
      <c r="C195" s="1" t="n">
        <v>45785</v>
      </c>
      <c r="D195" t="inlineStr">
        <is>
          <t>SÖDERMANLANDS LÄN</t>
        </is>
      </c>
      <c r="E195" t="inlineStr">
        <is>
          <t>NYKÖPING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32353-2019</t>
        </is>
      </c>
      <c r="B196" s="1" t="n">
        <v>43644</v>
      </c>
      <c r="C196" s="1" t="n">
        <v>45785</v>
      </c>
      <c r="D196" t="inlineStr">
        <is>
          <t>SÖDERMANLANDS LÄN</t>
        </is>
      </c>
      <c r="E196" t="inlineStr">
        <is>
          <t>NYKÖPING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33364-2019</t>
        </is>
      </c>
      <c r="B197" s="1" t="n">
        <v>43650</v>
      </c>
      <c r="C197" s="1" t="n">
        <v>45785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33315-2019</t>
        </is>
      </c>
      <c r="B198" s="1" t="n">
        <v>43650</v>
      </c>
      <c r="C198" s="1" t="n">
        <v>45785</v>
      </c>
      <c r="D198" t="inlineStr">
        <is>
          <t>SÖDERMANLANDS LÄN</t>
        </is>
      </c>
      <c r="E198" t="inlineStr">
        <is>
          <t>NYKÖPING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35468-2019</t>
        </is>
      </c>
      <c r="B199" s="1" t="n">
        <v>43651</v>
      </c>
      <c r="C199" s="1" t="n">
        <v>45785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33968-2019</t>
        </is>
      </c>
      <c r="B200" s="1" t="n">
        <v>43654</v>
      </c>
      <c r="C200" s="1" t="n">
        <v>45785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Kyrkan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34606-2019</t>
        </is>
      </c>
      <c r="B201" s="1" t="n">
        <v>43657</v>
      </c>
      <c r="C201" s="1" t="n">
        <v>45785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35140-2019</t>
        </is>
      </c>
      <c r="B202" s="1" t="n">
        <v>43661</v>
      </c>
      <c r="C202" s="1" t="n">
        <v>45785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35155-2019</t>
        </is>
      </c>
      <c r="B203" s="1" t="n">
        <v>43661</v>
      </c>
      <c r="C203" s="1" t="n">
        <v>45785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35145-2019</t>
        </is>
      </c>
      <c r="B204" s="1" t="n">
        <v>43661</v>
      </c>
      <c r="C204" s="1" t="n">
        <v>45785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35591-2019</t>
        </is>
      </c>
      <c r="B205" s="1" t="n">
        <v>43664</v>
      </c>
      <c r="C205" s="1" t="n">
        <v>45785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35590-2019</t>
        </is>
      </c>
      <c r="B206" s="1" t="n">
        <v>43664</v>
      </c>
      <c r="C206" s="1" t="n">
        <v>45785</v>
      </c>
      <c r="D206" t="inlineStr">
        <is>
          <t>SÖDERMANLANDS LÄN</t>
        </is>
      </c>
      <c r="E206" t="inlineStr">
        <is>
          <t>NYKÖPING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36582-2019</t>
        </is>
      </c>
      <c r="B207" s="1" t="n">
        <v>43669</v>
      </c>
      <c r="C207" s="1" t="n">
        <v>45785</v>
      </c>
      <c r="D207" t="inlineStr">
        <is>
          <t>SÖDERMANLANDS LÄN</t>
        </is>
      </c>
      <c r="E207" t="inlineStr">
        <is>
          <t>NYKÖPING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37416-2019</t>
        </is>
      </c>
      <c r="B208" s="1" t="n">
        <v>43678</v>
      </c>
      <c r="C208" s="1" t="n">
        <v>45785</v>
      </c>
      <c r="D208" t="inlineStr">
        <is>
          <t>SÖDERMANLANDS LÄN</t>
        </is>
      </c>
      <c r="E208" t="inlineStr">
        <is>
          <t>NYKÖPING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37344-2019</t>
        </is>
      </c>
      <c r="B209" s="1" t="n">
        <v>43678</v>
      </c>
      <c r="C209" s="1" t="n">
        <v>45785</v>
      </c>
      <c r="D209" t="inlineStr">
        <is>
          <t>SÖDERMANLANDS LÄN</t>
        </is>
      </c>
      <c r="E209" t="inlineStr">
        <is>
          <t>NYKÖPING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37744-2019</t>
        </is>
      </c>
      <c r="B210" s="1" t="n">
        <v>43682</v>
      </c>
      <c r="C210" s="1" t="n">
        <v>45785</v>
      </c>
      <c r="D210" t="inlineStr">
        <is>
          <t>SÖDERMANLANDS LÄN</t>
        </is>
      </c>
      <c r="E210" t="inlineStr">
        <is>
          <t>NYKÖPING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38046-2019</t>
        </is>
      </c>
      <c r="B211" s="1" t="n">
        <v>43683</v>
      </c>
      <c r="C211" s="1" t="n">
        <v>45785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37940-2019</t>
        </is>
      </c>
      <c r="B212" s="1" t="n">
        <v>43683</v>
      </c>
      <c r="C212" s="1" t="n">
        <v>45785</v>
      </c>
      <c r="D212" t="inlineStr">
        <is>
          <t>SÖDERMANLANDS LÄN</t>
        </is>
      </c>
      <c r="E212" t="inlineStr">
        <is>
          <t>NYKÖPING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38593-2019</t>
        </is>
      </c>
      <c r="B213" s="1" t="n">
        <v>43686</v>
      </c>
      <c r="C213" s="1" t="n">
        <v>45785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38736-2019</t>
        </is>
      </c>
      <c r="B214" s="1" t="n">
        <v>43686</v>
      </c>
      <c r="C214" s="1" t="n">
        <v>45785</v>
      </c>
      <c r="D214" t="inlineStr">
        <is>
          <t>SÖDERMANLANDS LÄN</t>
        </is>
      </c>
      <c r="E214" t="inlineStr">
        <is>
          <t>NYKÖPING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39247-2019</t>
        </is>
      </c>
      <c r="B215" s="1" t="n">
        <v>43690</v>
      </c>
      <c r="C215" s="1" t="n">
        <v>45785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39335-2019</t>
        </is>
      </c>
      <c r="B216" s="1" t="n">
        <v>43690</v>
      </c>
      <c r="C216" s="1" t="n">
        <v>45785</v>
      </c>
      <c r="D216" t="inlineStr">
        <is>
          <t>SÖDERMANLANDS LÄN</t>
        </is>
      </c>
      <c r="E216" t="inlineStr">
        <is>
          <t>NYKÖPING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39228-2019</t>
        </is>
      </c>
      <c r="B217" s="1" t="n">
        <v>43690</v>
      </c>
      <c r="C217" s="1" t="n">
        <v>45785</v>
      </c>
      <c r="D217" t="inlineStr">
        <is>
          <t>SÖDERMANLANDS LÄN</t>
        </is>
      </c>
      <c r="E217" t="inlineStr">
        <is>
          <t>NYKÖPING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39245-2019</t>
        </is>
      </c>
      <c r="B218" s="1" t="n">
        <v>43690</v>
      </c>
      <c r="C218" s="1" t="n">
        <v>45785</v>
      </c>
      <c r="D218" t="inlineStr">
        <is>
          <t>SÖDERMANLANDS LÄN</t>
        </is>
      </c>
      <c r="E218" t="inlineStr">
        <is>
          <t>NYKÖPING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39166-2019</t>
        </is>
      </c>
      <c r="B219" s="1" t="n">
        <v>43690</v>
      </c>
      <c r="C219" s="1" t="n">
        <v>45785</v>
      </c>
      <c r="D219" t="inlineStr">
        <is>
          <t>SÖDERMANLANDS LÄN</t>
        </is>
      </c>
      <c r="E219" t="inlineStr">
        <is>
          <t>NYKÖPING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40620-2019</t>
        </is>
      </c>
      <c r="B220" s="1" t="n">
        <v>43691</v>
      </c>
      <c r="C220" s="1" t="n">
        <v>45785</v>
      </c>
      <c r="D220" t="inlineStr">
        <is>
          <t>SÖDERMANLANDS LÄN</t>
        </is>
      </c>
      <c r="E220" t="inlineStr">
        <is>
          <t>NYKÖPING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41149-2019</t>
        </is>
      </c>
      <c r="B221" s="1" t="n">
        <v>43698</v>
      </c>
      <c r="C221" s="1" t="n">
        <v>45785</v>
      </c>
      <c r="D221" t="inlineStr">
        <is>
          <t>SÖDERMANLANDS LÄN</t>
        </is>
      </c>
      <c r="E221" t="inlineStr">
        <is>
          <t>NYKÖPING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41154-2019</t>
        </is>
      </c>
      <c r="B222" s="1" t="n">
        <v>43698</v>
      </c>
      <c r="C222" s="1" t="n">
        <v>45785</v>
      </c>
      <c r="D222" t="inlineStr">
        <is>
          <t>SÖDERMANLANDS LÄN</t>
        </is>
      </c>
      <c r="E222" t="inlineStr">
        <is>
          <t>NYKÖPING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41244-2019</t>
        </is>
      </c>
      <c r="B223" s="1" t="n">
        <v>43698</v>
      </c>
      <c r="C223" s="1" t="n">
        <v>45785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41167-2019</t>
        </is>
      </c>
      <c r="B224" s="1" t="n">
        <v>43698</v>
      </c>
      <c r="C224" s="1" t="n">
        <v>45785</v>
      </c>
      <c r="D224" t="inlineStr">
        <is>
          <t>SÖDERMANLANDS LÄN</t>
        </is>
      </c>
      <c r="E224" t="inlineStr">
        <is>
          <t>NYKÖPING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42234-2019</t>
        </is>
      </c>
      <c r="B225" s="1" t="n">
        <v>43703</v>
      </c>
      <c r="C225" s="1" t="n">
        <v>45785</v>
      </c>
      <c r="D225" t="inlineStr">
        <is>
          <t>SÖDERMANLANDS LÄN</t>
        </is>
      </c>
      <c r="E225" t="inlineStr">
        <is>
          <t>NYKÖPING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42324-2019</t>
        </is>
      </c>
      <c r="B226" s="1" t="n">
        <v>43703</v>
      </c>
      <c r="C226" s="1" t="n">
        <v>45785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42336-2019</t>
        </is>
      </c>
      <c r="B227" s="1" t="n">
        <v>43703</v>
      </c>
      <c r="C227" s="1" t="n">
        <v>45785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42343-2019</t>
        </is>
      </c>
      <c r="B228" s="1" t="n">
        <v>43703</v>
      </c>
      <c r="C228" s="1" t="n">
        <v>45785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42338-2019</t>
        </is>
      </c>
      <c r="B229" s="1" t="n">
        <v>43703</v>
      </c>
      <c r="C229" s="1" t="n">
        <v>45785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42328-2019</t>
        </is>
      </c>
      <c r="B230" s="1" t="n">
        <v>43703</v>
      </c>
      <c r="C230" s="1" t="n">
        <v>45785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42488-2019</t>
        </is>
      </c>
      <c r="B231" s="1" t="n">
        <v>43704</v>
      </c>
      <c r="C231" s="1" t="n">
        <v>45785</v>
      </c>
      <c r="D231" t="inlineStr">
        <is>
          <t>SÖDERMANLANDS LÄN</t>
        </is>
      </c>
      <c r="E231" t="inlineStr">
        <is>
          <t>NYKÖPING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42496-2019</t>
        </is>
      </c>
      <c r="B232" s="1" t="n">
        <v>43704</v>
      </c>
      <c r="C232" s="1" t="n">
        <v>45785</v>
      </c>
      <c r="D232" t="inlineStr">
        <is>
          <t>SÖDERMANLANDS LÄN</t>
        </is>
      </c>
      <c r="E232" t="inlineStr">
        <is>
          <t>NYKÖPING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42491-2019</t>
        </is>
      </c>
      <c r="B233" s="1" t="n">
        <v>43704</v>
      </c>
      <c r="C233" s="1" t="n">
        <v>45785</v>
      </c>
      <c r="D233" t="inlineStr">
        <is>
          <t>SÖDERMANLANDS LÄN</t>
        </is>
      </c>
      <c r="E233" t="inlineStr">
        <is>
          <t>NYKÖPING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43679-2019</t>
        </is>
      </c>
      <c r="B234" s="1" t="n">
        <v>43707</v>
      </c>
      <c r="C234" s="1" t="n">
        <v>45785</v>
      </c>
      <c r="D234" t="inlineStr">
        <is>
          <t>SÖDERMANLANDS LÄN</t>
        </is>
      </c>
      <c r="E234" t="inlineStr">
        <is>
          <t>NYKÖPING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44309-2019</t>
        </is>
      </c>
      <c r="B235" s="1" t="n">
        <v>43710</v>
      </c>
      <c r="C235" s="1" t="n">
        <v>45785</v>
      </c>
      <c r="D235" t="inlineStr">
        <is>
          <t>SÖDERMANLANDS LÄN</t>
        </is>
      </c>
      <c r="E235" t="inlineStr">
        <is>
          <t>NYKÖPING</t>
        </is>
      </c>
      <c r="G235" t="n">
        <v>16.3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46504-2019</t>
        </is>
      </c>
      <c r="B236" s="1" t="n">
        <v>43717</v>
      </c>
      <c r="C236" s="1" t="n">
        <v>45785</v>
      </c>
      <c r="D236" t="inlineStr">
        <is>
          <t>SÖDERMANLANDS LÄN</t>
        </is>
      </c>
      <c r="E236" t="inlineStr">
        <is>
          <t>NYKÖPING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46078-2019</t>
        </is>
      </c>
      <c r="B237" s="1" t="n">
        <v>43718</v>
      </c>
      <c r="C237" s="1" t="n">
        <v>45785</v>
      </c>
      <c r="D237" t="inlineStr">
        <is>
          <t>SÖDERMANLANDS LÄN</t>
        </is>
      </c>
      <c r="E237" t="inlineStr">
        <is>
          <t>NYKÖPING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47034-2019</t>
        </is>
      </c>
      <c r="B238" s="1" t="n">
        <v>43720</v>
      </c>
      <c r="C238" s="1" t="n">
        <v>45785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47122-2019</t>
        </is>
      </c>
      <c r="B239" s="1" t="n">
        <v>43721</v>
      </c>
      <c r="C239" s="1" t="n">
        <v>45785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47127-2019</t>
        </is>
      </c>
      <c r="B240" s="1" t="n">
        <v>43721</v>
      </c>
      <c r="C240" s="1" t="n">
        <v>45785</v>
      </c>
      <c r="D240" t="inlineStr">
        <is>
          <t>SÖDERMANLANDS LÄN</t>
        </is>
      </c>
      <c r="E240" t="inlineStr">
        <is>
          <t>NYKÖPING</t>
        </is>
      </c>
      <c r="G240" t="n">
        <v>49.7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47128-2019</t>
        </is>
      </c>
      <c r="B241" s="1" t="n">
        <v>43721</v>
      </c>
      <c r="C241" s="1" t="n">
        <v>45785</v>
      </c>
      <c r="D241" t="inlineStr">
        <is>
          <t>SÖDERMANLANDS LÄN</t>
        </is>
      </c>
      <c r="E241" t="inlineStr">
        <is>
          <t>NYKÖPING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47431-2019</t>
        </is>
      </c>
      <c r="B242" s="1" t="n">
        <v>43723</v>
      </c>
      <c r="C242" s="1" t="n">
        <v>45785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48452-2019</t>
        </is>
      </c>
      <c r="B243" s="1" t="n">
        <v>43727</v>
      </c>
      <c r="C243" s="1" t="n">
        <v>45785</v>
      </c>
      <c r="D243" t="inlineStr">
        <is>
          <t>SÖDERMANLANDS LÄN</t>
        </is>
      </c>
      <c r="E243" t="inlineStr">
        <is>
          <t>NYKÖPING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48726-2019</t>
        </is>
      </c>
      <c r="B244" s="1" t="n">
        <v>43728</v>
      </c>
      <c r="C244" s="1" t="n">
        <v>45785</v>
      </c>
      <c r="D244" t="inlineStr">
        <is>
          <t>SÖDERMANLANDS LÄN</t>
        </is>
      </c>
      <c r="E244" t="inlineStr">
        <is>
          <t>NYKÖPING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48848-2019</t>
        </is>
      </c>
      <c r="B245" s="1" t="n">
        <v>43728</v>
      </c>
      <c r="C245" s="1" t="n">
        <v>45785</v>
      </c>
      <c r="D245" t="inlineStr">
        <is>
          <t>SÖDERMANLANDS LÄN</t>
        </is>
      </c>
      <c r="E245" t="inlineStr">
        <is>
          <t>NYKÖPING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50046-2019</t>
        </is>
      </c>
      <c r="B246" s="1" t="n">
        <v>43733</v>
      </c>
      <c r="C246" s="1" t="n">
        <v>45785</v>
      </c>
      <c r="D246" t="inlineStr">
        <is>
          <t>SÖDERMANLANDS LÄN</t>
        </is>
      </c>
      <c r="E246" t="inlineStr">
        <is>
          <t>NYKÖPING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50149-2019</t>
        </is>
      </c>
      <c r="B247" s="1" t="n">
        <v>43734</v>
      </c>
      <c r="C247" s="1" t="n">
        <v>45785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50869-2019</t>
        </is>
      </c>
      <c r="B248" s="1" t="n">
        <v>43738</v>
      </c>
      <c r="C248" s="1" t="n">
        <v>45785</v>
      </c>
      <c r="D248" t="inlineStr">
        <is>
          <t>SÖDERMANLANDS LÄN</t>
        </is>
      </c>
      <c r="E248" t="inlineStr">
        <is>
          <t>NYKÖPING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51298-2019</t>
        </is>
      </c>
      <c r="B249" s="1" t="n">
        <v>43739</v>
      </c>
      <c r="C249" s="1" t="n">
        <v>45785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51296-2019</t>
        </is>
      </c>
      <c r="B250" s="1" t="n">
        <v>43739</v>
      </c>
      <c r="C250" s="1" t="n">
        <v>45785</v>
      </c>
      <c r="D250" t="inlineStr">
        <is>
          <t>SÖDERMANLANDS LÄN</t>
        </is>
      </c>
      <c r="E250" t="inlineStr">
        <is>
          <t>NYKÖPING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52676-2019</t>
        </is>
      </c>
      <c r="B251" s="1" t="n">
        <v>43746</v>
      </c>
      <c r="C251" s="1" t="n">
        <v>45785</v>
      </c>
      <c r="D251" t="inlineStr">
        <is>
          <t>SÖDERMANLANDS LÄN</t>
        </is>
      </c>
      <c r="E251" t="inlineStr">
        <is>
          <t>NYKÖPING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53786-2019</t>
        </is>
      </c>
      <c r="B252" s="1" t="n">
        <v>43751</v>
      </c>
      <c r="C252" s="1" t="n">
        <v>45785</v>
      </c>
      <c r="D252" t="inlineStr">
        <is>
          <t>SÖDERMANLANDS LÄN</t>
        </is>
      </c>
      <c r="E252" t="inlineStr">
        <is>
          <t>NYKÖPING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54244-2019</t>
        </is>
      </c>
      <c r="B253" s="1" t="n">
        <v>43753</v>
      </c>
      <c r="C253" s="1" t="n">
        <v>45785</v>
      </c>
      <c r="D253" t="inlineStr">
        <is>
          <t>SÖDERMANLANDS LÄN</t>
        </is>
      </c>
      <c r="E253" t="inlineStr">
        <is>
          <t>NYKÖPING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54208-2019</t>
        </is>
      </c>
      <c r="B254" s="1" t="n">
        <v>43753</v>
      </c>
      <c r="C254" s="1" t="n">
        <v>45785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56842-2019</t>
        </is>
      </c>
      <c r="B255" s="1" t="n">
        <v>43765</v>
      </c>
      <c r="C255" s="1" t="n">
        <v>45785</v>
      </c>
      <c r="D255" t="inlineStr">
        <is>
          <t>SÖDERMANLANDS LÄN</t>
        </is>
      </c>
      <c r="E255" t="inlineStr">
        <is>
          <t>NYKÖPING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56843-2019</t>
        </is>
      </c>
      <c r="B256" s="1" t="n">
        <v>43765</v>
      </c>
      <c r="C256" s="1" t="n">
        <v>45785</v>
      </c>
      <c r="D256" t="inlineStr">
        <is>
          <t>SÖDERMANLANDS LÄN</t>
        </is>
      </c>
      <c r="E256" t="inlineStr">
        <is>
          <t>NYKÖPING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58109-2019</t>
        </is>
      </c>
      <c r="B257" s="1" t="n">
        <v>43766</v>
      </c>
      <c r="C257" s="1" t="n">
        <v>45785</v>
      </c>
      <c r="D257" t="inlineStr">
        <is>
          <t>SÖDERMANLANDS LÄN</t>
        </is>
      </c>
      <c r="E257" t="inlineStr">
        <is>
          <t>NYKÖPING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58108-2019</t>
        </is>
      </c>
      <c r="B258" s="1" t="n">
        <v>43766</v>
      </c>
      <c r="C258" s="1" t="n">
        <v>45785</v>
      </c>
      <c r="D258" t="inlineStr">
        <is>
          <t>SÖDERMANLANDS LÄN</t>
        </is>
      </c>
      <c r="E258" t="inlineStr">
        <is>
          <t>NYKÖPING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57407-2019</t>
        </is>
      </c>
      <c r="B259" s="1" t="n">
        <v>43767</v>
      </c>
      <c r="C259" s="1" t="n">
        <v>45785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61821-2019</t>
        </is>
      </c>
      <c r="B260" s="1" t="n">
        <v>43786</v>
      </c>
      <c r="C260" s="1" t="n">
        <v>45785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61843-2019</t>
        </is>
      </c>
      <c r="B261" s="1" t="n">
        <v>43786</v>
      </c>
      <c r="C261" s="1" t="n">
        <v>45785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61822-2019</t>
        </is>
      </c>
      <c r="B262" s="1" t="n">
        <v>43786</v>
      </c>
      <c r="C262" s="1" t="n">
        <v>45785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61876-2019</t>
        </is>
      </c>
      <c r="B263" s="1" t="n">
        <v>43787</v>
      </c>
      <c r="C263" s="1" t="n">
        <v>45785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Kommuner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62272-2019</t>
        </is>
      </c>
      <c r="B264" s="1" t="n">
        <v>43788</v>
      </c>
      <c r="C264" s="1" t="n">
        <v>45785</v>
      </c>
      <c r="D264" t="inlineStr">
        <is>
          <t>SÖDERMANLANDS LÄN</t>
        </is>
      </c>
      <c r="E264" t="inlineStr">
        <is>
          <t>NYKÖPING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62324-2019</t>
        </is>
      </c>
      <c r="B265" s="1" t="n">
        <v>43788</v>
      </c>
      <c r="C265" s="1" t="n">
        <v>45785</v>
      </c>
      <c r="D265" t="inlineStr">
        <is>
          <t>SÖDERMANLANDS LÄN</t>
        </is>
      </c>
      <c r="E265" t="inlineStr">
        <is>
          <t>NYKÖPING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63696-2019</t>
        </is>
      </c>
      <c r="B266" s="1" t="n">
        <v>43795</v>
      </c>
      <c r="C266" s="1" t="n">
        <v>45785</v>
      </c>
      <c r="D266" t="inlineStr">
        <is>
          <t>SÖDERMANLANDS LÄN</t>
        </is>
      </c>
      <c r="E266" t="inlineStr">
        <is>
          <t>NYKÖPING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63822-2019</t>
        </is>
      </c>
      <c r="B267" s="1" t="n">
        <v>43795</v>
      </c>
      <c r="C267" s="1" t="n">
        <v>45785</v>
      </c>
      <c r="D267" t="inlineStr">
        <is>
          <t>SÖDERMANLANDS LÄN</t>
        </is>
      </c>
      <c r="E267" t="inlineStr">
        <is>
          <t>NYKÖPING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64737-2019</t>
        </is>
      </c>
      <c r="B268" s="1" t="n">
        <v>43800</v>
      </c>
      <c r="C268" s="1" t="n">
        <v>45785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64977-2019</t>
        </is>
      </c>
      <c r="B269" s="1" t="n">
        <v>43801</v>
      </c>
      <c r="C269" s="1" t="n">
        <v>45785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65588-2019</t>
        </is>
      </c>
      <c r="B270" s="1" t="n">
        <v>43804</v>
      </c>
      <c r="C270" s="1" t="n">
        <v>45785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65773-2019</t>
        </is>
      </c>
      <c r="B271" s="1" t="n">
        <v>43804</v>
      </c>
      <c r="C271" s="1" t="n">
        <v>45785</v>
      </c>
      <c r="D271" t="inlineStr">
        <is>
          <t>SÖDERMANLANDS LÄN</t>
        </is>
      </c>
      <c r="E271" t="inlineStr">
        <is>
          <t>NYKÖPING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65978-2019</t>
        </is>
      </c>
      <c r="B272" s="1" t="n">
        <v>43805</v>
      </c>
      <c r="C272" s="1" t="n">
        <v>45785</v>
      </c>
      <c r="D272" t="inlineStr">
        <is>
          <t>SÖDERMANLANDS LÄN</t>
        </is>
      </c>
      <c r="E272" t="inlineStr">
        <is>
          <t>NYKÖPING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66226-2019</t>
        </is>
      </c>
      <c r="B273" s="1" t="n">
        <v>43808</v>
      </c>
      <c r="C273" s="1" t="n">
        <v>45785</v>
      </c>
      <c r="D273" t="inlineStr">
        <is>
          <t>SÖDERMANLANDS LÄN</t>
        </is>
      </c>
      <c r="E273" t="inlineStr">
        <is>
          <t>NYKÖPING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66587-2019</t>
        </is>
      </c>
      <c r="B274" s="1" t="n">
        <v>43809</v>
      </c>
      <c r="C274" s="1" t="n">
        <v>45785</v>
      </c>
      <c r="D274" t="inlineStr">
        <is>
          <t>SÖDERMANLANDS LÄN</t>
        </is>
      </c>
      <c r="E274" t="inlineStr">
        <is>
          <t>NYKÖPING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66636-2019</t>
        </is>
      </c>
      <c r="B275" s="1" t="n">
        <v>43809</v>
      </c>
      <c r="C275" s="1" t="n">
        <v>45785</v>
      </c>
      <c r="D275" t="inlineStr">
        <is>
          <t>SÖDERMANLANDS LÄN</t>
        </is>
      </c>
      <c r="E275" t="inlineStr">
        <is>
          <t>NYKÖPING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66676-2019</t>
        </is>
      </c>
      <c r="B276" s="1" t="n">
        <v>43809</v>
      </c>
      <c r="C276" s="1" t="n">
        <v>45785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66686-2019</t>
        </is>
      </c>
      <c r="B277" s="1" t="n">
        <v>43809</v>
      </c>
      <c r="C277" s="1" t="n">
        <v>45785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66790-2019</t>
        </is>
      </c>
      <c r="B278" s="1" t="n">
        <v>43810</v>
      </c>
      <c r="C278" s="1" t="n">
        <v>45785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67405-2019</t>
        </is>
      </c>
      <c r="B279" s="1" t="n">
        <v>43811</v>
      </c>
      <c r="C279" s="1" t="n">
        <v>45785</v>
      </c>
      <c r="D279" t="inlineStr">
        <is>
          <t>SÖDERMANLANDS LÄN</t>
        </is>
      </c>
      <c r="E279" t="inlineStr">
        <is>
          <t>NYKÖPING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67393-2019</t>
        </is>
      </c>
      <c r="B280" s="1" t="n">
        <v>43811</v>
      </c>
      <c r="C280" s="1" t="n">
        <v>45785</v>
      </c>
      <c r="D280" t="inlineStr">
        <is>
          <t>SÖDERMANLANDS LÄN</t>
        </is>
      </c>
      <c r="E280" t="inlineStr">
        <is>
          <t>NYKÖPING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859-2020</t>
        </is>
      </c>
      <c r="B281" s="1" t="n">
        <v>43818</v>
      </c>
      <c r="C281" s="1" t="n">
        <v>45785</v>
      </c>
      <c r="D281" t="inlineStr">
        <is>
          <t>SÖDERMANLANDS LÄN</t>
        </is>
      </c>
      <c r="E281" t="inlineStr">
        <is>
          <t>NYKÖPING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68651-2019</t>
        </is>
      </c>
      <c r="B282" s="1" t="n">
        <v>43819</v>
      </c>
      <c r="C282" s="1" t="n">
        <v>45785</v>
      </c>
      <c r="D282" t="inlineStr">
        <is>
          <t>SÖDERMANLANDS LÄN</t>
        </is>
      </c>
      <c r="E282" t="inlineStr">
        <is>
          <t>NYKÖPING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520-2020</t>
        </is>
      </c>
      <c r="B283" s="1" t="n">
        <v>43837</v>
      </c>
      <c r="C283" s="1" t="n">
        <v>45785</v>
      </c>
      <c r="D283" t="inlineStr">
        <is>
          <t>SÖDERMANLANDS LÄN</t>
        </is>
      </c>
      <c r="E283" t="inlineStr">
        <is>
          <t>NYKÖPING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613-2020</t>
        </is>
      </c>
      <c r="B284" s="1" t="n">
        <v>43838</v>
      </c>
      <c r="C284" s="1" t="n">
        <v>45785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2048-2020</t>
        </is>
      </c>
      <c r="B285" s="1" t="n">
        <v>43839</v>
      </c>
      <c r="C285" s="1" t="n">
        <v>45785</v>
      </c>
      <c r="D285" t="inlineStr">
        <is>
          <t>SÖDERMANLANDS LÄN</t>
        </is>
      </c>
      <c r="E285" t="inlineStr">
        <is>
          <t>NYKÖPING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981-2020</t>
        </is>
      </c>
      <c r="B286" s="1" t="n">
        <v>43839</v>
      </c>
      <c r="C286" s="1" t="n">
        <v>45785</v>
      </c>
      <c r="D286" t="inlineStr">
        <is>
          <t>SÖDERMANLANDS LÄN</t>
        </is>
      </c>
      <c r="E286" t="inlineStr">
        <is>
          <t>NYKÖPING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1879-2020</t>
        </is>
      </c>
      <c r="B287" s="1" t="n">
        <v>43845</v>
      </c>
      <c r="C287" s="1" t="n">
        <v>45785</v>
      </c>
      <c r="D287" t="inlineStr">
        <is>
          <t>SÖDERMANLANDS LÄN</t>
        </is>
      </c>
      <c r="E287" t="inlineStr">
        <is>
          <t>NYKÖPING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3987-2020</t>
        </is>
      </c>
      <c r="B288" s="1" t="n">
        <v>43855</v>
      </c>
      <c r="C288" s="1" t="n">
        <v>45785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4187-2020</t>
        </is>
      </c>
      <c r="B289" s="1" t="n">
        <v>43857</v>
      </c>
      <c r="C289" s="1" t="n">
        <v>45785</v>
      </c>
      <c r="D289" t="inlineStr">
        <is>
          <t>SÖDERMANLANDS LÄN</t>
        </is>
      </c>
      <c r="E289" t="inlineStr">
        <is>
          <t>NYKÖPING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5299-2020</t>
        </is>
      </c>
      <c r="B290" s="1" t="n">
        <v>43860</v>
      </c>
      <c r="C290" s="1" t="n">
        <v>45785</v>
      </c>
      <c r="D290" t="inlineStr">
        <is>
          <t>SÖDERMANLANDS LÄN</t>
        </is>
      </c>
      <c r="E290" t="inlineStr">
        <is>
          <t>NYKÖPING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5819-2020</t>
        </is>
      </c>
      <c r="B291" s="1" t="n">
        <v>43864</v>
      </c>
      <c r="C291" s="1" t="n">
        <v>45785</v>
      </c>
      <c r="D291" t="inlineStr">
        <is>
          <t>SÖDERMANLANDS LÄN</t>
        </is>
      </c>
      <c r="E291" t="inlineStr">
        <is>
          <t>NYKÖPING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5816-2020</t>
        </is>
      </c>
      <c r="B292" s="1" t="n">
        <v>43864</v>
      </c>
      <c r="C292" s="1" t="n">
        <v>45785</v>
      </c>
      <c r="D292" t="inlineStr">
        <is>
          <t>SÖDERMANLANDS LÄN</t>
        </is>
      </c>
      <c r="E292" t="inlineStr">
        <is>
          <t>NYKÖPING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6773-2020</t>
        </is>
      </c>
      <c r="B293" s="1" t="n">
        <v>43867</v>
      </c>
      <c r="C293" s="1" t="n">
        <v>45785</v>
      </c>
      <c r="D293" t="inlineStr">
        <is>
          <t>SÖDERMANLANDS LÄN</t>
        </is>
      </c>
      <c r="E293" t="inlineStr">
        <is>
          <t>NYKÖPING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7057-2020</t>
        </is>
      </c>
      <c r="B294" s="1" t="n">
        <v>43868</v>
      </c>
      <c r="C294" s="1" t="n">
        <v>45785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7050-2020</t>
        </is>
      </c>
      <c r="B295" s="1" t="n">
        <v>43868</v>
      </c>
      <c r="C295" s="1" t="n">
        <v>45785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7932-2020</t>
        </is>
      </c>
      <c r="B296" s="1" t="n">
        <v>43873</v>
      </c>
      <c r="C296" s="1" t="n">
        <v>45785</v>
      </c>
      <c r="D296" t="inlineStr">
        <is>
          <t>SÖDERMANLANDS LÄN</t>
        </is>
      </c>
      <c r="E296" t="inlineStr">
        <is>
          <t>NYKÖPING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8169-2020</t>
        </is>
      </c>
      <c r="B297" s="1" t="n">
        <v>43874</v>
      </c>
      <c r="C297" s="1" t="n">
        <v>45785</v>
      </c>
      <c r="D297" t="inlineStr">
        <is>
          <t>SÖDERMANLANDS LÄN</t>
        </is>
      </c>
      <c r="E297" t="inlineStr">
        <is>
          <t>NYKÖPING</t>
        </is>
      </c>
      <c r="G297" t="n">
        <v>18.5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8239-2020</t>
        </is>
      </c>
      <c r="B298" s="1" t="n">
        <v>43874</v>
      </c>
      <c r="C298" s="1" t="n">
        <v>45785</v>
      </c>
      <c r="D298" t="inlineStr">
        <is>
          <t>SÖDERMANLANDS LÄN</t>
        </is>
      </c>
      <c r="E298" t="inlineStr">
        <is>
          <t>NYKÖPING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9217-2020</t>
        </is>
      </c>
      <c r="B299" s="1" t="n">
        <v>43879</v>
      </c>
      <c r="C299" s="1" t="n">
        <v>45785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9253-2020</t>
        </is>
      </c>
      <c r="B300" s="1" t="n">
        <v>43879</v>
      </c>
      <c r="C300" s="1" t="n">
        <v>45785</v>
      </c>
      <c r="D300" t="inlineStr">
        <is>
          <t>SÖDERMANLANDS LÄN</t>
        </is>
      </c>
      <c r="E300" t="inlineStr">
        <is>
          <t>NYKÖPING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9252-2020</t>
        </is>
      </c>
      <c r="B301" s="1" t="n">
        <v>43879</v>
      </c>
      <c r="C301" s="1" t="n">
        <v>45785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9251-2020</t>
        </is>
      </c>
      <c r="B302" s="1" t="n">
        <v>43879</v>
      </c>
      <c r="C302" s="1" t="n">
        <v>45785</v>
      </c>
      <c r="D302" t="inlineStr">
        <is>
          <t>SÖDERMANLANDS LÄN</t>
        </is>
      </c>
      <c r="E302" t="inlineStr">
        <is>
          <t>NYKÖPING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9247-2020</t>
        </is>
      </c>
      <c r="B303" s="1" t="n">
        <v>43879</v>
      </c>
      <c r="C303" s="1" t="n">
        <v>45785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11316-2020</t>
        </is>
      </c>
      <c r="B304" s="1" t="n">
        <v>43892</v>
      </c>
      <c r="C304" s="1" t="n">
        <v>45785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11314-2020</t>
        </is>
      </c>
      <c r="B305" s="1" t="n">
        <v>43892</v>
      </c>
      <c r="C305" s="1" t="n">
        <v>45785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13053-2020</t>
        </is>
      </c>
      <c r="B306" s="1" t="n">
        <v>43900</v>
      </c>
      <c r="C306" s="1" t="n">
        <v>45785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13058-2020</t>
        </is>
      </c>
      <c r="B307" s="1" t="n">
        <v>43900</v>
      </c>
      <c r="C307" s="1" t="n">
        <v>45785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13118-2020</t>
        </is>
      </c>
      <c r="B308" s="1" t="n">
        <v>43901</v>
      </c>
      <c r="C308" s="1" t="n">
        <v>45785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13344-2020</t>
        </is>
      </c>
      <c r="B309" s="1" t="n">
        <v>43902</v>
      </c>
      <c r="C309" s="1" t="n">
        <v>45785</v>
      </c>
      <c r="D309" t="inlineStr">
        <is>
          <t>SÖDERMANLANDS LÄN</t>
        </is>
      </c>
      <c r="E309" t="inlineStr">
        <is>
          <t>NYKÖPING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13778-2020</t>
        </is>
      </c>
      <c r="B310" s="1" t="n">
        <v>43903</v>
      </c>
      <c r="C310" s="1" t="n">
        <v>45785</v>
      </c>
      <c r="D310" t="inlineStr">
        <is>
          <t>SÖDERMANLANDS LÄN</t>
        </is>
      </c>
      <c r="E310" t="inlineStr">
        <is>
          <t>NYKÖPING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13874-2020</t>
        </is>
      </c>
      <c r="B311" s="1" t="n">
        <v>43906</v>
      </c>
      <c r="C311" s="1" t="n">
        <v>45785</v>
      </c>
      <c r="D311" t="inlineStr">
        <is>
          <t>SÖDERMANLANDS LÄN</t>
        </is>
      </c>
      <c r="E311" t="inlineStr">
        <is>
          <t>NYKÖPING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14241-2020</t>
        </is>
      </c>
      <c r="B312" s="1" t="n">
        <v>43907</v>
      </c>
      <c r="C312" s="1" t="n">
        <v>45785</v>
      </c>
      <c r="D312" t="inlineStr">
        <is>
          <t>SÖDERMANLANDS LÄN</t>
        </is>
      </c>
      <c r="E312" t="inlineStr">
        <is>
          <t>NYKÖPING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14313-2020</t>
        </is>
      </c>
      <c r="B313" s="1" t="n">
        <v>43907</v>
      </c>
      <c r="C313" s="1" t="n">
        <v>45785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Övriga Aktiebolag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14533-2020</t>
        </is>
      </c>
      <c r="B314" s="1" t="n">
        <v>43908</v>
      </c>
      <c r="C314" s="1" t="n">
        <v>45785</v>
      </c>
      <c r="D314" t="inlineStr">
        <is>
          <t>SÖDERMANLANDS LÄN</t>
        </is>
      </c>
      <c r="E314" t="inlineStr">
        <is>
          <t>NYKÖPING</t>
        </is>
      </c>
      <c r="G314" t="n">
        <v>21.2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14708-2020</t>
        </is>
      </c>
      <c r="B315" s="1" t="n">
        <v>43909</v>
      </c>
      <c r="C315" s="1" t="n">
        <v>45785</v>
      </c>
      <c r="D315" t="inlineStr">
        <is>
          <t>SÖDERMANLANDS LÄN</t>
        </is>
      </c>
      <c r="E315" t="inlineStr">
        <is>
          <t>NYKÖPING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15469-2020</t>
        </is>
      </c>
      <c r="B316" s="1" t="n">
        <v>43914</v>
      </c>
      <c r="C316" s="1" t="n">
        <v>45785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16227-2020</t>
        </is>
      </c>
      <c r="B317" s="1" t="n">
        <v>43915</v>
      </c>
      <c r="C317" s="1" t="n">
        <v>45785</v>
      </c>
      <c r="D317" t="inlineStr">
        <is>
          <t>SÖDERMANLANDS LÄN</t>
        </is>
      </c>
      <c r="E317" t="inlineStr">
        <is>
          <t>NYKÖPING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16679-2020</t>
        </is>
      </c>
      <c r="B318" s="1" t="n">
        <v>43920</v>
      </c>
      <c r="C318" s="1" t="n">
        <v>45785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16741-2020</t>
        </is>
      </c>
      <c r="B319" s="1" t="n">
        <v>43920</v>
      </c>
      <c r="C319" s="1" t="n">
        <v>45785</v>
      </c>
      <c r="D319" t="inlineStr">
        <is>
          <t>SÖDERMANLANDS LÄN</t>
        </is>
      </c>
      <c r="E319" t="inlineStr">
        <is>
          <t>NYKÖPING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17805-2020</t>
        </is>
      </c>
      <c r="B320" s="1" t="n">
        <v>43924</v>
      </c>
      <c r="C320" s="1" t="n">
        <v>45785</v>
      </c>
      <c r="D320" t="inlineStr">
        <is>
          <t>SÖDERMANLANDS LÄN</t>
        </is>
      </c>
      <c r="E320" t="inlineStr">
        <is>
          <t>NYKÖPING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19862-2020</t>
        </is>
      </c>
      <c r="B321" s="1" t="n">
        <v>43942</v>
      </c>
      <c r="C321" s="1" t="n">
        <v>45785</v>
      </c>
      <c r="D321" t="inlineStr">
        <is>
          <t>SÖDERMANLANDS LÄN</t>
        </is>
      </c>
      <c r="E321" t="inlineStr">
        <is>
          <t>NYKÖPING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20015-2020</t>
        </is>
      </c>
      <c r="B322" s="1" t="n">
        <v>43942</v>
      </c>
      <c r="C322" s="1" t="n">
        <v>45785</v>
      </c>
      <c r="D322" t="inlineStr">
        <is>
          <t>SÖDERMANLANDS LÄN</t>
        </is>
      </c>
      <c r="E322" t="inlineStr">
        <is>
          <t>NYKÖPING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20125-2020</t>
        </is>
      </c>
      <c r="B323" s="1" t="n">
        <v>43943</v>
      </c>
      <c r="C323" s="1" t="n">
        <v>45785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20004-2020</t>
        </is>
      </c>
      <c r="B324" s="1" t="n">
        <v>43943</v>
      </c>
      <c r="C324" s="1" t="n">
        <v>45785</v>
      </c>
      <c r="D324" t="inlineStr">
        <is>
          <t>SÖDERMANLANDS LÄN</t>
        </is>
      </c>
      <c r="E324" t="inlineStr">
        <is>
          <t>NYKÖPING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20114-2020</t>
        </is>
      </c>
      <c r="B325" s="1" t="n">
        <v>43943</v>
      </c>
      <c r="C325" s="1" t="n">
        <v>45785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Allmännings- och besparingsskogar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20145-2020</t>
        </is>
      </c>
      <c r="B326" s="1" t="n">
        <v>43944</v>
      </c>
      <c r="C326" s="1" t="n">
        <v>45785</v>
      </c>
      <c r="D326" t="inlineStr">
        <is>
          <t>SÖDERMANLANDS LÄN</t>
        </is>
      </c>
      <c r="E326" t="inlineStr">
        <is>
          <t>NYKÖPING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20387-2020</t>
        </is>
      </c>
      <c r="B327" s="1" t="n">
        <v>43944</v>
      </c>
      <c r="C327" s="1" t="n">
        <v>45785</v>
      </c>
      <c r="D327" t="inlineStr">
        <is>
          <t>SÖDERMANLANDS LÄN</t>
        </is>
      </c>
      <c r="E327" t="inlineStr">
        <is>
          <t>NYKÖPING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20384-2020</t>
        </is>
      </c>
      <c r="B328" s="1" t="n">
        <v>43944</v>
      </c>
      <c r="C328" s="1" t="n">
        <v>45785</v>
      </c>
      <c r="D328" t="inlineStr">
        <is>
          <t>SÖDERMANLANDS LÄN</t>
        </is>
      </c>
      <c r="E328" t="inlineStr">
        <is>
          <t>NYKÖPING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20226-2020</t>
        </is>
      </c>
      <c r="B329" s="1" t="n">
        <v>43944</v>
      </c>
      <c r="C329" s="1" t="n">
        <v>45785</v>
      </c>
      <c r="D329" t="inlineStr">
        <is>
          <t>SÖDERMANLANDS LÄN</t>
        </is>
      </c>
      <c r="E329" t="inlineStr">
        <is>
          <t>NYKÖPING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20396-2020</t>
        </is>
      </c>
      <c r="B330" s="1" t="n">
        <v>43944</v>
      </c>
      <c r="C330" s="1" t="n">
        <v>45785</v>
      </c>
      <c r="D330" t="inlineStr">
        <is>
          <t>SÖDERMANLANDS LÄN</t>
        </is>
      </c>
      <c r="E330" t="inlineStr">
        <is>
          <t>NYKÖPING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20699-2020</t>
        </is>
      </c>
      <c r="B331" s="1" t="n">
        <v>43949</v>
      </c>
      <c r="C331" s="1" t="n">
        <v>45785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21004-2020</t>
        </is>
      </c>
      <c r="B332" s="1" t="n">
        <v>43950</v>
      </c>
      <c r="C332" s="1" t="n">
        <v>45785</v>
      </c>
      <c r="D332" t="inlineStr">
        <is>
          <t>SÖDERMANLANDS LÄN</t>
        </is>
      </c>
      <c r="E332" t="inlineStr">
        <is>
          <t>NYKÖPING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23578-2020</t>
        </is>
      </c>
      <c r="B333" s="1" t="n">
        <v>43969</v>
      </c>
      <c r="C333" s="1" t="n">
        <v>45785</v>
      </c>
      <c r="D333" t="inlineStr">
        <is>
          <t>SÖDERMANLANDS LÄN</t>
        </is>
      </c>
      <c r="E333" t="inlineStr">
        <is>
          <t>NYKÖPING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23709-2020</t>
        </is>
      </c>
      <c r="B334" s="1" t="n">
        <v>43969</v>
      </c>
      <c r="C334" s="1" t="n">
        <v>45785</v>
      </c>
      <c r="D334" t="inlineStr">
        <is>
          <t>SÖDERMANLANDS LÄN</t>
        </is>
      </c>
      <c r="E334" t="inlineStr">
        <is>
          <t>NYKÖPING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23607-2020</t>
        </is>
      </c>
      <c r="B335" s="1" t="n">
        <v>43969</v>
      </c>
      <c r="C335" s="1" t="n">
        <v>45785</v>
      </c>
      <c r="D335" t="inlineStr">
        <is>
          <t>SÖDERMANLANDS LÄN</t>
        </is>
      </c>
      <c r="E335" t="inlineStr">
        <is>
          <t>NYKÖPING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24226-2020</t>
        </is>
      </c>
      <c r="B336" s="1" t="n">
        <v>43973</v>
      </c>
      <c r="C336" s="1" t="n">
        <v>45785</v>
      </c>
      <c r="D336" t="inlineStr">
        <is>
          <t>SÖDERMANLANDS LÄN</t>
        </is>
      </c>
      <c r="E336" t="inlineStr">
        <is>
          <t>NYKÖPING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25517-2020</t>
        </is>
      </c>
      <c r="B337" s="1" t="n">
        <v>43980</v>
      </c>
      <c r="C337" s="1" t="n">
        <v>45785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25754-2020</t>
        </is>
      </c>
      <c r="B338" s="1" t="n">
        <v>43983</v>
      </c>
      <c r="C338" s="1" t="n">
        <v>45785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26245-2020</t>
        </is>
      </c>
      <c r="B339" s="1" t="n">
        <v>43986</v>
      </c>
      <c r="C339" s="1" t="n">
        <v>45785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26243-2020</t>
        </is>
      </c>
      <c r="B340" s="1" t="n">
        <v>43986</v>
      </c>
      <c r="C340" s="1" t="n">
        <v>45785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26773-2020</t>
        </is>
      </c>
      <c r="B341" s="1" t="n">
        <v>43990</v>
      </c>
      <c r="C341" s="1" t="n">
        <v>45785</v>
      </c>
      <c r="D341" t="inlineStr">
        <is>
          <t>SÖDERMANLANDS LÄN</t>
        </is>
      </c>
      <c r="E341" t="inlineStr">
        <is>
          <t>NYKÖPING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27338-2020</t>
        </is>
      </c>
      <c r="B342" s="1" t="n">
        <v>43992</v>
      </c>
      <c r="C342" s="1" t="n">
        <v>45785</v>
      </c>
      <c r="D342" t="inlineStr">
        <is>
          <t>SÖDERMANLANDS LÄN</t>
        </is>
      </c>
      <c r="E342" t="inlineStr">
        <is>
          <t>NYKÖPING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27449-2020</t>
        </is>
      </c>
      <c r="B343" s="1" t="n">
        <v>43993</v>
      </c>
      <c r="C343" s="1" t="n">
        <v>45785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27596-2020</t>
        </is>
      </c>
      <c r="B344" s="1" t="n">
        <v>43993</v>
      </c>
      <c r="C344" s="1" t="n">
        <v>45785</v>
      </c>
      <c r="D344" t="inlineStr">
        <is>
          <t>SÖDERMANLANDS LÄN</t>
        </is>
      </c>
      <c r="E344" t="inlineStr">
        <is>
          <t>NYKÖPING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27599-2020</t>
        </is>
      </c>
      <c r="B345" s="1" t="n">
        <v>43993</v>
      </c>
      <c r="C345" s="1" t="n">
        <v>45785</v>
      </c>
      <c r="D345" t="inlineStr">
        <is>
          <t>SÖDERMANLANDS LÄN</t>
        </is>
      </c>
      <c r="E345" t="inlineStr">
        <is>
          <t>NYKÖPING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28040-2020</t>
        </is>
      </c>
      <c r="B346" s="1" t="n">
        <v>43997</v>
      </c>
      <c r="C346" s="1" t="n">
        <v>45785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28034-2020</t>
        </is>
      </c>
      <c r="B347" s="1" t="n">
        <v>43997</v>
      </c>
      <c r="C347" s="1" t="n">
        <v>45785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28079-2020</t>
        </is>
      </c>
      <c r="B348" s="1" t="n">
        <v>43997</v>
      </c>
      <c r="C348" s="1" t="n">
        <v>45785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28341-2020</t>
        </is>
      </c>
      <c r="B349" s="1" t="n">
        <v>43998</v>
      </c>
      <c r="C349" s="1" t="n">
        <v>45785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28463-2020</t>
        </is>
      </c>
      <c r="B350" s="1" t="n">
        <v>43998</v>
      </c>
      <c r="C350" s="1" t="n">
        <v>45785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28467-2020</t>
        </is>
      </c>
      <c r="B351" s="1" t="n">
        <v>43998</v>
      </c>
      <c r="C351" s="1" t="n">
        <v>45785</v>
      </c>
      <c r="D351" t="inlineStr">
        <is>
          <t>SÖDERMANLANDS LÄN</t>
        </is>
      </c>
      <c r="E351" t="inlineStr">
        <is>
          <t>NYKÖPING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28785-2020</t>
        </is>
      </c>
      <c r="B352" s="1" t="n">
        <v>44000</v>
      </c>
      <c r="C352" s="1" t="n">
        <v>45785</v>
      </c>
      <c r="D352" t="inlineStr">
        <is>
          <t>SÖDERMANLANDS LÄN</t>
        </is>
      </c>
      <c r="E352" t="inlineStr">
        <is>
          <t>NYKÖPING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29241-2020</t>
        </is>
      </c>
      <c r="B353" s="1" t="n">
        <v>44004</v>
      </c>
      <c r="C353" s="1" t="n">
        <v>45785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29269-2020</t>
        </is>
      </c>
      <c r="B354" s="1" t="n">
        <v>44004</v>
      </c>
      <c r="C354" s="1" t="n">
        <v>45785</v>
      </c>
      <c r="D354" t="inlineStr">
        <is>
          <t>SÖDERMANLANDS LÄN</t>
        </is>
      </c>
      <c r="E354" t="inlineStr">
        <is>
          <t>NYKÖPING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29354-2020</t>
        </is>
      </c>
      <c r="B355" s="1" t="n">
        <v>44004</v>
      </c>
      <c r="C355" s="1" t="n">
        <v>45785</v>
      </c>
      <c r="D355" t="inlineStr">
        <is>
          <t>SÖDERMANLANDS LÄN</t>
        </is>
      </c>
      <c r="E355" t="inlineStr">
        <is>
          <t>NYKÖPING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29369-2020</t>
        </is>
      </c>
      <c r="B356" s="1" t="n">
        <v>44004</v>
      </c>
      <c r="C356" s="1" t="n">
        <v>45785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29690-2020</t>
        </is>
      </c>
      <c r="B357" s="1" t="n">
        <v>44005</v>
      </c>
      <c r="C357" s="1" t="n">
        <v>45785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29694-2020</t>
        </is>
      </c>
      <c r="B358" s="1" t="n">
        <v>44005</v>
      </c>
      <c r="C358" s="1" t="n">
        <v>45785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29714-2020</t>
        </is>
      </c>
      <c r="B359" s="1" t="n">
        <v>44005</v>
      </c>
      <c r="C359" s="1" t="n">
        <v>45785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29701-2020</t>
        </is>
      </c>
      <c r="B360" s="1" t="n">
        <v>44005</v>
      </c>
      <c r="C360" s="1" t="n">
        <v>45785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30261-2020</t>
        </is>
      </c>
      <c r="B361" s="1" t="n">
        <v>44007</v>
      </c>
      <c r="C361" s="1" t="n">
        <v>45785</v>
      </c>
      <c r="D361" t="inlineStr">
        <is>
          <t>SÖDERMANLANDS LÄN</t>
        </is>
      </c>
      <c r="E361" t="inlineStr">
        <is>
          <t>NYKÖPING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30361-2020</t>
        </is>
      </c>
      <c r="B362" s="1" t="n">
        <v>44007</v>
      </c>
      <c r="C362" s="1" t="n">
        <v>45785</v>
      </c>
      <c r="D362" t="inlineStr">
        <is>
          <t>SÖDERMANLANDS LÄN</t>
        </is>
      </c>
      <c r="E362" t="inlineStr">
        <is>
          <t>NYKÖPING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30391-2020</t>
        </is>
      </c>
      <c r="B363" s="1" t="n">
        <v>44007</v>
      </c>
      <c r="C363" s="1" t="n">
        <v>45785</v>
      </c>
      <c r="D363" t="inlineStr">
        <is>
          <t>SÖDERMANLANDS LÄN</t>
        </is>
      </c>
      <c r="E363" t="inlineStr">
        <is>
          <t>NYKÖPING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30429-2020</t>
        </is>
      </c>
      <c r="B364" s="1" t="n">
        <v>44007</v>
      </c>
      <c r="C364" s="1" t="n">
        <v>45785</v>
      </c>
      <c r="D364" t="inlineStr">
        <is>
          <t>SÖDERMANLANDS LÄN</t>
        </is>
      </c>
      <c r="E364" t="inlineStr">
        <is>
          <t>NYKÖPING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30721-2020</t>
        </is>
      </c>
      <c r="B365" s="1" t="n">
        <v>44008</v>
      </c>
      <c r="C365" s="1" t="n">
        <v>45785</v>
      </c>
      <c r="D365" t="inlineStr">
        <is>
          <t>SÖDERMANLANDS LÄN</t>
        </is>
      </c>
      <c r="E365" t="inlineStr">
        <is>
          <t>NYKÖPING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31011-2020</t>
        </is>
      </c>
      <c r="B366" s="1" t="n">
        <v>44011</v>
      </c>
      <c r="C366" s="1" t="n">
        <v>45785</v>
      </c>
      <c r="D366" t="inlineStr">
        <is>
          <t>SÖDERMANLANDS LÄN</t>
        </is>
      </c>
      <c r="E366" t="inlineStr">
        <is>
          <t>NYKÖPING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31010-2020</t>
        </is>
      </c>
      <c r="B367" s="1" t="n">
        <v>44011</v>
      </c>
      <c r="C367" s="1" t="n">
        <v>45785</v>
      </c>
      <c r="D367" t="inlineStr">
        <is>
          <t>SÖDERMANLANDS LÄN</t>
        </is>
      </c>
      <c r="E367" t="inlineStr">
        <is>
          <t>NYKÖPING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31009-2020</t>
        </is>
      </c>
      <c r="B368" s="1" t="n">
        <v>44011</v>
      </c>
      <c r="C368" s="1" t="n">
        <v>45785</v>
      </c>
      <c r="D368" t="inlineStr">
        <is>
          <t>SÖDERMANLANDS LÄN</t>
        </is>
      </c>
      <c r="E368" t="inlineStr">
        <is>
          <t>NYKÖPING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32546-2020</t>
        </is>
      </c>
      <c r="B369" s="1" t="n">
        <v>44018</v>
      </c>
      <c r="C369" s="1" t="n">
        <v>45785</v>
      </c>
      <c r="D369" t="inlineStr">
        <is>
          <t>SÖDERMANLANDS LÄN</t>
        </is>
      </c>
      <c r="E369" t="inlineStr">
        <is>
          <t>NYKÖPING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32558-2020</t>
        </is>
      </c>
      <c r="B370" s="1" t="n">
        <v>44018</v>
      </c>
      <c r="C370" s="1" t="n">
        <v>45785</v>
      </c>
      <c r="D370" t="inlineStr">
        <is>
          <t>SÖDERMANLANDS LÄN</t>
        </is>
      </c>
      <c r="E370" t="inlineStr">
        <is>
          <t>NYKÖPING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34224-2020</t>
        </is>
      </c>
      <c r="B371" s="1" t="n">
        <v>44029</v>
      </c>
      <c r="C371" s="1" t="n">
        <v>45785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34438-2020</t>
        </is>
      </c>
      <c r="B372" s="1" t="n">
        <v>44029</v>
      </c>
      <c r="C372" s="1" t="n">
        <v>45785</v>
      </c>
      <c r="D372" t="inlineStr">
        <is>
          <t>SÖDERMANLANDS LÄN</t>
        </is>
      </c>
      <c r="E372" t="inlineStr">
        <is>
          <t>NYKÖPING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34109-2020</t>
        </is>
      </c>
      <c r="B373" s="1" t="n">
        <v>44029</v>
      </c>
      <c r="C373" s="1" t="n">
        <v>45785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34129-2020</t>
        </is>
      </c>
      <c r="B374" s="1" t="n">
        <v>44029</v>
      </c>
      <c r="C374" s="1" t="n">
        <v>45785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34108-2020</t>
        </is>
      </c>
      <c r="B375" s="1" t="n">
        <v>44029</v>
      </c>
      <c r="C375" s="1" t="n">
        <v>45785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34122-2020</t>
        </is>
      </c>
      <c r="B376" s="1" t="n">
        <v>44029</v>
      </c>
      <c r="C376" s="1" t="n">
        <v>45785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34530-2020</t>
        </is>
      </c>
      <c r="B377" s="1" t="n">
        <v>44033</v>
      </c>
      <c r="C377" s="1" t="n">
        <v>45785</v>
      </c>
      <c r="D377" t="inlineStr">
        <is>
          <t>SÖDERMANLANDS LÄN</t>
        </is>
      </c>
      <c r="E377" t="inlineStr">
        <is>
          <t>NYKÖPING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34957-2020</t>
        </is>
      </c>
      <c r="B378" s="1" t="n">
        <v>44036</v>
      </c>
      <c r="C378" s="1" t="n">
        <v>45785</v>
      </c>
      <c r="D378" t="inlineStr">
        <is>
          <t>SÖDERMANLANDS LÄN</t>
        </is>
      </c>
      <c r="E378" t="inlineStr">
        <is>
          <t>NYKÖPING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35698-2020</t>
        </is>
      </c>
      <c r="B379" s="1" t="n">
        <v>44046</v>
      </c>
      <c r="C379" s="1" t="n">
        <v>45785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35855-2020</t>
        </is>
      </c>
      <c r="B380" s="1" t="n">
        <v>44047</v>
      </c>
      <c r="C380" s="1" t="n">
        <v>45785</v>
      </c>
      <c r="D380" t="inlineStr">
        <is>
          <t>SÖDERMANLANDS LÄN</t>
        </is>
      </c>
      <c r="E380" t="inlineStr">
        <is>
          <t>NYKÖPING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36108-2020</t>
        </is>
      </c>
      <c r="B381" s="1" t="n">
        <v>44048</v>
      </c>
      <c r="C381" s="1" t="n">
        <v>45785</v>
      </c>
      <c r="D381" t="inlineStr">
        <is>
          <t>SÖDERMANLANDS LÄN</t>
        </is>
      </c>
      <c r="E381" t="inlineStr">
        <is>
          <t>NYKÖPING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36766-2020</t>
        </is>
      </c>
      <c r="B382" s="1" t="n">
        <v>44053</v>
      </c>
      <c r="C382" s="1" t="n">
        <v>45785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37028-2020</t>
        </is>
      </c>
      <c r="B383" s="1" t="n">
        <v>44053</v>
      </c>
      <c r="C383" s="1" t="n">
        <v>45785</v>
      </c>
      <c r="D383" t="inlineStr">
        <is>
          <t>SÖDERMANLANDS LÄN</t>
        </is>
      </c>
      <c r="E383" t="inlineStr">
        <is>
          <t>NYKÖPING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36897-2020</t>
        </is>
      </c>
      <c r="B384" s="1" t="n">
        <v>44053</v>
      </c>
      <c r="C384" s="1" t="n">
        <v>45785</v>
      </c>
      <c r="D384" t="inlineStr">
        <is>
          <t>SÖDERMANLANDS LÄN</t>
        </is>
      </c>
      <c r="E384" t="inlineStr">
        <is>
          <t>NYKÖPING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37029-2020</t>
        </is>
      </c>
      <c r="B385" s="1" t="n">
        <v>44053</v>
      </c>
      <c r="C385" s="1" t="n">
        <v>45785</v>
      </c>
      <c r="D385" t="inlineStr">
        <is>
          <t>SÖDERMANLANDS LÄN</t>
        </is>
      </c>
      <c r="E385" t="inlineStr">
        <is>
          <t>NYKÖPING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37573-2020</t>
        </is>
      </c>
      <c r="B386" s="1" t="n">
        <v>44056</v>
      </c>
      <c r="C386" s="1" t="n">
        <v>45785</v>
      </c>
      <c r="D386" t="inlineStr">
        <is>
          <t>SÖDERMANLANDS LÄN</t>
        </is>
      </c>
      <c r="E386" t="inlineStr">
        <is>
          <t>NYKÖPING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37763-2020</t>
        </is>
      </c>
      <c r="B387" s="1" t="n">
        <v>44056</v>
      </c>
      <c r="C387" s="1" t="n">
        <v>45785</v>
      </c>
      <c r="D387" t="inlineStr">
        <is>
          <t>SÖDERMANLANDS LÄN</t>
        </is>
      </c>
      <c r="E387" t="inlineStr">
        <is>
          <t>NYKÖPING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37838-2020</t>
        </is>
      </c>
      <c r="B388" s="1" t="n">
        <v>44057</v>
      </c>
      <c r="C388" s="1" t="n">
        <v>45785</v>
      </c>
      <c r="D388" t="inlineStr">
        <is>
          <t>SÖDERMANLANDS LÄN</t>
        </is>
      </c>
      <c r="E388" t="inlineStr">
        <is>
          <t>NYKÖPING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38126-2020</t>
        </is>
      </c>
      <c r="B389" s="1" t="n">
        <v>44059</v>
      </c>
      <c r="C389" s="1" t="n">
        <v>45785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38279-2020</t>
        </is>
      </c>
      <c r="B390" s="1" t="n">
        <v>44060</v>
      </c>
      <c r="C390" s="1" t="n">
        <v>45785</v>
      </c>
      <c r="D390" t="inlineStr">
        <is>
          <t>SÖDERMANLANDS LÄN</t>
        </is>
      </c>
      <c r="E390" t="inlineStr">
        <is>
          <t>NYKÖPING</t>
        </is>
      </c>
      <c r="G390" t="n">
        <v>19.9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38845-2020</t>
        </is>
      </c>
      <c r="B391" s="1" t="n">
        <v>44062</v>
      </c>
      <c r="C391" s="1" t="n">
        <v>45785</v>
      </c>
      <c r="D391" t="inlineStr">
        <is>
          <t>SÖDERMANLANDS LÄN</t>
        </is>
      </c>
      <c r="E391" t="inlineStr">
        <is>
          <t>NYKÖPING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39197-2020</t>
        </is>
      </c>
      <c r="B392" s="1" t="n">
        <v>44063</v>
      </c>
      <c r="C392" s="1" t="n">
        <v>45785</v>
      </c>
      <c r="D392" t="inlineStr">
        <is>
          <t>SÖDERMANLANDS LÄN</t>
        </is>
      </c>
      <c r="E392" t="inlineStr">
        <is>
          <t>NYKÖPING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39772-2020</t>
        </is>
      </c>
      <c r="B393" s="1" t="n">
        <v>44067</v>
      </c>
      <c r="C393" s="1" t="n">
        <v>45785</v>
      </c>
      <c r="D393" t="inlineStr">
        <is>
          <t>SÖDERMANLANDS LÄN</t>
        </is>
      </c>
      <c r="E393" t="inlineStr">
        <is>
          <t>NYKÖPING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39938-2020</t>
        </is>
      </c>
      <c r="B394" s="1" t="n">
        <v>44067</v>
      </c>
      <c r="C394" s="1" t="n">
        <v>45785</v>
      </c>
      <c r="D394" t="inlineStr">
        <is>
          <t>SÖDERMANLANDS LÄN</t>
        </is>
      </c>
      <c r="E394" t="inlineStr">
        <is>
          <t>NYKÖPING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40503-2020</t>
        </is>
      </c>
      <c r="B395" s="1" t="n">
        <v>44069</v>
      </c>
      <c r="C395" s="1" t="n">
        <v>45785</v>
      </c>
      <c r="D395" t="inlineStr">
        <is>
          <t>SÖDERMANLANDS LÄN</t>
        </is>
      </c>
      <c r="E395" t="inlineStr">
        <is>
          <t>NYKÖPING</t>
        </is>
      </c>
      <c r="G395" t="n">
        <v>12.8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41479-2020</t>
        </is>
      </c>
      <c r="B396" s="1" t="n">
        <v>44070</v>
      </c>
      <c r="C396" s="1" t="n">
        <v>45785</v>
      </c>
      <c r="D396" t="inlineStr">
        <is>
          <t>SÖDERMANLANDS LÄN</t>
        </is>
      </c>
      <c r="E396" t="inlineStr">
        <is>
          <t>NYKÖPING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41821-2020</t>
        </is>
      </c>
      <c r="B397" s="1" t="n">
        <v>44074</v>
      </c>
      <c r="C397" s="1" t="n">
        <v>45785</v>
      </c>
      <c r="D397" t="inlineStr">
        <is>
          <t>SÖDERMANLANDS LÄN</t>
        </is>
      </c>
      <c r="E397" t="inlineStr">
        <is>
          <t>NYKÖPING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41837-2020</t>
        </is>
      </c>
      <c r="B398" s="1" t="n">
        <v>44074</v>
      </c>
      <c r="C398" s="1" t="n">
        <v>45785</v>
      </c>
      <c r="D398" t="inlineStr">
        <is>
          <t>SÖDERMANLANDS LÄN</t>
        </is>
      </c>
      <c r="E398" t="inlineStr">
        <is>
          <t>NYKÖPING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41790-2020</t>
        </is>
      </c>
      <c r="B399" s="1" t="n">
        <v>44074</v>
      </c>
      <c r="C399" s="1" t="n">
        <v>45785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42827-2020</t>
        </is>
      </c>
      <c r="B400" s="1" t="n">
        <v>44078</v>
      </c>
      <c r="C400" s="1" t="n">
        <v>45785</v>
      </c>
      <c r="D400" t="inlineStr">
        <is>
          <t>SÖDERMANLANDS LÄN</t>
        </is>
      </c>
      <c r="E400" t="inlineStr">
        <is>
          <t>NYKÖPING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42820-2020</t>
        </is>
      </c>
      <c r="B401" s="1" t="n">
        <v>44078</v>
      </c>
      <c r="C401" s="1" t="n">
        <v>45785</v>
      </c>
      <c r="D401" t="inlineStr">
        <is>
          <t>SÖDERMANLANDS LÄN</t>
        </is>
      </c>
      <c r="E401" t="inlineStr">
        <is>
          <t>NYKÖPING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42825-2020</t>
        </is>
      </c>
      <c r="B402" s="1" t="n">
        <v>44078</v>
      </c>
      <c r="C402" s="1" t="n">
        <v>45785</v>
      </c>
      <c r="D402" t="inlineStr">
        <is>
          <t>SÖDERMANLANDS LÄN</t>
        </is>
      </c>
      <c r="E402" t="inlineStr">
        <is>
          <t>NYKÖPING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42832-2020</t>
        </is>
      </c>
      <c r="B403" s="1" t="n">
        <v>44078</v>
      </c>
      <c r="C403" s="1" t="n">
        <v>45785</v>
      </c>
      <c r="D403" t="inlineStr">
        <is>
          <t>SÖDERMANLANDS LÄN</t>
        </is>
      </c>
      <c r="E403" t="inlineStr">
        <is>
          <t>NYKÖPING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42822-2020</t>
        </is>
      </c>
      <c r="B404" s="1" t="n">
        <v>44078</v>
      </c>
      <c r="C404" s="1" t="n">
        <v>45785</v>
      </c>
      <c r="D404" t="inlineStr">
        <is>
          <t>SÖDERMANLANDS LÄN</t>
        </is>
      </c>
      <c r="E404" t="inlineStr">
        <is>
          <t>NYKÖPING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42824-2020</t>
        </is>
      </c>
      <c r="B405" s="1" t="n">
        <v>44078</v>
      </c>
      <c r="C405" s="1" t="n">
        <v>45785</v>
      </c>
      <c r="D405" t="inlineStr">
        <is>
          <t>SÖDERMANLANDS LÄN</t>
        </is>
      </c>
      <c r="E405" t="inlineStr">
        <is>
          <t>NYKÖPING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42829-2020</t>
        </is>
      </c>
      <c r="B406" s="1" t="n">
        <v>44078</v>
      </c>
      <c r="C406" s="1" t="n">
        <v>45785</v>
      </c>
      <c r="D406" t="inlineStr">
        <is>
          <t>SÖDERMANLANDS LÄN</t>
        </is>
      </c>
      <c r="E406" t="inlineStr">
        <is>
          <t>NYKÖPING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43583-2020</t>
        </is>
      </c>
      <c r="B407" s="1" t="n">
        <v>44078</v>
      </c>
      <c r="C407" s="1" t="n">
        <v>45785</v>
      </c>
      <c r="D407" t="inlineStr">
        <is>
          <t>SÖDERMANLANDS LÄN</t>
        </is>
      </c>
      <c r="E407" t="inlineStr">
        <is>
          <t>NYKÖPING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43639-2020</t>
        </is>
      </c>
      <c r="B408" s="1" t="n">
        <v>44082</v>
      </c>
      <c r="C408" s="1" t="n">
        <v>45785</v>
      </c>
      <c r="D408" t="inlineStr">
        <is>
          <t>SÖDERMANLANDS LÄN</t>
        </is>
      </c>
      <c r="E408" t="inlineStr">
        <is>
          <t>NYKÖPING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43569-2020</t>
        </is>
      </c>
      <c r="B409" s="1" t="n">
        <v>44082</v>
      </c>
      <c r="C409" s="1" t="n">
        <v>45785</v>
      </c>
      <c r="D409" t="inlineStr">
        <is>
          <t>SÖDERMANLANDS LÄN</t>
        </is>
      </c>
      <c r="E409" t="inlineStr">
        <is>
          <t>NYKÖPING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43642-2020</t>
        </is>
      </c>
      <c r="B410" s="1" t="n">
        <v>44082</v>
      </c>
      <c r="C410" s="1" t="n">
        <v>45785</v>
      </c>
      <c r="D410" t="inlineStr">
        <is>
          <t>SÖDERMANLANDS LÄN</t>
        </is>
      </c>
      <c r="E410" t="inlineStr">
        <is>
          <t>NYKÖPING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43693-2020</t>
        </is>
      </c>
      <c r="B411" s="1" t="n">
        <v>44082</v>
      </c>
      <c r="C411" s="1" t="n">
        <v>45785</v>
      </c>
      <c r="D411" t="inlineStr">
        <is>
          <t>SÖDERMANLANDS LÄN</t>
        </is>
      </c>
      <c r="E411" t="inlineStr">
        <is>
          <t>NYKÖPING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43886-2020</t>
        </is>
      </c>
      <c r="B412" s="1" t="n">
        <v>44082</v>
      </c>
      <c r="C412" s="1" t="n">
        <v>45785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44254-2020</t>
        </is>
      </c>
      <c r="B413" s="1" t="n">
        <v>44084</v>
      </c>
      <c r="C413" s="1" t="n">
        <v>45785</v>
      </c>
      <c r="D413" t="inlineStr">
        <is>
          <t>SÖDERMANLANDS LÄN</t>
        </is>
      </c>
      <c r="E413" t="inlineStr">
        <is>
          <t>NYKÖPING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45303-2020</t>
        </is>
      </c>
      <c r="B414" s="1" t="n">
        <v>44085</v>
      </c>
      <c r="C414" s="1" t="n">
        <v>45785</v>
      </c>
      <c r="D414" t="inlineStr">
        <is>
          <t>SÖDERMANLANDS LÄN</t>
        </is>
      </c>
      <c r="E414" t="inlineStr">
        <is>
          <t>NYKÖPING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45531-2020</t>
        </is>
      </c>
      <c r="B415" s="1" t="n">
        <v>44089</v>
      </c>
      <c r="C415" s="1" t="n">
        <v>45785</v>
      </c>
      <c r="D415" t="inlineStr">
        <is>
          <t>SÖDERMANLANDS LÄN</t>
        </is>
      </c>
      <c r="E415" t="inlineStr">
        <is>
          <t>NYKÖPING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46249-2020</t>
        </is>
      </c>
      <c r="B416" s="1" t="n">
        <v>44092</v>
      </c>
      <c r="C416" s="1" t="n">
        <v>45785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47084-2020</t>
        </is>
      </c>
      <c r="B417" s="1" t="n">
        <v>44096</v>
      </c>
      <c r="C417" s="1" t="n">
        <v>45785</v>
      </c>
      <c r="D417" t="inlineStr">
        <is>
          <t>SÖDERMANLANDS LÄN</t>
        </is>
      </c>
      <c r="E417" t="inlineStr">
        <is>
          <t>NYKÖPING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47442-2020</t>
        </is>
      </c>
      <c r="B418" s="1" t="n">
        <v>44097</v>
      </c>
      <c r="C418" s="1" t="n">
        <v>45785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48926-2020</t>
        </is>
      </c>
      <c r="B419" s="1" t="n">
        <v>44102</v>
      </c>
      <c r="C419" s="1" t="n">
        <v>45785</v>
      </c>
      <c r="D419" t="inlineStr">
        <is>
          <t>SÖDERMANLANDS LÄN</t>
        </is>
      </c>
      <c r="E419" t="inlineStr">
        <is>
          <t>NYKÖPING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49029-2020</t>
        </is>
      </c>
      <c r="B420" s="1" t="n">
        <v>44104</v>
      </c>
      <c r="C420" s="1" t="n">
        <v>45785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48849-2020</t>
        </is>
      </c>
      <c r="B421" s="1" t="n">
        <v>44104</v>
      </c>
      <c r="C421" s="1" t="n">
        <v>45785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50176-2020</t>
        </is>
      </c>
      <c r="B422" s="1" t="n">
        <v>44104</v>
      </c>
      <c r="C422" s="1" t="n">
        <v>45785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49412-2020</t>
        </is>
      </c>
      <c r="B423" s="1" t="n">
        <v>44105</v>
      </c>
      <c r="C423" s="1" t="n">
        <v>45785</v>
      </c>
      <c r="D423" t="inlineStr">
        <is>
          <t>SÖDERMANLANDS LÄN</t>
        </is>
      </c>
      <c r="E423" t="inlineStr">
        <is>
          <t>NYKÖPING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50130-2020</t>
        </is>
      </c>
      <c r="B424" s="1" t="n">
        <v>44109</v>
      </c>
      <c r="C424" s="1" t="n">
        <v>45785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50510-2020</t>
        </is>
      </c>
      <c r="B425" s="1" t="n">
        <v>44110</v>
      </c>
      <c r="C425" s="1" t="n">
        <v>45785</v>
      </c>
      <c r="D425" t="inlineStr">
        <is>
          <t>SÖDERMANLANDS LÄN</t>
        </is>
      </c>
      <c r="E425" t="inlineStr">
        <is>
          <t>NYKÖPING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50516-2020</t>
        </is>
      </c>
      <c r="B426" s="1" t="n">
        <v>44110</v>
      </c>
      <c r="C426" s="1" t="n">
        <v>45785</v>
      </c>
      <c r="D426" t="inlineStr">
        <is>
          <t>SÖDERMANLANDS LÄN</t>
        </is>
      </c>
      <c r="E426" t="inlineStr">
        <is>
          <t>NYKÖPING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50569-2020</t>
        </is>
      </c>
      <c r="B427" s="1" t="n">
        <v>44110</v>
      </c>
      <c r="C427" s="1" t="n">
        <v>45785</v>
      </c>
      <c r="D427" t="inlineStr">
        <is>
          <t>SÖDERMANLANDS LÄN</t>
        </is>
      </c>
      <c r="E427" t="inlineStr">
        <is>
          <t>NYKÖPING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50703-2020</t>
        </is>
      </c>
      <c r="B428" s="1" t="n">
        <v>44111</v>
      </c>
      <c r="C428" s="1" t="n">
        <v>45785</v>
      </c>
      <c r="D428" t="inlineStr">
        <is>
          <t>SÖDERMANLANDS LÄN</t>
        </is>
      </c>
      <c r="E428" t="inlineStr">
        <is>
          <t>NYKÖPING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50948-2020</t>
        </is>
      </c>
      <c r="B429" s="1" t="n">
        <v>44111</v>
      </c>
      <c r="C429" s="1" t="n">
        <v>45785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52521-2020</t>
        </is>
      </c>
      <c r="B430" s="1" t="n">
        <v>44118</v>
      </c>
      <c r="C430" s="1" t="n">
        <v>45785</v>
      </c>
      <c r="D430" t="inlineStr">
        <is>
          <t>SÖDERMANLANDS LÄN</t>
        </is>
      </c>
      <c r="E430" t="inlineStr">
        <is>
          <t>NYKÖPING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52609-2020</t>
        </is>
      </c>
      <c r="B431" s="1" t="n">
        <v>44118</v>
      </c>
      <c r="C431" s="1" t="n">
        <v>45785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Övriga Aktiebolag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52808-2020</t>
        </is>
      </c>
      <c r="B432" s="1" t="n">
        <v>44119</v>
      </c>
      <c r="C432" s="1" t="n">
        <v>45785</v>
      </c>
      <c r="D432" t="inlineStr">
        <is>
          <t>SÖDERMANLANDS LÄN</t>
        </is>
      </c>
      <c r="E432" t="inlineStr">
        <is>
          <t>NYKÖPING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52822-2020</t>
        </is>
      </c>
      <c r="B433" s="1" t="n">
        <v>44119</v>
      </c>
      <c r="C433" s="1" t="n">
        <v>45785</v>
      </c>
      <c r="D433" t="inlineStr">
        <is>
          <t>SÖDERMANLANDS LÄN</t>
        </is>
      </c>
      <c r="E433" t="inlineStr">
        <is>
          <t>NYKÖPING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53092-2020</t>
        </is>
      </c>
      <c r="B434" s="1" t="n">
        <v>44120</v>
      </c>
      <c r="C434" s="1" t="n">
        <v>45785</v>
      </c>
      <c r="D434" t="inlineStr">
        <is>
          <t>SÖDERMANLANDS LÄN</t>
        </is>
      </c>
      <c r="E434" t="inlineStr">
        <is>
          <t>NYKÖPING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53659-2020</t>
        </is>
      </c>
      <c r="B435" s="1" t="n">
        <v>44124</v>
      </c>
      <c r="C435" s="1" t="n">
        <v>45785</v>
      </c>
      <c r="D435" t="inlineStr">
        <is>
          <t>SÖDERMANLANDS LÄN</t>
        </is>
      </c>
      <c r="E435" t="inlineStr">
        <is>
          <t>NYKÖPING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54846-2020</t>
        </is>
      </c>
      <c r="B436" s="1" t="n">
        <v>44126</v>
      </c>
      <c r="C436" s="1" t="n">
        <v>45785</v>
      </c>
      <c r="D436" t="inlineStr">
        <is>
          <t>SÖDERMANLANDS LÄN</t>
        </is>
      </c>
      <c r="E436" t="inlineStr">
        <is>
          <t>NYKÖPING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55713-2020</t>
        </is>
      </c>
      <c r="B437" s="1" t="n">
        <v>44132</v>
      </c>
      <c r="C437" s="1" t="n">
        <v>45785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55696-2020</t>
        </is>
      </c>
      <c r="B438" s="1" t="n">
        <v>44132</v>
      </c>
      <c r="C438" s="1" t="n">
        <v>45785</v>
      </c>
      <c r="D438" t="inlineStr">
        <is>
          <t>SÖDERMANLANDS LÄN</t>
        </is>
      </c>
      <c r="E438" t="inlineStr">
        <is>
          <t>NYKÖPING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55709-2020</t>
        </is>
      </c>
      <c r="B439" s="1" t="n">
        <v>44132</v>
      </c>
      <c r="C439" s="1" t="n">
        <v>45785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55716-2020</t>
        </is>
      </c>
      <c r="B440" s="1" t="n">
        <v>44132</v>
      </c>
      <c r="C440" s="1" t="n">
        <v>45785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56617-2020</t>
        </is>
      </c>
      <c r="B441" s="1" t="n">
        <v>44137</v>
      </c>
      <c r="C441" s="1" t="n">
        <v>45785</v>
      </c>
      <c r="D441" t="inlineStr">
        <is>
          <t>SÖDERMANLANDS LÄN</t>
        </is>
      </c>
      <c r="E441" t="inlineStr">
        <is>
          <t>NYKÖPING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56615-2020</t>
        </is>
      </c>
      <c r="B442" s="1" t="n">
        <v>44137</v>
      </c>
      <c r="C442" s="1" t="n">
        <v>45785</v>
      </c>
      <c r="D442" t="inlineStr">
        <is>
          <t>SÖDERMANLANDS LÄN</t>
        </is>
      </c>
      <c r="E442" t="inlineStr">
        <is>
          <t>NYKÖPING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57128-2020</t>
        </is>
      </c>
      <c r="B443" s="1" t="n">
        <v>44138</v>
      </c>
      <c r="C443" s="1" t="n">
        <v>45785</v>
      </c>
      <c r="D443" t="inlineStr">
        <is>
          <t>SÖDERMANLANDS LÄN</t>
        </is>
      </c>
      <c r="E443" t="inlineStr">
        <is>
          <t>NYKÖPING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57140-2020</t>
        </is>
      </c>
      <c r="B444" s="1" t="n">
        <v>44138</v>
      </c>
      <c r="C444" s="1" t="n">
        <v>45785</v>
      </c>
      <c r="D444" t="inlineStr">
        <is>
          <t>SÖDERMANLANDS LÄN</t>
        </is>
      </c>
      <c r="E444" t="inlineStr">
        <is>
          <t>NYKÖPING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57156-2020</t>
        </is>
      </c>
      <c r="B445" s="1" t="n">
        <v>44138</v>
      </c>
      <c r="C445" s="1" t="n">
        <v>45785</v>
      </c>
      <c r="D445" t="inlineStr">
        <is>
          <t>SÖDERMANLANDS LÄN</t>
        </is>
      </c>
      <c r="E445" t="inlineStr">
        <is>
          <t>NYKÖPING</t>
        </is>
      </c>
      <c r="G445" t="n">
        <v>12.4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57123-2020</t>
        </is>
      </c>
      <c r="B446" s="1" t="n">
        <v>44138</v>
      </c>
      <c r="C446" s="1" t="n">
        <v>45785</v>
      </c>
      <c r="D446" t="inlineStr">
        <is>
          <t>SÖDERMANLANDS LÄN</t>
        </is>
      </c>
      <c r="E446" t="inlineStr">
        <is>
          <t>NYKÖPING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57148-2020</t>
        </is>
      </c>
      <c r="B447" s="1" t="n">
        <v>44138</v>
      </c>
      <c r="C447" s="1" t="n">
        <v>45785</v>
      </c>
      <c r="D447" t="inlineStr">
        <is>
          <t>SÖDERMANLANDS LÄN</t>
        </is>
      </c>
      <c r="E447" t="inlineStr">
        <is>
          <t>NYKÖPING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57414-2020</t>
        </is>
      </c>
      <c r="B448" s="1" t="n">
        <v>44140</v>
      </c>
      <c r="C448" s="1" t="n">
        <v>45785</v>
      </c>
      <c r="D448" t="inlineStr">
        <is>
          <t>SÖDERMANLANDS LÄN</t>
        </is>
      </c>
      <c r="E448" t="inlineStr">
        <is>
          <t>NYKÖPING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58163-2020</t>
        </is>
      </c>
      <c r="B449" s="1" t="n">
        <v>44144</v>
      </c>
      <c r="C449" s="1" t="n">
        <v>45785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58154-2020</t>
        </is>
      </c>
      <c r="B450" s="1" t="n">
        <v>44144</v>
      </c>
      <c r="C450" s="1" t="n">
        <v>45785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58686-2020</t>
        </is>
      </c>
      <c r="B451" s="1" t="n">
        <v>44146</v>
      </c>
      <c r="C451" s="1" t="n">
        <v>45785</v>
      </c>
      <c r="D451" t="inlineStr">
        <is>
          <t>SÖDERMANLANDS LÄN</t>
        </is>
      </c>
      <c r="E451" t="inlineStr">
        <is>
          <t>NYKÖPING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58884-2020</t>
        </is>
      </c>
      <c r="B452" s="1" t="n">
        <v>44146</v>
      </c>
      <c r="C452" s="1" t="n">
        <v>45785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58899-2020</t>
        </is>
      </c>
      <c r="B453" s="1" t="n">
        <v>44146</v>
      </c>
      <c r="C453" s="1" t="n">
        <v>45785</v>
      </c>
      <c r="D453" t="inlineStr">
        <is>
          <t>SÖDERMANLANDS LÄN</t>
        </is>
      </c>
      <c r="E453" t="inlineStr">
        <is>
          <t>NYKÖPING</t>
        </is>
      </c>
      <c r="G453" t="n">
        <v>17.4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58923-2020</t>
        </is>
      </c>
      <c r="B454" s="1" t="n">
        <v>44146</v>
      </c>
      <c r="C454" s="1" t="n">
        <v>45785</v>
      </c>
      <c r="D454" t="inlineStr">
        <is>
          <t>SÖDERMANLANDS LÄN</t>
        </is>
      </c>
      <c r="E454" t="inlineStr">
        <is>
          <t>NYKÖPING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58921-2020</t>
        </is>
      </c>
      <c r="B455" s="1" t="n">
        <v>44146</v>
      </c>
      <c r="C455" s="1" t="n">
        <v>45785</v>
      </c>
      <c r="D455" t="inlineStr">
        <is>
          <t>SÖDERMANLANDS LÄN</t>
        </is>
      </c>
      <c r="E455" t="inlineStr">
        <is>
          <t>NYKÖPING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59856-2020</t>
        </is>
      </c>
      <c r="B456" s="1" t="n">
        <v>44151</v>
      </c>
      <c r="C456" s="1" t="n">
        <v>45785</v>
      </c>
      <c r="D456" t="inlineStr">
        <is>
          <t>SÖDERMANLANDS LÄN</t>
        </is>
      </c>
      <c r="E456" t="inlineStr">
        <is>
          <t>NYKÖPING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60274-2020</t>
        </is>
      </c>
      <c r="B457" s="1" t="n">
        <v>44152</v>
      </c>
      <c r="C457" s="1" t="n">
        <v>45785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60232-2020</t>
        </is>
      </c>
      <c r="B458" s="1" t="n">
        <v>44152</v>
      </c>
      <c r="C458" s="1" t="n">
        <v>45785</v>
      </c>
      <c r="D458" t="inlineStr">
        <is>
          <t>SÖDERMANLANDS LÄN</t>
        </is>
      </c>
      <c r="E458" t="inlineStr">
        <is>
          <t>NYKÖPING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60478-2020</t>
        </is>
      </c>
      <c r="B459" s="1" t="n">
        <v>44153</v>
      </c>
      <c r="C459" s="1" t="n">
        <v>45785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60464-2020</t>
        </is>
      </c>
      <c r="B460" s="1" t="n">
        <v>44153</v>
      </c>
      <c r="C460" s="1" t="n">
        <v>45785</v>
      </c>
      <c r="D460" t="inlineStr">
        <is>
          <t>SÖDERMANLANDS LÄN</t>
        </is>
      </c>
      <c r="E460" t="inlineStr">
        <is>
          <t>NYKÖPING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61006-2020</t>
        </is>
      </c>
      <c r="B461" s="1" t="n">
        <v>44153</v>
      </c>
      <c r="C461" s="1" t="n">
        <v>45785</v>
      </c>
      <c r="D461" t="inlineStr">
        <is>
          <t>SÖDERMANLANDS LÄN</t>
        </is>
      </c>
      <c r="E461" t="inlineStr">
        <is>
          <t>NYKÖPING</t>
        </is>
      </c>
      <c r="G461" t="n">
        <v>13.6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61003-2020</t>
        </is>
      </c>
      <c r="B462" s="1" t="n">
        <v>44153</v>
      </c>
      <c r="C462" s="1" t="n">
        <v>45785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60860-2020</t>
        </is>
      </c>
      <c r="B463" s="1" t="n">
        <v>44154</v>
      </c>
      <c r="C463" s="1" t="n">
        <v>45785</v>
      </c>
      <c r="D463" t="inlineStr">
        <is>
          <t>SÖDERMANLANDS LÄN</t>
        </is>
      </c>
      <c r="E463" t="inlineStr">
        <is>
          <t>NYKÖPING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61905-2020</t>
        </is>
      </c>
      <c r="B464" s="1" t="n">
        <v>44158</v>
      </c>
      <c r="C464" s="1" t="n">
        <v>45785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Kyrkan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64151-2020</t>
        </is>
      </c>
      <c r="B465" s="1" t="n">
        <v>44167</v>
      </c>
      <c r="C465" s="1" t="n">
        <v>45785</v>
      </c>
      <c r="D465" t="inlineStr">
        <is>
          <t>SÖDERMANLANDS LÄN</t>
        </is>
      </c>
      <c r="E465" t="inlineStr">
        <is>
          <t>NYKÖPING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66628-2020</t>
        </is>
      </c>
      <c r="B466" s="1" t="n">
        <v>44179</v>
      </c>
      <c r="C466" s="1" t="n">
        <v>45785</v>
      </c>
      <c r="D466" t="inlineStr">
        <is>
          <t>SÖDERMANLANDS LÄN</t>
        </is>
      </c>
      <c r="E466" t="inlineStr">
        <is>
          <t>NYKÖPING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67682-2020</t>
        </is>
      </c>
      <c r="B467" s="1" t="n">
        <v>44181</v>
      </c>
      <c r="C467" s="1" t="n">
        <v>45785</v>
      </c>
      <c r="D467" t="inlineStr">
        <is>
          <t>SÖDERMANLANDS LÄN</t>
        </is>
      </c>
      <c r="E467" t="inlineStr">
        <is>
          <t>NYKÖPING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67543-2020</t>
        </is>
      </c>
      <c r="B468" s="1" t="n">
        <v>44181</v>
      </c>
      <c r="C468" s="1" t="n">
        <v>45785</v>
      </c>
      <c r="D468" t="inlineStr">
        <is>
          <t>SÖDERMANLANDS LÄN</t>
        </is>
      </c>
      <c r="E468" t="inlineStr">
        <is>
          <t>NYKÖPING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69077-2020</t>
        </is>
      </c>
      <c r="B469" s="1" t="n">
        <v>44188</v>
      </c>
      <c r="C469" s="1" t="n">
        <v>45785</v>
      </c>
      <c r="D469" t="inlineStr">
        <is>
          <t>SÖDERMANLANDS LÄN</t>
        </is>
      </c>
      <c r="E469" t="inlineStr">
        <is>
          <t>NYKÖPING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16-2021</t>
        </is>
      </c>
      <c r="B470" s="1" t="n">
        <v>44197</v>
      </c>
      <c r="C470" s="1" t="n">
        <v>45785</v>
      </c>
      <c r="D470" t="inlineStr">
        <is>
          <t>SÖDERMANLANDS LÄN</t>
        </is>
      </c>
      <c r="E470" t="inlineStr">
        <is>
          <t>NYKÖPING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21-2021</t>
        </is>
      </c>
      <c r="B471" s="1" t="n">
        <v>44197</v>
      </c>
      <c r="C471" s="1" t="n">
        <v>45785</v>
      </c>
      <c r="D471" t="inlineStr">
        <is>
          <t>SÖDERMANLANDS LÄN</t>
        </is>
      </c>
      <c r="E471" t="inlineStr">
        <is>
          <t>NYKÖPING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37-2021</t>
        </is>
      </c>
      <c r="B472" s="1" t="n">
        <v>44198</v>
      </c>
      <c r="C472" s="1" t="n">
        <v>45785</v>
      </c>
      <c r="D472" t="inlineStr">
        <is>
          <t>SÖDERMANLANDS LÄN</t>
        </is>
      </c>
      <c r="E472" t="inlineStr">
        <is>
          <t>NYKÖPING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38-2021</t>
        </is>
      </c>
      <c r="B473" s="1" t="n">
        <v>44198</v>
      </c>
      <c r="C473" s="1" t="n">
        <v>45785</v>
      </c>
      <c r="D473" t="inlineStr">
        <is>
          <t>SÖDERMANLANDS LÄN</t>
        </is>
      </c>
      <c r="E473" t="inlineStr">
        <is>
          <t>NYKÖPING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40-2021</t>
        </is>
      </c>
      <c r="B474" s="1" t="n">
        <v>44198</v>
      </c>
      <c r="C474" s="1" t="n">
        <v>45785</v>
      </c>
      <c r="D474" t="inlineStr">
        <is>
          <t>SÖDERMANLANDS LÄN</t>
        </is>
      </c>
      <c r="E474" t="inlineStr">
        <is>
          <t>NYKÖPING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64-2021</t>
        </is>
      </c>
      <c r="B475" s="1" t="n">
        <v>44199</v>
      </c>
      <c r="C475" s="1" t="n">
        <v>45785</v>
      </c>
      <c r="D475" t="inlineStr">
        <is>
          <t>SÖDERMANLANDS LÄN</t>
        </is>
      </c>
      <c r="E475" t="inlineStr">
        <is>
          <t>NYKÖPING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61-2021</t>
        </is>
      </c>
      <c r="B476" s="1" t="n">
        <v>44199</v>
      </c>
      <c r="C476" s="1" t="n">
        <v>45785</v>
      </c>
      <c r="D476" t="inlineStr">
        <is>
          <t>SÖDERMANLANDS LÄN</t>
        </is>
      </c>
      <c r="E476" t="inlineStr">
        <is>
          <t>NYKÖPING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68-2021</t>
        </is>
      </c>
      <c r="B477" s="1" t="n">
        <v>44199</v>
      </c>
      <c r="C477" s="1" t="n">
        <v>45785</v>
      </c>
      <c r="D477" t="inlineStr">
        <is>
          <t>SÖDERMANLANDS LÄN</t>
        </is>
      </c>
      <c r="E477" t="inlineStr">
        <is>
          <t>NYKÖPING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63-2021</t>
        </is>
      </c>
      <c r="B478" s="1" t="n">
        <v>44199</v>
      </c>
      <c r="C478" s="1" t="n">
        <v>45785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60-2021</t>
        </is>
      </c>
      <c r="B479" s="1" t="n">
        <v>44199</v>
      </c>
      <c r="C479" s="1" t="n">
        <v>45785</v>
      </c>
      <c r="D479" t="inlineStr">
        <is>
          <t>SÖDERMANLANDS LÄN</t>
        </is>
      </c>
      <c r="E479" t="inlineStr">
        <is>
          <t>NYKÖPING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67-2021</t>
        </is>
      </c>
      <c r="B480" s="1" t="n">
        <v>44199</v>
      </c>
      <c r="C480" s="1" t="n">
        <v>45785</v>
      </c>
      <c r="D480" t="inlineStr">
        <is>
          <t>SÖDERMANLANDS LÄN</t>
        </is>
      </c>
      <c r="E480" t="inlineStr">
        <is>
          <t>NYKÖPING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73-2021</t>
        </is>
      </c>
      <c r="B481" s="1" t="n">
        <v>44200</v>
      </c>
      <c r="C481" s="1" t="n">
        <v>45785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69-2021</t>
        </is>
      </c>
      <c r="B482" s="1" t="n">
        <v>44200</v>
      </c>
      <c r="C482" s="1" t="n">
        <v>45785</v>
      </c>
      <c r="D482" t="inlineStr">
        <is>
          <t>SÖDERMANLANDS LÄN</t>
        </is>
      </c>
      <c r="E482" t="inlineStr">
        <is>
          <t>NYKÖPING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76-2021</t>
        </is>
      </c>
      <c r="B483" s="1" t="n">
        <v>44200</v>
      </c>
      <c r="C483" s="1" t="n">
        <v>45785</v>
      </c>
      <c r="D483" t="inlineStr">
        <is>
          <t>SÖDERMANLANDS LÄN</t>
        </is>
      </c>
      <c r="E483" t="inlineStr">
        <is>
          <t>NYKÖPING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75-2021</t>
        </is>
      </c>
      <c r="B484" s="1" t="n">
        <v>44200</v>
      </c>
      <c r="C484" s="1" t="n">
        <v>45785</v>
      </c>
      <c r="D484" t="inlineStr">
        <is>
          <t>SÖDERMANLANDS LÄN</t>
        </is>
      </c>
      <c r="E484" t="inlineStr">
        <is>
          <t>NYKÖPING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229-2021</t>
        </is>
      </c>
      <c r="B485" s="1" t="n">
        <v>44200</v>
      </c>
      <c r="C485" s="1" t="n">
        <v>45785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358-2021</t>
        </is>
      </c>
      <c r="B486" s="1" t="n">
        <v>44200</v>
      </c>
      <c r="C486" s="1" t="n">
        <v>45785</v>
      </c>
      <c r="D486" t="inlineStr">
        <is>
          <t>SÖDERMANLANDS LÄN</t>
        </is>
      </c>
      <c r="E486" t="inlineStr">
        <is>
          <t>NYKÖPING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346-2021</t>
        </is>
      </c>
      <c r="B487" s="1" t="n">
        <v>44200</v>
      </c>
      <c r="C487" s="1" t="n">
        <v>45785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Allmännings- och besparingsskogar</t>
        </is>
      </c>
      <c r="G487" t="n">
        <v>18.1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70-2021</t>
        </is>
      </c>
      <c r="B488" s="1" t="n">
        <v>44200</v>
      </c>
      <c r="C488" s="1" t="n">
        <v>45785</v>
      </c>
      <c r="D488" t="inlineStr">
        <is>
          <t>SÖDERMANLANDS LÄN</t>
        </is>
      </c>
      <c r="E488" t="inlineStr">
        <is>
          <t>NYKÖPING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1083-2021</t>
        </is>
      </c>
      <c r="B489" s="1" t="n">
        <v>44207</v>
      </c>
      <c r="C489" s="1" t="n">
        <v>45785</v>
      </c>
      <c r="D489" t="inlineStr">
        <is>
          <t>SÖDERMANLANDS LÄN</t>
        </is>
      </c>
      <c r="E489" t="inlineStr">
        <is>
          <t>NYKÖPING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1605-2021</t>
        </is>
      </c>
      <c r="B490" s="1" t="n">
        <v>44209</v>
      </c>
      <c r="C490" s="1" t="n">
        <v>45785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1547-2021</t>
        </is>
      </c>
      <c r="B491" s="1" t="n">
        <v>44209</v>
      </c>
      <c r="C491" s="1" t="n">
        <v>45785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2541-2021</t>
        </is>
      </c>
      <c r="B492" s="1" t="n">
        <v>44214</v>
      </c>
      <c r="C492" s="1" t="n">
        <v>45785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2851-2021</t>
        </is>
      </c>
      <c r="B493" s="1" t="n">
        <v>44216</v>
      </c>
      <c r="C493" s="1" t="n">
        <v>45785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2863-2021</t>
        </is>
      </c>
      <c r="B494" s="1" t="n">
        <v>44216</v>
      </c>
      <c r="C494" s="1" t="n">
        <v>45785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2866-2021</t>
        </is>
      </c>
      <c r="B495" s="1" t="n">
        <v>44216</v>
      </c>
      <c r="C495" s="1" t="n">
        <v>45785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3068-2021</t>
        </is>
      </c>
      <c r="B496" s="1" t="n">
        <v>44216</v>
      </c>
      <c r="C496" s="1" t="n">
        <v>45785</v>
      </c>
      <c r="D496" t="inlineStr">
        <is>
          <t>SÖDERMANLANDS LÄN</t>
        </is>
      </c>
      <c r="E496" t="inlineStr">
        <is>
          <t>NYKÖPING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3382-2021</t>
        </is>
      </c>
      <c r="B497" s="1" t="n">
        <v>44217</v>
      </c>
      <c r="C497" s="1" t="n">
        <v>45785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Kommuner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3359-2021</t>
        </is>
      </c>
      <c r="B498" s="1" t="n">
        <v>44218</v>
      </c>
      <c r="C498" s="1" t="n">
        <v>45785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4322-2021</t>
        </is>
      </c>
      <c r="B499" s="1" t="n">
        <v>44223</v>
      </c>
      <c r="C499" s="1" t="n">
        <v>45785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Sveaskog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4461-2021</t>
        </is>
      </c>
      <c r="B500" s="1" t="n">
        <v>44224</v>
      </c>
      <c r="C500" s="1" t="n">
        <v>45785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4610-2021</t>
        </is>
      </c>
      <c r="B501" s="1" t="n">
        <v>44224</v>
      </c>
      <c r="C501" s="1" t="n">
        <v>45785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4623-2021</t>
        </is>
      </c>
      <c r="B502" s="1" t="n">
        <v>44224</v>
      </c>
      <c r="C502" s="1" t="n">
        <v>45785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4642-2021</t>
        </is>
      </c>
      <c r="B503" s="1" t="n">
        <v>44224</v>
      </c>
      <c r="C503" s="1" t="n">
        <v>45785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4609-2021</t>
        </is>
      </c>
      <c r="B504" s="1" t="n">
        <v>44224</v>
      </c>
      <c r="C504" s="1" t="n">
        <v>45785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4596-2021</t>
        </is>
      </c>
      <c r="B505" s="1" t="n">
        <v>44224</v>
      </c>
      <c r="C505" s="1" t="n">
        <v>45785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6171-2021</t>
        </is>
      </c>
      <c r="B506" s="1" t="n">
        <v>44232</v>
      </c>
      <c r="C506" s="1" t="n">
        <v>45785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6295-2021</t>
        </is>
      </c>
      <c r="B507" s="1" t="n">
        <v>44235</v>
      </c>
      <c r="C507" s="1" t="n">
        <v>45785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7000-2021</t>
        </is>
      </c>
      <c r="B508" s="1" t="n">
        <v>44237</v>
      </c>
      <c r="C508" s="1" t="n">
        <v>45785</v>
      </c>
      <c r="D508" t="inlineStr">
        <is>
          <t>SÖDERMANLANDS LÄN</t>
        </is>
      </c>
      <c r="E508" t="inlineStr">
        <is>
          <t>NYKÖPING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7022-2021</t>
        </is>
      </c>
      <c r="B509" s="1" t="n">
        <v>44237</v>
      </c>
      <c r="C509" s="1" t="n">
        <v>45785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7006-2021</t>
        </is>
      </c>
      <c r="B510" s="1" t="n">
        <v>44237</v>
      </c>
      <c r="C510" s="1" t="n">
        <v>45785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7172-2021</t>
        </is>
      </c>
      <c r="B511" s="1" t="n">
        <v>44238</v>
      </c>
      <c r="C511" s="1" t="n">
        <v>45785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7187-2021</t>
        </is>
      </c>
      <c r="B512" s="1" t="n">
        <v>44238</v>
      </c>
      <c r="C512" s="1" t="n">
        <v>45785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7462-2021</t>
        </is>
      </c>
      <c r="B513" s="1" t="n">
        <v>44239</v>
      </c>
      <c r="C513" s="1" t="n">
        <v>45785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7434-2021</t>
        </is>
      </c>
      <c r="B514" s="1" t="n">
        <v>44239</v>
      </c>
      <c r="C514" s="1" t="n">
        <v>45785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7503-2021</t>
        </is>
      </c>
      <c r="B515" s="1" t="n">
        <v>44239</v>
      </c>
      <c r="C515" s="1" t="n">
        <v>45785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8455-2021</t>
        </is>
      </c>
      <c r="B516" s="1" t="n">
        <v>44245</v>
      </c>
      <c r="C516" s="1" t="n">
        <v>45785</v>
      </c>
      <c r="D516" t="inlineStr">
        <is>
          <t>SÖDERMANLANDS LÄN</t>
        </is>
      </c>
      <c r="E516" t="inlineStr">
        <is>
          <t>NYKÖPING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8523-2021</t>
        </is>
      </c>
      <c r="B517" s="1" t="n">
        <v>44245</v>
      </c>
      <c r="C517" s="1" t="n">
        <v>45785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8742-2021</t>
        </is>
      </c>
      <c r="B518" s="1" t="n">
        <v>44246</v>
      </c>
      <c r="C518" s="1" t="n">
        <v>45785</v>
      </c>
      <c r="D518" t="inlineStr">
        <is>
          <t>SÖDERMANLANDS LÄN</t>
        </is>
      </c>
      <c r="E518" t="inlineStr">
        <is>
          <t>NYKÖPING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8767-2021</t>
        </is>
      </c>
      <c r="B519" s="1" t="n">
        <v>44246</v>
      </c>
      <c r="C519" s="1" t="n">
        <v>45785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9039-2021</t>
        </is>
      </c>
      <c r="B520" s="1" t="n">
        <v>44249</v>
      </c>
      <c r="C520" s="1" t="n">
        <v>45785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9320-2021</t>
        </is>
      </c>
      <c r="B521" s="1" t="n">
        <v>44250</v>
      </c>
      <c r="C521" s="1" t="n">
        <v>45785</v>
      </c>
      <c r="D521" t="inlineStr">
        <is>
          <t>SÖDERMANLANDS LÄN</t>
        </is>
      </c>
      <c r="E521" t="inlineStr">
        <is>
          <t>NYKÖPING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9478-2021</t>
        </is>
      </c>
      <c r="B522" s="1" t="n">
        <v>44251</v>
      </c>
      <c r="C522" s="1" t="n">
        <v>45785</v>
      </c>
      <c r="D522" t="inlineStr">
        <is>
          <t>SÖDERMANLANDS LÄN</t>
        </is>
      </c>
      <c r="E522" t="inlineStr">
        <is>
          <t>NYKÖPING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9589-2021</t>
        </is>
      </c>
      <c r="B523" s="1" t="n">
        <v>44251</v>
      </c>
      <c r="C523" s="1" t="n">
        <v>45785</v>
      </c>
      <c r="D523" t="inlineStr">
        <is>
          <t>SÖDERMANLANDS LÄN</t>
        </is>
      </c>
      <c r="E523" t="inlineStr">
        <is>
          <t>NYKÖPING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10149-2021</t>
        </is>
      </c>
      <c r="B524" s="1" t="n">
        <v>44256</v>
      </c>
      <c r="C524" s="1" t="n">
        <v>45785</v>
      </c>
      <c r="D524" t="inlineStr">
        <is>
          <t>SÖDERMANLANDS LÄN</t>
        </is>
      </c>
      <c r="E524" t="inlineStr">
        <is>
          <t>NYKÖPING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10141-2021</t>
        </is>
      </c>
      <c r="B525" s="1" t="n">
        <v>44256</v>
      </c>
      <c r="C525" s="1" t="n">
        <v>45785</v>
      </c>
      <c r="D525" t="inlineStr">
        <is>
          <t>SÖDERMANLANDS LÄN</t>
        </is>
      </c>
      <c r="E525" t="inlineStr">
        <is>
          <t>NYKÖPING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10152-2021</t>
        </is>
      </c>
      <c r="B526" s="1" t="n">
        <v>44256</v>
      </c>
      <c r="C526" s="1" t="n">
        <v>45785</v>
      </c>
      <c r="D526" t="inlineStr">
        <is>
          <t>SÖDERMANLANDS LÄN</t>
        </is>
      </c>
      <c r="E526" t="inlineStr">
        <is>
          <t>NYKÖPING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10161-2021</t>
        </is>
      </c>
      <c r="B527" s="1" t="n">
        <v>44256</v>
      </c>
      <c r="C527" s="1" t="n">
        <v>45785</v>
      </c>
      <c r="D527" t="inlineStr">
        <is>
          <t>SÖDERMANLANDS LÄN</t>
        </is>
      </c>
      <c r="E527" t="inlineStr">
        <is>
          <t>NYKÖPING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10550-2021</t>
        </is>
      </c>
      <c r="B528" s="1" t="n">
        <v>44258</v>
      </c>
      <c r="C528" s="1" t="n">
        <v>45785</v>
      </c>
      <c r="D528" t="inlineStr">
        <is>
          <t>SÖDERMANLANDS LÄN</t>
        </is>
      </c>
      <c r="E528" t="inlineStr">
        <is>
          <t>NYKÖPING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10848-2021</t>
        </is>
      </c>
      <c r="B529" s="1" t="n">
        <v>44259</v>
      </c>
      <c r="C529" s="1" t="n">
        <v>45785</v>
      </c>
      <c r="D529" t="inlineStr">
        <is>
          <t>SÖDERMANLANDS LÄN</t>
        </is>
      </c>
      <c r="E529" t="inlineStr">
        <is>
          <t>NYKÖPING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10862-2021</t>
        </is>
      </c>
      <c r="B530" s="1" t="n">
        <v>44259</v>
      </c>
      <c r="C530" s="1" t="n">
        <v>45785</v>
      </c>
      <c r="D530" t="inlineStr">
        <is>
          <t>SÖDERMANLANDS LÄN</t>
        </is>
      </c>
      <c r="E530" t="inlineStr">
        <is>
          <t>NYKÖPING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11151-2021</t>
        </is>
      </c>
      <c r="B531" s="1" t="n">
        <v>44261</v>
      </c>
      <c r="C531" s="1" t="n">
        <v>45785</v>
      </c>
      <c r="D531" t="inlineStr">
        <is>
          <t>SÖDERMANLANDS LÄN</t>
        </is>
      </c>
      <c r="E531" t="inlineStr">
        <is>
          <t>NYKÖPING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11345-2021</t>
        </is>
      </c>
      <c r="B532" s="1" t="n">
        <v>44263</v>
      </c>
      <c r="C532" s="1" t="n">
        <v>45785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11582-2021</t>
        </is>
      </c>
      <c r="B533" s="1" t="n">
        <v>44264</v>
      </c>
      <c r="C533" s="1" t="n">
        <v>45785</v>
      </c>
      <c r="D533" t="inlineStr">
        <is>
          <t>SÖDERMANLANDS LÄN</t>
        </is>
      </c>
      <c r="E533" t="inlineStr">
        <is>
          <t>NYKÖPING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14686-2021</t>
        </is>
      </c>
      <c r="B534" s="1" t="n">
        <v>44264</v>
      </c>
      <c r="C534" s="1" t="n">
        <v>45785</v>
      </c>
      <c r="D534" t="inlineStr">
        <is>
          <t>SÖDERMANLANDS LÄN</t>
        </is>
      </c>
      <c r="E534" t="inlineStr">
        <is>
          <t>NYKÖPING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14654-2021</t>
        </is>
      </c>
      <c r="B535" s="1" t="n">
        <v>44264</v>
      </c>
      <c r="C535" s="1" t="n">
        <v>45785</v>
      </c>
      <c r="D535" t="inlineStr">
        <is>
          <t>SÖDERMANLANDS LÄN</t>
        </is>
      </c>
      <c r="E535" t="inlineStr">
        <is>
          <t>NYKÖPING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11985-2021</t>
        </is>
      </c>
      <c r="B536" s="1" t="n">
        <v>44266</v>
      </c>
      <c r="C536" s="1" t="n">
        <v>45785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12205-2021</t>
        </is>
      </c>
      <c r="B537" s="1" t="n">
        <v>44266</v>
      </c>
      <c r="C537" s="1" t="n">
        <v>45785</v>
      </c>
      <c r="D537" t="inlineStr">
        <is>
          <t>SÖDERMANLANDS LÄN</t>
        </is>
      </c>
      <c r="E537" t="inlineStr">
        <is>
          <t>NYKÖPING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12202-2021</t>
        </is>
      </c>
      <c r="B538" s="1" t="n">
        <v>44266</v>
      </c>
      <c r="C538" s="1" t="n">
        <v>45785</v>
      </c>
      <c r="D538" t="inlineStr">
        <is>
          <t>SÖDERMANLANDS LÄN</t>
        </is>
      </c>
      <c r="E538" t="inlineStr">
        <is>
          <t>NYKÖPING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12340-2021</t>
        </is>
      </c>
      <c r="B539" s="1" t="n">
        <v>44267</v>
      </c>
      <c r="C539" s="1" t="n">
        <v>45785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12332-2021</t>
        </is>
      </c>
      <c r="B540" s="1" t="n">
        <v>44267</v>
      </c>
      <c r="C540" s="1" t="n">
        <v>45785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12960-2021</t>
        </is>
      </c>
      <c r="B541" s="1" t="n">
        <v>44271</v>
      </c>
      <c r="C541" s="1" t="n">
        <v>45785</v>
      </c>
      <c r="D541" t="inlineStr">
        <is>
          <t>SÖDERMANLANDS LÄN</t>
        </is>
      </c>
      <c r="E541" t="inlineStr">
        <is>
          <t>NYKÖPING</t>
        </is>
      </c>
      <c r="G541" t="n">
        <v>12.6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13120-2021</t>
        </is>
      </c>
      <c r="B542" s="1" t="n">
        <v>44272</v>
      </c>
      <c r="C542" s="1" t="n">
        <v>45785</v>
      </c>
      <c r="D542" t="inlineStr">
        <is>
          <t>SÖDERMANLANDS LÄN</t>
        </is>
      </c>
      <c r="E542" t="inlineStr">
        <is>
          <t>NYKÖPING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13279-2021</t>
        </is>
      </c>
      <c r="B543" s="1" t="n">
        <v>44272</v>
      </c>
      <c r="C543" s="1" t="n">
        <v>45785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13573-2021</t>
        </is>
      </c>
      <c r="B544" s="1" t="n">
        <v>44273</v>
      </c>
      <c r="C544" s="1" t="n">
        <v>45785</v>
      </c>
      <c r="D544" t="inlineStr">
        <is>
          <t>SÖDERMANLANDS LÄN</t>
        </is>
      </c>
      <c r="E544" t="inlineStr">
        <is>
          <t>NYKÖPING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13759-2021</t>
        </is>
      </c>
      <c r="B545" s="1" t="n">
        <v>44274</v>
      </c>
      <c r="C545" s="1" t="n">
        <v>45785</v>
      </c>
      <c r="D545" t="inlineStr">
        <is>
          <t>SÖDERMANLANDS LÄN</t>
        </is>
      </c>
      <c r="E545" t="inlineStr">
        <is>
          <t>NYKÖPING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14176-2021</t>
        </is>
      </c>
      <c r="B546" s="1" t="n">
        <v>44278</v>
      </c>
      <c r="C546" s="1" t="n">
        <v>45785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14175-2021</t>
        </is>
      </c>
      <c r="B547" s="1" t="n">
        <v>44278</v>
      </c>
      <c r="C547" s="1" t="n">
        <v>45785</v>
      </c>
      <c r="D547" t="inlineStr">
        <is>
          <t>SÖDERMANLANDS LÄN</t>
        </is>
      </c>
      <c r="E547" t="inlineStr">
        <is>
          <t>NYKÖPING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15132-2021</t>
        </is>
      </c>
      <c r="B548" s="1" t="n">
        <v>44283</v>
      </c>
      <c r="C548" s="1" t="n">
        <v>45785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15545-2021</t>
        </is>
      </c>
      <c r="B549" s="1" t="n">
        <v>44285</v>
      </c>
      <c r="C549" s="1" t="n">
        <v>45785</v>
      </c>
      <c r="D549" t="inlineStr">
        <is>
          <t>SÖDERMANLANDS LÄN</t>
        </is>
      </c>
      <c r="E549" t="inlineStr">
        <is>
          <t>NYKÖPING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15520-2021</t>
        </is>
      </c>
      <c r="B550" s="1" t="n">
        <v>44285</v>
      </c>
      <c r="C550" s="1" t="n">
        <v>45785</v>
      </c>
      <c r="D550" t="inlineStr">
        <is>
          <t>SÖDERMANLANDS LÄN</t>
        </is>
      </c>
      <c r="E550" t="inlineStr">
        <is>
          <t>NYKÖPING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15532-2021</t>
        </is>
      </c>
      <c r="B551" s="1" t="n">
        <v>44285</v>
      </c>
      <c r="C551" s="1" t="n">
        <v>45785</v>
      </c>
      <c r="D551" t="inlineStr">
        <is>
          <t>SÖDERMANLANDS LÄN</t>
        </is>
      </c>
      <c r="E551" t="inlineStr">
        <is>
          <t>NYKÖPING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16272-2021</t>
        </is>
      </c>
      <c r="B552" s="1" t="n">
        <v>44292</v>
      </c>
      <c r="C552" s="1" t="n">
        <v>45785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16456-2021</t>
        </is>
      </c>
      <c r="B553" s="1" t="n">
        <v>44293</v>
      </c>
      <c r="C553" s="1" t="n">
        <v>45785</v>
      </c>
      <c r="D553" t="inlineStr">
        <is>
          <t>SÖDERMANLANDS LÄN</t>
        </is>
      </c>
      <c r="E553" t="inlineStr">
        <is>
          <t>NYKÖPING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16526-2021</t>
        </is>
      </c>
      <c r="B554" s="1" t="n">
        <v>44293</v>
      </c>
      <c r="C554" s="1" t="n">
        <v>45785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Allmännings- och besparingsskogar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16616-2021</t>
        </is>
      </c>
      <c r="B555" s="1" t="n">
        <v>44294</v>
      </c>
      <c r="C555" s="1" t="n">
        <v>45785</v>
      </c>
      <c r="D555" t="inlineStr">
        <is>
          <t>SÖDERMANLANDS LÄN</t>
        </is>
      </c>
      <c r="E555" t="inlineStr">
        <is>
          <t>NYKÖPING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16740-2021</t>
        </is>
      </c>
      <c r="B556" s="1" t="n">
        <v>44294</v>
      </c>
      <c r="C556" s="1" t="n">
        <v>45785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17800-2021</t>
        </is>
      </c>
      <c r="B557" s="1" t="n">
        <v>44300</v>
      </c>
      <c r="C557" s="1" t="n">
        <v>45785</v>
      </c>
      <c r="D557" t="inlineStr">
        <is>
          <t>SÖDERMANLANDS LÄN</t>
        </is>
      </c>
      <c r="E557" t="inlineStr">
        <is>
          <t>NYKÖPING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18161-2021</t>
        </is>
      </c>
      <c r="B558" s="1" t="n">
        <v>44302</v>
      </c>
      <c r="C558" s="1" t="n">
        <v>45785</v>
      </c>
      <c r="D558" t="inlineStr">
        <is>
          <t>SÖDERMANLANDS LÄN</t>
        </is>
      </c>
      <c r="E558" t="inlineStr">
        <is>
          <t>NYKÖPING</t>
        </is>
      </c>
      <c r="G558" t="n">
        <v>23.9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18663-2021</t>
        </is>
      </c>
      <c r="B559" s="1" t="n">
        <v>44306</v>
      </c>
      <c r="C559" s="1" t="n">
        <v>45785</v>
      </c>
      <c r="D559" t="inlineStr">
        <is>
          <t>SÖDERMANLANDS LÄN</t>
        </is>
      </c>
      <c r="E559" t="inlineStr">
        <is>
          <t>NYKÖPING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18665-2021</t>
        </is>
      </c>
      <c r="B560" s="1" t="n">
        <v>44306</v>
      </c>
      <c r="C560" s="1" t="n">
        <v>45785</v>
      </c>
      <c r="D560" t="inlineStr">
        <is>
          <t>SÖDERMANLANDS LÄN</t>
        </is>
      </c>
      <c r="E560" t="inlineStr">
        <is>
          <t>NYKÖPING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19436-2021</t>
        </is>
      </c>
      <c r="B561" s="1" t="n">
        <v>44310</v>
      </c>
      <c r="C561" s="1" t="n">
        <v>45785</v>
      </c>
      <c r="D561" t="inlineStr">
        <is>
          <t>SÖDERMANLANDS LÄN</t>
        </is>
      </c>
      <c r="E561" t="inlineStr">
        <is>
          <t>NYKÖPING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20437-2021</t>
        </is>
      </c>
      <c r="B562" s="1" t="n">
        <v>44315</v>
      </c>
      <c r="C562" s="1" t="n">
        <v>45785</v>
      </c>
      <c r="D562" t="inlineStr">
        <is>
          <t>SÖDERMANLANDS LÄN</t>
        </is>
      </c>
      <c r="E562" t="inlineStr">
        <is>
          <t>NYKÖPING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21540-2021</t>
        </is>
      </c>
      <c r="B563" s="1" t="n">
        <v>44316</v>
      </c>
      <c r="C563" s="1" t="n">
        <v>45785</v>
      </c>
      <c r="D563" t="inlineStr">
        <is>
          <t>SÖDERMANLANDS LÄN</t>
        </is>
      </c>
      <c r="E563" t="inlineStr">
        <is>
          <t>NYKÖPING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22486-2021</t>
        </is>
      </c>
      <c r="B564" s="1" t="n">
        <v>44326</v>
      </c>
      <c r="C564" s="1" t="n">
        <v>45785</v>
      </c>
      <c r="D564" t="inlineStr">
        <is>
          <t>SÖDERMANLANDS LÄN</t>
        </is>
      </c>
      <c r="E564" t="inlineStr">
        <is>
          <t>NYKÖPING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23346-2021</t>
        </is>
      </c>
      <c r="B565" s="1" t="n">
        <v>44333</v>
      </c>
      <c r="C565" s="1" t="n">
        <v>45785</v>
      </c>
      <c r="D565" t="inlineStr">
        <is>
          <t>SÖDERMANLANDS LÄN</t>
        </is>
      </c>
      <c r="E565" t="inlineStr">
        <is>
          <t>NYKÖPING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23638-2021</t>
        </is>
      </c>
      <c r="B566" s="1" t="n">
        <v>44334</v>
      </c>
      <c r="C566" s="1" t="n">
        <v>45785</v>
      </c>
      <c r="D566" t="inlineStr">
        <is>
          <t>SÖDERMANLANDS LÄN</t>
        </is>
      </c>
      <c r="E566" t="inlineStr">
        <is>
          <t>NYKÖPING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23725-2021</t>
        </is>
      </c>
      <c r="B567" s="1" t="n">
        <v>44334</v>
      </c>
      <c r="C567" s="1" t="n">
        <v>45785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Kyrkan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30441-2021</t>
        </is>
      </c>
      <c r="B568" s="1" t="n">
        <v>44336</v>
      </c>
      <c r="C568" s="1" t="n">
        <v>45785</v>
      </c>
      <c r="D568" t="inlineStr">
        <is>
          <t>SÖDERMANLANDS LÄN</t>
        </is>
      </c>
      <c r="E568" t="inlineStr">
        <is>
          <t>NYKÖPING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24539-2021</t>
        </is>
      </c>
      <c r="B569" s="1" t="n">
        <v>44339</v>
      </c>
      <c r="C569" s="1" t="n">
        <v>45785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24545-2021</t>
        </is>
      </c>
      <c r="B570" s="1" t="n">
        <v>44339</v>
      </c>
      <c r="C570" s="1" t="n">
        <v>45785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26651-2021</t>
        </is>
      </c>
      <c r="B571" s="1" t="n">
        <v>44348</v>
      </c>
      <c r="C571" s="1" t="n">
        <v>45785</v>
      </c>
      <c r="D571" t="inlineStr">
        <is>
          <t>SÖDERMANLANDS LÄN</t>
        </is>
      </c>
      <c r="E571" t="inlineStr">
        <is>
          <t>NYKÖPING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26984-2021</t>
        </is>
      </c>
      <c r="B572" s="1" t="n">
        <v>44349</v>
      </c>
      <c r="C572" s="1" t="n">
        <v>45785</v>
      </c>
      <c r="D572" t="inlineStr">
        <is>
          <t>SÖDERMANLANDS LÄN</t>
        </is>
      </c>
      <c r="E572" t="inlineStr">
        <is>
          <t>NYKÖPING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27151-2021</t>
        </is>
      </c>
      <c r="B573" s="1" t="n">
        <v>44350</v>
      </c>
      <c r="C573" s="1" t="n">
        <v>45785</v>
      </c>
      <c r="D573" t="inlineStr">
        <is>
          <t>SÖDERMANLANDS LÄN</t>
        </is>
      </c>
      <c r="E573" t="inlineStr">
        <is>
          <t>NYKÖPING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27934-2021</t>
        </is>
      </c>
      <c r="B574" s="1" t="n">
        <v>44354</v>
      </c>
      <c r="C574" s="1" t="n">
        <v>45785</v>
      </c>
      <c r="D574" t="inlineStr">
        <is>
          <t>SÖDERMANLANDS LÄN</t>
        </is>
      </c>
      <c r="E574" t="inlineStr">
        <is>
          <t>NYKÖPING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29052-2021</t>
        </is>
      </c>
      <c r="B575" s="1" t="n">
        <v>44358</v>
      </c>
      <c r="C575" s="1" t="n">
        <v>45785</v>
      </c>
      <c r="D575" t="inlineStr">
        <is>
          <t>SÖDERMANLANDS LÄN</t>
        </is>
      </c>
      <c r="E575" t="inlineStr">
        <is>
          <t>NYKÖPING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29891-2021</t>
        </is>
      </c>
      <c r="B576" s="1" t="n">
        <v>44362</v>
      </c>
      <c r="C576" s="1" t="n">
        <v>45785</v>
      </c>
      <c r="D576" t="inlineStr">
        <is>
          <t>SÖDERMANLANDS LÄN</t>
        </is>
      </c>
      <c r="E576" t="inlineStr">
        <is>
          <t>NYKÖPING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29893-2021</t>
        </is>
      </c>
      <c r="B577" s="1" t="n">
        <v>44362</v>
      </c>
      <c r="C577" s="1" t="n">
        <v>45785</v>
      </c>
      <c r="D577" t="inlineStr">
        <is>
          <t>SÖDERMANLANDS LÄN</t>
        </is>
      </c>
      <c r="E577" t="inlineStr">
        <is>
          <t>NYKÖPING</t>
        </is>
      </c>
      <c r="G577" t="n">
        <v>10.6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29966-2021</t>
        </is>
      </c>
      <c r="B578" s="1" t="n">
        <v>44363</v>
      </c>
      <c r="C578" s="1" t="n">
        <v>45785</v>
      </c>
      <c r="D578" t="inlineStr">
        <is>
          <t>SÖDERMANLANDS LÄN</t>
        </is>
      </c>
      <c r="E578" t="inlineStr">
        <is>
          <t>NYKÖPING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30003-2021</t>
        </is>
      </c>
      <c r="B579" s="1" t="n">
        <v>44363</v>
      </c>
      <c r="C579" s="1" t="n">
        <v>45785</v>
      </c>
      <c r="D579" t="inlineStr">
        <is>
          <t>SÖDERMANLANDS LÄN</t>
        </is>
      </c>
      <c r="E579" t="inlineStr">
        <is>
          <t>NYKÖPING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30171-2021</t>
        </is>
      </c>
      <c r="B580" s="1" t="n">
        <v>44363</v>
      </c>
      <c r="C580" s="1" t="n">
        <v>45785</v>
      </c>
      <c r="D580" t="inlineStr">
        <is>
          <t>SÖDERMANLANDS LÄN</t>
        </is>
      </c>
      <c r="E580" t="inlineStr">
        <is>
          <t>NYKÖPING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30394-2021</t>
        </is>
      </c>
      <c r="B581" s="1" t="n">
        <v>44364</v>
      </c>
      <c r="C581" s="1" t="n">
        <v>45785</v>
      </c>
      <c r="D581" t="inlineStr">
        <is>
          <t>SÖDERMANLANDS LÄN</t>
        </is>
      </c>
      <c r="E581" t="inlineStr">
        <is>
          <t>NYKÖPING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30415-2021</t>
        </is>
      </c>
      <c r="B582" s="1" t="n">
        <v>44364</v>
      </c>
      <c r="C582" s="1" t="n">
        <v>45785</v>
      </c>
      <c r="D582" t="inlineStr">
        <is>
          <t>SÖDERMANLANDS LÄN</t>
        </is>
      </c>
      <c r="E582" t="inlineStr">
        <is>
          <t>NYKÖPING</t>
        </is>
      </c>
      <c r="G582" t="n">
        <v>19.9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30397-2021</t>
        </is>
      </c>
      <c r="B583" s="1" t="n">
        <v>44364</v>
      </c>
      <c r="C583" s="1" t="n">
        <v>45785</v>
      </c>
      <c r="D583" t="inlineStr">
        <is>
          <t>SÖDERMANLANDS LÄN</t>
        </is>
      </c>
      <c r="E583" t="inlineStr">
        <is>
          <t>NYKÖPING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30423-2021</t>
        </is>
      </c>
      <c r="B584" s="1" t="n">
        <v>44364</v>
      </c>
      <c r="C584" s="1" t="n">
        <v>45785</v>
      </c>
      <c r="D584" t="inlineStr">
        <is>
          <t>SÖDERMANLANDS LÄN</t>
        </is>
      </c>
      <c r="E584" t="inlineStr">
        <is>
          <t>NYKÖPING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30509-2021</t>
        </is>
      </c>
      <c r="B585" s="1" t="n">
        <v>44364</v>
      </c>
      <c r="C585" s="1" t="n">
        <v>45785</v>
      </c>
      <c r="D585" t="inlineStr">
        <is>
          <t>SÖDERMANLANDS LÄN</t>
        </is>
      </c>
      <c r="E585" t="inlineStr">
        <is>
          <t>NYKÖPING</t>
        </is>
      </c>
      <c r="G585" t="n">
        <v>16.7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30570-2021</t>
        </is>
      </c>
      <c r="B586" s="1" t="n">
        <v>44364</v>
      </c>
      <c r="C586" s="1" t="n">
        <v>45785</v>
      </c>
      <c r="D586" t="inlineStr">
        <is>
          <t>SÖDERMANLANDS LÄN</t>
        </is>
      </c>
      <c r="E586" t="inlineStr">
        <is>
          <t>NYKÖPING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32056-2021</t>
        </is>
      </c>
      <c r="B587" s="1" t="n">
        <v>44370</v>
      </c>
      <c r="C587" s="1" t="n">
        <v>45785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32313-2021</t>
        </is>
      </c>
      <c r="B588" s="1" t="n">
        <v>44371</v>
      </c>
      <c r="C588" s="1" t="n">
        <v>45785</v>
      </c>
      <c r="D588" t="inlineStr">
        <is>
          <t>SÖDERMANLANDS LÄN</t>
        </is>
      </c>
      <c r="E588" t="inlineStr">
        <is>
          <t>NYKÖPING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32551-2021</t>
        </is>
      </c>
      <c r="B589" s="1" t="n">
        <v>44375</v>
      </c>
      <c r="C589" s="1" t="n">
        <v>45785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34619-2021</t>
        </is>
      </c>
      <c r="B590" s="1" t="n">
        <v>44379</v>
      </c>
      <c r="C590" s="1" t="n">
        <v>45785</v>
      </c>
      <c r="D590" t="inlineStr">
        <is>
          <t>SÖDERMANLANDS LÄN</t>
        </is>
      </c>
      <c r="E590" t="inlineStr">
        <is>
          <t>NYKÖPING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34632-2021</t>
        </is>
      </c>
      <c r="B591" s="1" t="n">
        <v>44382</v>
      </c>
      <c r="C591" s="1" t="n">
        <v>45785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34753-2021</t>
        </is>
      </c>
      <c r="B592" s="1" t="n">
        <v>44382</v>
      </c>
      <c r="C592" s="1" t="n">
        <v>45785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34841-2021</t>
        </is>
      </c>
      <c r="B593" s="1" t="n">
        <v>44383</v>
      </c>
      <c r="C593" s="1" t="n">
        <v>45785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35192-2021</t>
        </is>
      </c>
      <c r="B594" s="1" t="n">
        <v>44384</v>
      </c>
      <c r="C594" s="1" t="n">
        <v>45785</v>
      </c>
      <c r="D594" t="inlineStr">
        <is>
          <t>SÖDERMANLANDS LÄN</t>
        </is>
      </c>
      <c r="E594" t="inlineStr">
        <is>
          <t>NYKÖPING</t>
        </is>
      </c>
      <c r="G594" t="n">
        <v>13.1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37223-2021</t>
        </is>
      </c>
      <c r="B595" s="1" t="n">
        <v>44396</v>
      </c>
      <c r="C595" s="1" t="n">
        <v>45785</v>
      </c>
      <c r="D595" t="inlineStr">
        <is>
          <t>SÖDERMANLANDS LÄN</t>
        </is>
      </c>
      <c r="E595" t="inlineStr">
        <is>
          <t>NYKÖPING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37272-2021</t>
        </is>
      </c>
      <c r="B596" s="1" t="n">
        <v>44397</v>
      </c>
      <c r="C596" s="1" t="n">
        <v>45785</v>
      </c>
      <c r="D596" t="inlineStr">
        <is>
          <t>SÖDERMANLANDS LÄN</t>
        </is>
      </c>
      <c r="E596" t="inlineStr">
        <is>
          <t>NYKÖPING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38029-2021</t>
        </is>
      </c>
      <c r="B597" s="1" t="n">
        <v>44404</v>
      </c>
      <c r="C597" s="1" t="n">
        <v>45785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38023-2021</t>
        </is>
      </c>
      <c r="B598" s="1" t="n">
        <v>44404</v>
      </c>
      <c r="C598" s="1" t="n">
        <v>45785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39306-2021</t>
        </is>
      </c>
      <c r="B599" s="1" t="n">
        <v>44413</v>
      </c>
      <c r="C599" s="1" t="n">
        <v>45785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39368-2021</t>
        </is>
      </c>
      <c r="B600" s="1" t="n">
        <v>44414</v>
      </c>
      <c r="C600" s="1" t="n">
        <v>45785</v>
      </c>
      <c r="D600" t="inlineStr">
        <is>
          <t>SÖDERMANLANDS LÄN</t>
        </is>
      </c>
      <c r="E600" t="inlineStr">
        <is>
          <t>NYKÖPING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39540-2021</t>
        </is>
      </c>
      <c r="B601" s="1" t="n">
        <v>44416</v>
      </c>
      <c r="C601" s="1" t="n">
        <v>45785</v>
      </c>
      <c r="D601" t="inlineStr">
        <is>
          <t>SÖDERMANLANDS LÄN</t>
        </is>
      </c>
      <c r="E601" t="inlineStr">
        <is>
          <t>NYKÖPING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39539-2021</t>
        </is>
      </c>
      <c r="B602" s="1" t="n">
        <v>44416</v>
      </c>
      <c r="C602" s="1" t="n">
        <v>45785</v>
      </c>
      <c r="D602" t="inlineStr">
        <is>
          <t>SÖDERMANLANDS LÄN</t>
        </is>
      </c>
      <c r="E602" t="inlineStr">
        <is>
          <t>NYKÖPING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39538-2021</t>
        </is>
      </c>
      <c r="B603" s="1" t="n">
        <v>44416</v>
      </c>
      <c r="C603" s="1" t="n">
        <v>45785</v>
      </c>
      <c r="D603" t="inlineStr">
        <is>
          <t>SÖDERMANLANDS LÄN</t>
        </is>
      </c>
      <c r="E603" t="inlineStr">
        <is>
          <t>NYKÖPING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39542-2021</t>
        </is>
      </c>
      <c r="B604" s="1" t="n">
        <v>44416</v>
      </c>
      <c r="C604" s="1" t="n">
        <v>45785</v>
      </c>
      <c r="D604" t="inlineStr">
        <is>
          <t>SÖDERMANLANDS LÄN</t>
        </is>
      </c>
      <c r="E604" t="inlineStr">
        <is>
          <t>NYKÖPING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40025-2021</t>
        </is>
      </c>
      <c r="B605" s="1" t="n">
        <v>44418</v>
      </c>
      <c r="C605" s="1" t="n">
        <v>45785</v>
      </c>
      <c r="D605" t="inlineStr">
        <is>
          <t>SÖDERMANLANDS LÄN</t>
        </is>
      </c>
      <c r="E605" t="inlineStr">
        <is>
          <t>NYKÖPING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40291-2021</t>
        </is>
      </c>
      <c r="B606" s="1" t="n">
        <v>44419</v>
      </c>
      <c r="C606" s="1" t="n">
        <v>45785</v>
      </c>
      <c r="D606" t="inlineStr">
        <is>
          <t>SÖDERMANLANDS LÄN</t>
        </is>
      </c>
      <c r="E606" t="inlineStr">
        <is>
          <t>NYKÖPING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40680-2021</t>
        </is>
      </c>
      <c r="B607" s="1" t="n">
        <v>44420</v>
      </c>
      <c r="C607" s="1" t="n">
        <v>45785</v>
      </c>
      <c r="D607" t="inlineStr">
        <is>
          <t>SÖDERMANLANDS LÄN</t>
        </is>
      </c>
      <c r="E607" t="inlineStr">
        <is>
          <t>NYKÖPING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40685-2021</t>
        </is>
      </c>
      <c r="B608" s="1" t="n">
        <v>44420</v>
      </c>
      <c r="C608" s="1" t="n">
        <v>45785</v>
      </c>
      <c r="D608" t="inlineStr">
        <is>
          <t>SÖDERMANLANDS LÄN</t>
        </is>
      </c>
      <c r="E608" t="inlineStr">
        <is>
          <t>NYKÖPING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40866-2021</t>
        </is>
      </c>
      <c r="B609" s="1" t="n">
        <v>44421</v>
      </c>
      <c r="C609" s="1" t="n">
        <v>45785</v>
      </c>
      <c r="D609" t="inlineStr">
        <is>
          <t>SÖDERMANLANDS LÄN</t>
        </is>
      </c>
      <c r="E609" t="inlineStr">
        <is>
          <t>NYKÖPING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41409-2021</t>
        </is>
      </c>
      <c r="B610" s="1" t="n">
        <v>44424</v>
      </c>
      <c r="C610" s="1" t="n">
        <v>45785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41437-2021</t>
        </is>
      </c>
      <c r="B611" s="1" t="n">
        <v>44424</v>
      </c>
      <c r="C611" s="1" t="n">
        <v>45785</v>
      </c>
      <c r="D611" t="inlineStr">
        <is>
          <t>SÖDERMANLANDS LÄN</t>
        </is>
      </c>
      <c r="E611" t="inlineStr">
        <is>
          <t>NYKÖPING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41629-2021</t>
        </is>
      </c>
      <c r="B612" s="1" t="n">
        <v>44425</v>
      </c>
      <c r="C612" s="1" t="n">
        <v>45785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41646-2021</t>
        </is>
      </c>
      <c r="B613" s="1" t="n">
        <v>44425</v>
      </c>
      <c r="C613" s="1" t="n">
        <v>45785</v>
      </c>
      <c r="D613" t="inlineStr">
        <is>
          <t>SÖDERMANLANDS LÄN</t>
        </is>
      </c>
      <c r="E613" t="inlineStr">
        <is>
          <t>NYKÖPING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41721-2021</t>
        </is>
      </c>
      <c r="B614" s="1" t="n">
        <v>44425</v>
      </c>
      <c r="C614" s="1" t="n">
        <v>45785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41735-2021</t>
        </is>
      </c>
      <c r="B615" s="1" t="n">
        <v>44425</v>
      </c>
      <c r="C615" s="1" t="n">
        <v>45785</v>
      </c>
      <c r="D615" t="inlineStr">
        <is>
          <t>SÖDERMANLANDS LÄN</t>
        </is>
      </c>
      <c r="E615" t="inlineStr">
        <is>
          <t>NYKÖPING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41719-2021</t>
        </is>
      </c>
      <c r="B616" s="1" t="n">
        <v>44425</v>
      </c>
      <c r="C616" s="1" t="n">
        <v>45785</v>
      </c>
      <c r="D616" t="inlineStr">
        <is>
          <t>SÖDERMANLANDS LÄN</t>
        </is>
      </c>
      <c r="E616" t="inlineStr">
        <is>
          <t>NYKÖPING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41748-2021</t>
        </is>
      </c>
      <c r="B617" s="1" t="n">
        <v>44425</v>
      </c>
      <c r="C617" s="1" t="n">
        <v>45785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41715-2021</t>
        </is>
      </c>
      <c r="B618" s="1" t="n">
        <v>44425</v>
      </c>
      <c r="C618" s="1" t="n">
        <v>45785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41723-2021</t>
        </is>
      </c>
      <c r="B619" s="1" t="n">
        <v>44425</v>
      </c>
      <c r="C619" s="1" t="n">
        <v>45785</v>
      </c>
      <c r="D619" t="inlineStr">
        <is>
          <t>SÖDERMANLANDS LÄN</t>
        </is>
      </c>
      <c r="E619" t="inlineStr">
        <is>
          <t>NYKÖPING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41737-2021</t>
        </is>
      </c>
      <c r="B620" s="1" t="n">
        <v>44425</v>
      </c>
      <c r="C620" s="1" t="n">
        <v>45785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42417-2021</t>
        </is>
      </c>
      <c r="B621" s="1" t="n">
        <v>44427</v>
      </c>
      <c r="C621" s="1" t="n">
        <v>45785</v>
      </c>
      <c r="D621" t="inlineStr">
        <is>
          <t>SÖDERMANLANDS LÄN</t>
        </is>
      </c>
      <c r="E621" t="inlineStr">
        <is>
          <t>NYKÖPING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42858-2021</t>
        </is>
      </c>
      <c r="B622" s="1" t="n">
        <v>44430</v>
      </c>
      <c r="C622" s="1" t="n">
        <v>45785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42920-2021</t>
        </is>
      </c>
      <c r="B623" s="1" t="n">
        <v>44430</v>
      </c>
      <c r="C623" s="1" t="n">
        <v>45785</v>
      </c>
      <c r="D623" t="inlineStr">
        <is>
          <t>SÖDERMANLANDS LÄN</t>
        </is>
      </c>
      <c r="E623" t="inlineStr">
        <is>
          <t>NYKÖPING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42966-2021</t>
        </is>
      </c>
      <c r="B624" s="1" t="n">
        <v>44430</v>
      </c>
      <c r="C624" s="1" t="n">
        <v>45785</v>
      </c>
      <c r="D624" t="inlineStr">
        <is>
          <t>SÖDERMANLANDS LÄN</t>
        </is>
      </c>
      <c r="E624" t="inlineStr">
        <is>
          <t>NYKÖPING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42971-2021</t>
        </is>
      </c>
      <c r="B625" s="1" t="n">
        <v>44430</v>
      </c>
      <c r="C625" s="1" t="n">
        <v>45785</v>
      </c>
      <c r="D625" t="inlineStr">
        <is>
          <t>SÖDERMANLANDS LÄN</t>
        </is>
      </c>
      <c r="E625" t="inlineStr">
        <is>
          <t>NYKÖPING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42856-2021</t>
        </is>
      </c>
      <c r="B626" s="1" t="n">
        <v>44430</v>
      </c>
      <c r="C626" s="1" t="n">
        <v>45785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42977-2021</t>
        </is>
      </c>
      <c r="B627" s="1" t="n">
        <v>44430</v>
      </c>
      <c r="C627" s="1" t="n">
        <v>45785</v>
      </c>
      <c r="D627" t="inlineStr">
        <is>
          <t>SÖDERMANLANDS LÄN</t>
        </is>
      </c>
      <c r="E627" t="inlineStr">
        <is>
          <t>NYKÖPING</t>
        </is>
      </c>
      <c r="G627" t="n">
        <v>25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42937-2021</t>
        </is>
      </c>
      <c r="B628" s="1" t="n">
        <v>44431</v>
      </c>
      <c r="C628" s="1" t="n">
        <v>45785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42990-2021</t>
        </is>
      </c>
      <c r="B629" s="1" t="n">
        <v>44431</v>
      </c>
      <c r="C629" s="1" t="n">
        <v>45785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43359-2021</t>
        </is>
      </c>
      <c r="B630" s="1" t="n">
        <v>44432</v>
      </c>
      <c r="C630" s="1" t="n">
        <v>45785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45856-2021</t>
        </is>
      </c>
      <c r="B631" s="1" t="n">
        <v>44433</v>
      </c>
      <c r="C631" s="1" t="n">
        <v>45785</v>
      </c>
      <c r="D631" t="inlineStr">
        <is>
          <t>SÖDERMANLANDS LÄN</t>
        </is>
      </c>
      <c r="E631" t="inlineStr">
        <is>
          <t>NYKÖPING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44477-2021</t>
        </is>
      </c>
      <c r="B632" s="1" t="n">
        <v>44435</v>
      </c>
      <c r="C632" s="1" t="n">
        <v>45785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44533-2021</t>
        </is>
      </c>
      <c r="B633" s="1" t="n">
        <v>44435</v>
      </c>
      <c r="C633" s="1" t="n">
        <v>45785</v>
      </c>
      <c r="D633" t="inlineStr">
        <is>
          <t>SÖDERMANLANDS LÄN</t>
        </is>
      </c>
      <c r="E633" t="inlineStr">
        <is>
          <t>NYKÖPING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44473-2021</t>
        </is>
      </c>
      <c r="B634" s="1" t="n">
        <v>44435</v>
      </c>
      <c r="C634" s="1" t="n">
        <v>45785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44536-2021</t>
        </is>
      </c>
      <c r="B635" s="1" t="n">
        <v>44435</v>
      </c>
      <c r="C635" s="1" t="n">
        <v>45785</v>
      </c>
      <c r="D635" t="inlineStr">
        <is>
          <t>SÖDERMANLANDS LÄN</t>
        </is>
      </c>
      <c r="E635" t="inlineStr">
        <is>
          <t>NYKÖPING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45034-2021</t>
        </is>
      </c>
      <c r="B636" s="1" t="n">
        <v>44438</v>
      </c>
      <c r="C636" s="1" t="n">
        <v>45785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Allmännings- och besparingsskogar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45533-2021</t>
        </is>
      </c>
      <c r="B637" s="1" t="n">
        <v>44440</v>
      </c>
      <c r="C637" s="1" t="n">
        <v>45785</v>
      </c>
      <c r="D637" t="inlineStr">
        <is>
          <t>SÖDERMANLANDS LÄN</t>
        </is>
      </c>
      <c r="E637" t="inlineStr">
        <is>
          <t>NYKÖPING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45574-2021</t>
        </is>
      </c>
      <c r="B638" s="1" t="n">
        <v>44440</v>
      </c>
      <c r="C638" s="1" t="n">
        <v>45785</v>
      </c>
      <c r="D638" t="inlineStr">
        <is>
          <t>SÖDERMANLANDS LÄN</t>
        </is>
      </c>
      <c r="E638" t="inlineStr">
        <is>
          <t>NYKÖPING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45569-2021</t>
        </is>
      </c>
      <c r="B639" s="1" t="n">
        <v>44440</v>
      </c>
      <c r="C639" s="1" t="n">
        <v>45785</v>
      </c>
      <c r="D639" t="inlineStr">
        <is>
          <t>SÖDERMANLANDS LÄN</t>
        </is>
      </c>
      <c r="E639" t="inlineStr">
        <is>
          <t>NYKÖPING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46575-2021</t>
        </is>
      </c>
      <c r="B640" s="1" t="n">
        <v>44445</v>
      </c>
      <c r="C640" s="1" t="n">
        <v>45785</v>
      </c>
      <c r="D640" t="inlineStr">
        <is>
          <t>SÖDERMANLANDS LÄN</t>
        </is>
      </c>
      <c r="E640" t="inlineStr">
        <is>
          <t>NYKÖPING</t>
        </is>
      </c>
      <c r="G640" t="n">
        <v>19.1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46648-2021</t>
        </is>
      </c>
      <c r="B641" s="1" t="n">
        <v>44445</v>
      </c>
      <c r="C641" s="1" t="n">
        <v>45785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46574-2021</t>
        </is>
      </c>
      <c r="B642" s="1" t="n">
        <v>44445</v>
      </c>
      <c r="C642" s="1" t="n">
        <v>45785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8.300000000000001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46828-2021</t>
        </is>
      </c>
      <c r="B643" s="1" t="n">
        <v>44446</v>
      </c>
      <c r="C643" s="1" t="n">
        <v>45785</v>
      </c>
      <c r="D643" t="inlineStr">
        <is>
          <t>SÖDERMANLANDS LÄN</t>
        </is>
      </c>
      <c r="E643" t="inlineStr">
        <is>
          <t>NYKÖPING</t>
        </is>
      </c>
      <c r="G643" t="n">
        <v>30.2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46838-2021</t>
        </is>
      </c>
      <c r="B644" s="1" t="n">
        <v>44446</v>
      </c>
      <c r="C644" s="1" t="n">
        <v>45785</v>
      </c>
      <c r="D644" t="inlineStr">
        <is>
          <t>SÖDERMANLANDS LÄN</t>
        </is>
      </c>
      <c r="E644" t="inlineStr">
        <is>
          <t>NYKÖPING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47107-2021</t>
        </is>
      </c>
      <c r="B645" s="1" t="n">
        <v>44446</v>
      </c>
      <c r="C645" s="1" t="n">
        <v>45785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Kommuner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48459-2021</t>
        </is>
      </c>
      <c r="B646" s="1" t="n">
        <v>44452</v>
      </c>
      <c r="C646" s="1" t="n">
        <v>45785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48819-2021</t>
        </is>
      </c>
      <c r="B647" s="1" t="n">
        <v>44452</v>
      </c>
      <c r="C647" s="1" t="n">
        <v>45785</v>
      </c>
      <c r="D647" t="inlineStr">
        <is>
          <t>SÖDERMANLANDS LÄN</t>
        </is>
      </c>
      <c r="E647" t="inlineStr">
        <is>
          <t>NYKÖPING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49234-2021</t>
        </is>
      </c>
      <c r="B648" s="1" t="n">
        <v>44454</v>
      </c>
      <c r="C648" s="1" t="n">
        <v>45785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49494-2021</t>
        </is>
      </c>
      <c r="B649" s="1" t="n">
        <v>44454</v>
      </c>
      <c r="C649" s="1" t="n">
        <v>45785</v>
      </c>
      <c r="D649" t="inlineStr">
        <is>
          <t>SÖDERMANLANDS LÄN</t>
        </is>
      </c>
      <c r="E649" t="inlineStr">
        <is>
          <t>NYKÖPING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50156-2021</t>
        </is>
      </c>
      <c r="B650" s="1" t="n">
        <v>44456</v>
      </c>
      <c r="C650" s="1" t="n">
        <v>45785</v>
      </c>
      <c r="D650" t="inlineStr">
        <is>
          <t>SÖDERMANLANDS LÄN</t>
        </is>
      </c>
      <c r="E650" t="inlineStr">
        <is>
          <t>NYKÖPING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51689-2021</t>
        </is>
      </c>
      <c r="B651" s="1" t="n">
        <v>44462</v>
      </c>
      <c r="C651" s="1" t="n">
        <v>45785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51715-2021</t>
        </is>
      </c>
      <c r="B652" s="1" t="n">
        <v>44462</v>
      </c>
      <c r="C652" s="1" t="n">
        <v>45785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51722-2021</t>
        </is>
      </c>
      <c r="B653" s="1" t="n">
        <v>44462</v>
      </c>
      <c r="C653" s="1" t="n">
        <v>45785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51691-2021</t>
        </is>
      </c>
      <c r="B654" s="1" t="n">
        <v>44462</v>
      </c>
      <c r="C654" s="1" t="n">
        <v>45785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51700-2021</t>
        </is>
      </c>
      <c r="B655" s="1" t="n">
        <v>44462</v>
      </c>
      <c r="C655" s="1" t="n">
        <v>45785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51720-2021</t>
        </is>
      </c>
      <c r="B656" s="1" t="n">
        <v>44462</v>
      </c>
      <c r="C656" s="1" t="n">
        <v>45785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51725-2021</t>
        </is>
      </c>
      <c r="B657" s="1" t="n">
        <v>44462</v>
      </c>
      <c r="C657" s="1" t="n">
        <v>45785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51698-2021</t>
        </is>
      </c>
      <c r="B658" s="1" t="n">
        <v>44462</v>
      </c>
      <c r="C658" s="1" t="n">
        <v>45785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52055-2021</t>
        </is>
      </c>
      <c r="B659" s="1" t="n">
        <v>44462</v>
      </c>
      <c r="C659" s="1" t="n">
        <v>45785</v>
      </c>
      <c r="D659" t="inlineStr">
        <is>
          <t>SÖDERMANLANDS LÄN</t>
        </is>
      </c>
      <c r="E659" t="inlineStr">
        <is>
          <t>NYKÖPING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52045-2021</t>
        </is>
      </c>
      <c r="B660" s="1" t="n">
        <v>44463</v>
      </c>
      <c r="C660" s="1" t="n">
        <v>45785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52543-2021</t>
        </is>
      </c>
      <c r="B661" s="1" t="n">
        <v>44466</v>
      </c>
      <c r="C661" s="1" t="n">
        <v>45785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52535-2021</t>
        </is>
      </c>
      <c r="B662" s="1" t="n">
        <v>44466</v>
      </c>
      <c r="C662" s="1" t="n">
        <v>45785</v>
      </c>
      <c r="D662" t="inlineStr">
        <is>
          <t>SÖDERMANLANDS LÄN</t>
        </is>
      </c>
      <c r="E662" t="inlineStr">
        <is>
          <t>NYKÖPING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52684-2021</t>
        </is>
      </c>
      <c r="B663" s="1" t="n">
        <v>44466</v>
      </c>
      <c r="C663" s="1" t="n">
        <v>45785</v>
      </c>
      <c r="D663" t="inlineStr">
        <is>
          <t>SÖDERMANLANDS LÄN</t>
        </is>
      </c>
      <c r="E663" t="inlineStr">
        <is>
          <t>NYKÖPING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53201-2021</t>
        </is>
      </c>
      <c r="B664" s="1" t="n">
        <v>44466</v>
      </c>
      <c r="C664" s="1" t="n">
        <v>45785</v>
      </c>
      <c r="D664" t="inlineStr">
        <is>
          <t>SÖDERMANLANDS LÄN</t>
        </is>
      </c>
      <c r="E664" t="inlineStr">
        <is>
          <t>NYKÖPING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53374-2021</t>
        </is>
      </c>
      <c r="B665" s="1" t="n">
        <v>44468</v>
      </c>
      <c r="C665" s="1" t="n">
        <v>45785</v>
      </c>
      <c r="D665" t="inlineStr">
        <is>
          <t>SÖDERMANLANDS LÄN</t>
        </is>
      </c>
      <c r="E665" t="inlineStr">
        <is>
          <t>NYKÖPING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53920-2021</t>
        </is>
      </c>
      <c r="B666" s="1" t="n">
        <v>44469</v>
      </c>
      <c r="C666" s="1" t="n">
        <v>45785</v>
      </c>
      <c r="D666" t="inlineStr">
        <is>
          <t>SÖDERMANLANDS LÄN</t>
        </is>
      </c>
      <c r="E666" t="inlineStr">
        <is>
          <t>NYKÖPING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55014-2021</t>
        </is>
      </c>
      <c r="B667" s="1" t="n">
        <v>44474</v>
      </c>
      <c r="C667" s="1" t="n">
        <v>45785</v>
      </c>
      <c r="D667" t="inlineStr">
        <is>
          <t>SÖDERMANLANDS LÄN</t>
        </is>
      </c>
      <c r="E667" t="inlineStr">
        <is>
          <t>NYKÖPING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54897-2021</t>
        </is>
      </c>
      <c r="B668" s="1" t="n">
        <v>44474</v>
      </c>
      <c r="C668" s="1" t="n">
        <v>45785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55199-2021</t>
        </is>
      </c>
      <c r="B669" s="1" t="n">
        <v>44475</v>
      </c>
      <c r="C669" s="1" t="n">
        <v>45785</v>
      </c>
      <c r="D669" t="inlineStr">
        <is>
          <t>SÖDERMANLANDS LÄN</t>
        </is>
      </c>
      <c r="E669" t="inlineStr">
        <is>
          <t>NYKÖPING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55272-2021</t>
        </is>
      </c>
      <c r="B670" s="1" t="n">
        <v>44475</v>
      </c>
      <c r="C670" s="1" t="n">
        <v>45785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55497-2021</t>
        </is>
      </c>
      <c r="B671" s="1" t="n">
        <v>44475</v>
      </c>
      <c r="C671" s="1" t="n">
        <v>45785</v>
      </c>
      <c r="D671" t="inlineStr">
        <is>
          <t>SÖDERMANLANDS LÄN</t>
        </is>
      </c>
      <c r="E671" t="inlineStr">
        <is>
          <t>NYKÖPING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55307-2021</t>
        </is>
      </c>
      <c r="B672" s="1" t="n">
        <v>44475</v>
      </c>
      <c r="C672" s="1" t="n">
        <v>45785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55312-2021</t>
        </is>
      </c>
      <c r="B673" s="1" t="n">
        <v>44475</v>
      </c>
      <c r="C673" s="1" t="n">
        <v>45785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55304-2021</t>
        </is>
      </c>
      <c r="B674" s="1" t="n">
        <v>44475</v>
      </c>
      <c r="C674" s="1" t="n">
        <v>45785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55310-2021</t>
        </is>
      </c>
      <c r="B675" s="1" t="n">
        <v>44475</v>
      </c>
      <c r="C675" s="1" t="n">
        <v>45785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55506-2021</t>
        </is>
      </c>
      <c r="B676" s="1" t="n">
        <v>44475</v>
      </c>
      <c r="C676" s="1" t="n">
        <v>45785</v>
      </c>
      <c r="D676" t="inlineStr">
        <is>
          <t>SÖDERMANLANDS LÄN</t>
        </is>
      </c>
      <c r="E676" t="inlineStr">
        <is>
          <t>NYKÖPING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55706-2021</t>
        </is>
      </c>
      <c r="B677" s="1" t="n">
        <v>44476</v>
      </c>
      <c r="C677" s="1" t="n">
        <v>45785</v>
      </c>
      <c r="D677" t="inlineStr">
        <is>
          <t>SÖDERMANLANDS LÄN</t>
        </is>
      </c>
      <c r="E677" t="inlineStr">
        <is>
          <t>NYKÖPING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55983-2021</t>
        </is>
      </c>
      <c r="B678" s="1" t="n">
        <v>44477</v>
      </c>
      <c r="C678" s="1" t="n">
        <v>45785</v>
      </c>
      <c r="D678" t="inlineStr">
        <is>
          <t>SÖDERMANLANDS LÄN</t>
        </is>
      </c>
      <c r="E678" t="inlineStr">
        <is>
          <t>NYKÖPING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58012-2021</t>
        </is>
      </c>
      <c r="B679" s="1" t="n">
        <v>44487</v>
      </c>
      <c r="C679" s="1" t="n">
        <v>45785</v>
      </c>
      <c r="D679" t="inlineStr">
        <is>
          <t>SÖDERMANLANDS LÄN</t>
        </is>
      </c>
      <c r="E679" t="inlineStr">
        <is>
          <t>NYKÖPING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58857-2021</t>
        </is>
      </c>
      <c r="B680" s="1" t="n">
        <v>44489</v>
      </c>
      <c r="C680" s="1" t="n">
        <v>45785</v>
      </c>
      <c r="D680" t="inlineStr">
        <is>
          <t>SÖDERMANLANDS LÄN</t>
        </is>
      </c>
      <c r="E680" t="inlineStr">
        <is>
          <t>NYKÖPING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58862-2021</t>
        </is>
      </c>
      <c r="B681" s="1" t="n">
        <v>44489</v>
      </c>
      <c r="C681" s="1" t="n">
        <v>45785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59592-2021</t>
        </is>
      </c>
      <c r="B682" s="1" t="n">
        <v>44491</v>
      </c>
      <c r="C682" s="1" t="n">
        <v>45785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59613-2021</t>
        </is>
      </c>
      <c r="B683" s="1" t="n">
        <v>44491</v>
      </c>
      <c r="C683" s="1" t="n">
        <v>45785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59620-2021</t>
        </is>
      </c>
      <c r="B684" s="1" t="n">
        <v>44491</v>
      </c>
      <c r="C684" s="1" t="n">
        <v>45785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59733-2021</t>
        </is>
      </c>
      <c r="B685" s="1" t="n">
        <v>44494</v>
      </c>
      <c r="C685" s="1" t="n">
        <v>45785</v>
      </c>
      <c r="D685" t="inlineStr">
        <is>
          <t>SÖDERMANLANDS LÄN</t>
        </is>
      </c>
      <c r="E685" t="inlineStr">
        <is>
          <t>NYKÖPING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59776-2021</t>
        </is>
      </c>
      <c r="B686" s="1" t="n">
        <v>44494</v>
      </c>
      <c r="C686" s="1" t="n">
        <v>45785</v>
      </c>
      <c r="D686" t="inlineStr">
        <is>
          <t>SÖDERMANLANDS LÄN</t>
        </is>
      </c>
      <c r="E686" t="inlineStr">
        <is>
          <t>NYKÖPING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60938-2021</t>
        </is>
      </c>
      <c r="B687" s="1" t="n">
        <v>44495</v>
      </c>
      <c r="C687" s="1" t="n">
        <v>45785</v>
      </c>
      <c r="D687" t="inlineStr">
        <is>
          <t>SÖDERMANLANDS LÄN</t>
        </is>
      </c>
      <c r="E687" t="inlineStr">
        <is>
          <t>NYKÖPING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60674-2021</t>
        </is>
      </c>
      <c r="B688" s="1" t="n">
        <v>44496</v>
      </c>
      <c r="C688" s="1" t="n">
        <v>45785</v>
      </c>
      <c r="D688" t="inlineStr">
        <is>
          <t>SÖDERMANLANDS LÄN</t>
        </is>
      </c>
      <c r="E688" t="inlineStr">
        <is>
          <t>NYKÖPING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60512-2021</t>
        </is>
      </c>
      <c r="B689" s="1" t="n">
        <v>44496</v>
      </c>
      <c r="C689" s="1" t="n">
        <v>45785</v>
      </c>
      <c r="D689" t="inlineStr">
        <is>
          <t>SÖDERMANLANDS LÄN</t>
        </is>
      </c>
      <c r="E689" t="inlineStr">
        <is>
          <t>NYKÖPING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61007-2021</t>
        </is>
      </c>
      <c r="B690" s="1" t="n">
        <v>44497</v>
      </c>
      <c r="C690" s="1" t="n">
        <v>45785</v>
      </c>
      <c r="D690" t="inlineStr">
        <is>
          <t>SÖDERMANLANDS LÄN</t>
        </is>
      </c>
      <c r="E690" t="inlineStr">
        <is>
          <t>NYKÖPING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61248-2021</t>
        </is>
      </c>
      <c r="B691" s="1" t="n">
        <v>44498</v>
      </c>
      <c r="C691" s="1" t="n">
        <v>45785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62076-2021</t>
        </is>
      </c>
      <c r="B692" s="1" t="n">
        <v>44502</v>
      </c>
      <c r="C692" s="1" t="n">
        <v>45785</v>
      </c>
      <c r="D692" t="inlineStr">
        <is>
          <t>SÖDERMANLANDS LÄN</t>
        </is>
      </c>
      <c r="E692" t="inlineStr">
        <is>
          <t>NYKÖPING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62786-2021</t>
        </is>
      </c>
      <c r="B693" s="1" t="n">
        <v>44504</v>
      </c>
      <c r="C693" s="1" t="n">
        <v>45785</v>
      </c>
      <c r="D693" t="inlineStr">
        <is>
          <t>SÖDERMANLANDS LÄN</t>
        </is>
      </c>
      <c r="E693" t="inlineStr">
        <is>
          <t>NYKÖPING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63052-2021</t>
        </is>
      </c>
      <c r="B694" s="1" t="n">
        <v>44505</v>
      </c>
      <c r="C694" s="1" t="n">
        <v>45785</v>
      </c>
      <c r="D694" t="inlineStr">
        <is>
          <t>SÖDERMANLANDS LÄN</t>
        </is>
      </c>
      <c r="E694" t="inlineStr">
        <is>
          <t>NYKÖPING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63017-2021</t>
        </is>
      </c>
      <c r="B695" s="1" t="n">
        <v>44505</v>
      </c>
      <c r="C695" s="1" t="n">
        <v>45785</v>
      </c>
      <c r="D695" t="inlineStr">
        <is>
          <t>SÖDERMANLANDS LÄN</t>
        </is>
      </c>
      <c r="E695" t="inlineStr">
        <is>
          <t>NYKÖPING</t>
        </is>
      </c>
      <c r="G695" t="n">
        <v>21.9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63055-2021</t>
        </is>
      </c>
      <c r="B696" s="1" t="n">
        <v>44505</v>
      </c>
      <c r="C696" s="1" t="n">
        <v>45785</v>
      </c>
      <c r="D696" t="inlineStr">
        <is>
          <t>SÖDERMANLANDS LÄN</t>
        </is>
      </c>
      <c r="E696" t="inlineStr">
        <is>
          <t>NYKÖPING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63006-2021</t>
        </is>
      </c>
      <c r="B697" s="1" t="n">
        <v>44505</v>
      </c>
      <c r="C697" s="1" t="n">
        <v>45785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64099-2021</t>
        </is>
      </c>
      <c r="B698" s="1" t="n">
        <v>44509</v>
      </c>
      <c r="C698" s="1" t="n">
        <v>45785</v>
      </c>
      <c r="D698" t="inlineStr">
        <is>
          <t>SÖDERMANLANDS LÄN</t>
        </is>
      </c>
      <c r="E698" t="inlineStr">
        <is>
          <t>NYKÖPING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64162-2021</t>
        </is>
      </c>
      <c r="B699" s="1" t="n">
        <v>44510</v>
      </c>
      <c r="C699" s="1" t="n">
        <v>45785</v>
      </c>
      <c r="D699" t="inlineStr">
        <is>
          <t>SÖDERMANLANDS LÄN</t>
        </is>
      </c>
      <c r="E699" t="inlineStr">
        <is>
          <t>NYKÖPING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64157-2021</t>
        </is>
      </c>
      <c r="B700" s="1" t="n">
        <v>44510</v>
      </c>
      <c r="C700" s="1" t="n">
        <v>45785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64159-2021</t>
        </is>
      </c>
      <c r="B701" s="1" t="n">
        <v>44510</v>
      </c>
      <c r="C701" s="1" t="n">
        <v>45785</v>
      </c>
      <c r="D701" t="inlineStr">
        <is>
          <t>SÖDERMANLANDS LÄN</t>
        </is>
      </c>
      <c r="E701" t="inlineStr">
        <is>
          <t>NYKÖPING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64879-2021</t>
        </is>
      </c>
      <c r="B702" s="1" t="n">
        <v>44512</v>
      </c>
      <c r="C702" s="1" t="n">
        <v>45785</v>
      </c>
      <c r="D702" t="inlineStr">
        <is>
          <t>SÖDERMANLANDS LÄN</t>
        </is>
      </c>
      <c r="E702" t="inlineStr">
        <is>
          <t>NYKÖPING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65109-2021</t>
        </is>
      </c>
      <c r="B703" s="1" t="n">
        <v>44515</v>
      </c>
      <c r="C703" s="1" t="n">
        <v>45785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65520-2021</t>
        </is>
      </c>
      <c r="B704" s="1" t="n">
        <v>44516</v>
      </c>
      <c r="C704" s="1" t="n">
        <v>45785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Övriga Aktiebolag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65923-2021</t>
        </is>
      </c>
      <c r="B705" s="1" t="n">
        <v>44517</v>
      </c>
      <c r="C705" s="1" t="n">
        <v>45785</v>
      </c>
      <c r="D705" t="inlineStr">
        <is>
          <t>SÖDERMANLANDS LÄN</t>
        </is>
      </c>
      <c r="E705" t="inlineStr">
        <is>
          <t>NYKÖPING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66852-2021</t>
        </is>
      </c>
      <c r="B706" s="1" t="n">
        <v>44522</v>
      </c>
      <c r="C706" s="1" t="n">
        <v>45785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66939-2021</t>
        </is>
      </c>
      <c r="B707" s="1" t="n">
        <v>44522</v>
      </c>
      <c r="C707" s="1" t="n">
        <v>45785</v>
      </c>
      <c r="D707" t="inlineStr">
        <is>
          <t>SÖDERMANLANDS LÄN</t>
        </is>
      </c>
      <c r="E707" t="inlineStr">
        <is>
          <t>NYKÖPING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66798-2021</t>
        </is>
      </c>
      <c r="B708" s="1" t="n">
        <v>44522</v>
      </c>
      <c r="C708" s="1" t="n">
        <v>45785</v>
      </c>
      <c r="D708" t="inlineStr">
        <is>
          <t>SÖDERMANLANDS LÄN</t>
        </is>
      </c>
      <c r="E708" t="inlineStr">
        <is>
          <t>NYKÖPING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66860-2021</t>
        </is>
      </c>
      <c r="B709" s="1" t="n">
        <v>44522</v>
      </c>
      <c r="C709" s="1" t="n">
        <v>45785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66975-2021</t>
        </is>
      </c>
      <c r="B710" s="1" t="n">
        <v>44522</v>
      </c>
      <c r="C710" s="1" t="n">
        <v>45785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67736-2021</t>
        </is>
      </c>
      <c r="B711" s="1" t="n">
        <v>44525</v>
      </c>
      <c r="C711" s="1" t="n">
        <v>45785</v>
      </c>
      <c r="D711" t="inlineStr">
        <is>
          <t>SÖDERMANLANDS LÄN</t>
        </is>
      </c>
      <c r="E711" t="inlineStr">
        <is>
          <t>NYKÖPING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67817-2021</t>
        </is>
      </c>
      <c r="B712" s="1" t="n">
        <v>44525</v>
      </c>
      <c r="C712" s="1" t="n">
        <v>45785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67829-2021</t>
        </is>
      </c>
      <c r="B713" s="1" t="n">
        <v>44525</v>
      </c>
      <c r="C713" s="1" t="n">
        <v>45785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67802-2021</t>
        </is>
      </c>
      <c r="B714" s="1" t="n">
        <v>44525</v>
      </c>
      <c r="C714" s="1" t="n">
        <v>45785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67805-2021</t>
        </is>
      </c>
      <c r="B715" s="1" t="n">
        <v>44525</v>
      </c>
      <c r="C715" s="1" t="n">
        <v>45785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67825-2021</t>
        </is>
      </c>
      <c r="B716" s="1" t="n">
        <v>44525</v>
      </c>
      <c r="C716" s="1" t="n">
        <v>45785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67833-2021</t>
        </is>
      </c>
      <c r="B717" s="1" t="n">
        <v>44525</v>
      </c>
      <c r="C717" s="1" t="n">
        <v>45785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67823-2021</t>
        </is>
      </c>
      <c r="B718" s="1" t="n">
        <v>44525</v>
      </c>
      <c r="C718" s="1" t="n">
        <v>45785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67830-2021</t>
        </is>
      </c>
      <c r="B719" s="1" t="n">
        <v>44525</v>
      </c>
      <c r="C719" s="1" t="n">
        <v>45785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67852-2021</t>
        </is>
      </c>
      <c r="B720" s="1" t="n">
        <v>44525</v>
      </c>
      <c r="C720" s="1" t="n">
        <v>45785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67857-2021</t>
        </is>
      </c>
      <c r="B721" s="1" t="n">
        <v>44525</v>
      </c>
      <c r="C721" s="1" t="n">
        <v>45785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68034-2021</t>
        </is>
      </c>
      <c r="B722" s="1" t="n">
        <v>44525</v>
      </c>
      <c r="C722" s="1" t="n">
        <v>45785</v>
      </c>
      <c r="D722" t="inlineStr">
        <is>
          <t>SÖDERMANLANDS LÄN</t>
        </is>
      </c>
      <c r="E722" t="inlineStr">
        <is>
          <t>NYKÖPING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68028-2021</t>
        </is>
      </c>
      <c r="B723" s="1" t="n">
        <v>44525</v>
      </c>
      <c r="C723" s="1" t="n">
        <v>45785</v>
      </c>
      <c r="D723" t="inlineStr">
        <is>
          <t>SÖDERMANLANDS LÄN</t>
        </is>
      </c>
      <c r="E723" t="inlineStr">
        <is>
          <t>NYKÖPING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68024-2021</t>
        </is>
      </c>
      <c r="B724" s="1" t="n">
        <v>44525</v>
      </c>
      <c r="C724" s="1" t="n">
        <v>45785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68030-2021</t>
        </is>
      </c>
      <c r="B725" s="1" t="n">
        <v>44525</v>
      </c>
      <c r="C725" s="1" t="n">
        <v>45785</v>
      </c>
      <c r="D725" t="inlineStr">
        <is>
          <t>SÖDERMANLANDS LÄN</t>
        </is>
      </c>
      <c r="E725" t="inlineStr">
        <is>
          <t>NYKÖPING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68041-2021</t>
        </is>
      </c>
      <c r="B726" s="1" t="n">
        <v>44525</v>
      </c>
      <c r="C726" s="1" t="n">
        <v>45785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68231-2021</t>
        </is>
      </c>
      <c r="B727" s="1" t="n">
        <v>44526</v>
      </c>
      <c r="C727" s="1" t="n">
        <v>45785</v>
      </c>
      <c r="D727" t="inlineStr">
        <is>
          <t>SÖDERMANLANDS LÄN</t>
        </is>
      </c>
      <c r="E727" t="inlineStr">
        <is>
          <t>NYKÖPING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68500-2021</t>
        </is>
      </c>
      <c r="B728" s="1" t="n">
        <v>44529</v>
      </c>
      <c r="C728" s="1" t="n">
        <v>45785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68401-2021</t>
        </is>
      </c>
      <c r="B729" s="1" t="n">
        <v>44529</v>
      </c>
      <c r="C729" s="1" t="n">
        <v>45785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Övriga Aktiebolag</t>
        </is>
      </c>
      <c r="G729" t="n">
        <v>16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69244-2021</t>
        </is>
      </c>
      <c r="B730" s="1" t="n">
        <v>44530</v>
      </c>
      <c r="C730" s="1" t="n">
        <v>45785</v>
      </c>
      <c r="D730" t="inlineStr">
        <is>
          <t>SÖDERMANLANDS LÄN</t>
        </is>
      </c>
      <c r="E730" t="inlineStr">
        <is>
          <t>NYKÖPING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69255-2021</t>
        </is>
      </c>
      <c r="B731" s="1" t="n">
        <v>44530</v>
      </c>
      <c r="C731" s="1" t="n">
        <v>45785</v>
      </c>
      <c r="D731" t="inlineStr">
        <is>
          <t>SÖDERMANLANDS LÄN</t>
        </is>
      </c>
      <c r="E731" t="inlineStr">
        <is>
          <t>NYKÖPING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69252-2021</t>
        </is>
      </c>
      <c r="B732" s="1" t="n">
        <v>44530</v>
      </c>
      <c r="C732" s="1" t="n">
        <v>45785</v>
      </c>
      <c r="D732" t="inlineStr">
        <is>
          <t>SÖDERMANLANDS LÄN</t>
        </is>
      </c>
      <c r="E732" t="inlineStr">
        <is>
          <t>NYKÖPING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69247-2021</t>
        </is>
      </c>
      <c r="B733" s="1" t="n">
        <v>44530</v>
      </c>
      <c r="C733" s="1" t="n">
        <v>45785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69598-2021</t>
        </is>
      </c>
      <c r="B734" s="1" t="n">
        <v>44531</v>
      </c>
      <c r="C734" s="1" t="n">
        <v>45785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69622-2021</t>
        </is>
      </c>
      <c r="B735" s="1" t="n">
        <v>44531</v>
      </c>
      <c r="C735" s="1" t="n">
        <v>45785</v>
      </c>
      <c r="D735" t="inlineStr">
        <is>
          <t>SÖDERMANLANDS LÄN</t>
        </is>
      </c>
      <c r="E735" t="inlineStr">
        <is>
          <t>NYKÖPING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69618-2021</t>
        </is>
      </c>
      <c r="B736" s="1" t="n">
        <v>44531</v>
      </c>
      <c r="C736" s="1" t="n">
        <v>45785</v>
      </c>
      <c r="D736" t="inlineStr">
        <is>
          <t>SÖDERMANLANDS LÄN</t>
        </is>
      </c>
      <c r="E736" t="inlineStr">
        <is>
          <t>NYKÖPING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69602-2021</t>
        </is>
      </c>
      <c r="B737" s="1" t="n">
        <v>44531</v>
      </c>
      <c r="C737" s="1" t="n">
        <v>45785</v>
      </c>
      <c r="D737" t="inlineStr">
        <is>
          <t>SÖDERMANLANDS LÄN</t>
        </is>
      </c>
      <c r="E737" t="inlineStr">
        <is>
          <t>NYKÖPING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70092-2021</t>
        </is>
      </c>
      <c r="B738" s="1" t="n">
        <v>44536</v>
      </c>
      <c r="C738" s="1" t="n">
        <v>45785</v>
      </c>
      <c r="D738" t="inlineStr">
        <is>
          <t>SÖDERMANLANDS LÄN</t>
        </is>
      </c>
      <c r="E738" t="inlineStr">
        <is>
          <t>NYKÖPING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70749-2021</t>
        </is>
      </c>
      <c r="B739" s="1" t="n">
        <v>44536</v>
      </c>
      <c r="C739" s="1" t="n">
        <v>45785</v>
      </c>
      <c r="D739" t="inlineStr">
        <is>
          <t>SÖDERMANLANDS LÄN</t>
        </is>
      </c>
      <c r="E739" t="inlineStr">
        <is>
          <t>NYKÖPING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70772-2021</t>
        </is>
      </c>
      <c r="B740" s="1" t="n">
        <v>44536</v>
      </c>
      <c r="C740" s="1" t="n">
        <v>45785</v>
      </c>
      <c r="D740" t="inlineStr">
        <is>
          <t>SÖDERMANLANDS LÄN</t>
        </is>
      </c>
      <c r="E740" t="inlineStr">
        <is>
          <t>NYKÖPING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70777-2021</t>
        </is>
      </c>
      <c r="B741" s="1" t="n">
        <v>44536</v>
      </c>
      <c r="C741" s="1" t="n">
        <v>45785</v>
      </c>
      <c r="D741" t="inlineStr">
        <is>
          <t>SÖDERMANLANDS LÄN</t>
        </is>
      </c>
      <c r="E741" t="inlineStr">
        <is>
          <t>NYKÖPING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70791-2021</t>
        </is>
      </c>
      <c r="B742" s="1" t="n">
        <v>44536</v>
      </c>
      <c r="C742" s="1" t="n">
        <v>45785</v>
      </c>
      <c r="D742" t="inlineStr">
        <is>
          <t>SÖDERMANLANDS LÄN</t>
        </is>
      </c>
      <c r="E742" t="inlineStr">
        <is>
          <t>NYKÖPING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71103-2021</t>
        </is>
      </c>
      <c r="B743" s="1" t="n">
        <v>44537</v>
      </c>
      <c r="C743" s="1" t="n">
        <v>45785</v>
      </c>
      <c r="D743" t="inlineStr">
        <is>
          <t>SÖDERMANLANDS LÄN</t>
        </is>
      </c>
      <c r="E743" t="inlineStr">
        <is>
          <t>NYKÖPING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71107-2021</t>
        </is>
      </c>
      <c r="B744" s="1" t="n">
        <v>44537</v>
      </c>
      <c r="C744" s="1" t="n">
        <v>45785</v>
      </c>
      <c r="D744" t="inlineStr">
        <is>
          <t>SÖDERMANLANDS LÄN</t>
        </is>
      </c>
      <c r="E744" t="inlineStr">
        <is>
          <t>NYKÖPING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71111-2021</t>
        </is>
      </c>
      <c r="B745" s="1" t="n">
        <v>44537</v>
      </c>
      <c r="C745" s="1" t="n">
        <v>45785</v>
      </c>
      <c r="D745" t="inlineStr">
        <is>
          <t>SÖDERMANLANDS LÄN</t>
        </is>
      </c>
      <c r="E745" t="inlineStr">
        <is>
          <t>NYKÖPING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71115-2021</t>
        </is>
      </c>
      <c r="B746" s="1" t="n">
        <v>44537</v>
      </c>
      <c r="C746" s="1" t="n">
        <v>45785</v>
      </c>
      <c r="D746" t="inlineStr">
        <is>
          <t>SÖDERMANLANDS LÄN</t>
        </is>
      </c>
      <c r="E746" t="inlineStr">
        <is>
          <t>NYKÖPING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71175-2021</t>
        </is>
      </c>
      <c r="B747" s="1" t="n">
        <v>44539</v>
      </c>
      <c r="C747" s="1" t="n">
        <v>45785</v>
      </c>
      <c r="D747" t="inlineStr">
        <is>
          <t>SÖDERMANLANDS LÄN</t>
        </is>
      </c>
      <c r="E747" t="inlineStr">
        <is>
          <t>NYKÖPING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71240-2021</t>
        </is>
      </c>
      <c r="B748" s="1" t="n">
        <v>44539</v>
      </c>
      <c r="C748" s="1" t="n">
        <v>45785</v>
      </c>
      <c r="D748" t="inlineStr">
        <is>
          <t>SÖDERMANLANDS LÄN</t>
        </is>
      </c>
      <c r="E748" t="inlineStr">
        <is>
          <t>NYKÖPING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71251-2021</t>
        </is>
      </c>
      <c r="B749" s="1" t="n">
        <v>44539</v>
      </c>
      <c r="C749" s="1" t="n">
        <v>45785</v>
      </c>
      <c r="D749" t="inlineStr">
        <is>
          <t>SÖDERMANLANDS LÄN</t>
        </is>
      </c>
      <c r="E749" t="inlineStr">
        <is>
          <t>NYKÖPING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71555-2021</t>
        </is>
      </c>
      <c r="B750" s="1" t="n">
        <v>44540</v>
      </c>
      <c r="C750" s="1" t="n">
        <v>45785</v>
      </c>
      <c r="D750" t="inlineStr">
        <is>
          <t>SÖDERMANLANDS LÄN</t>
        </is>
      </c>
      <c r="E750" t="inlineStr">
        <is>
          <t>NYKÖPING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71884-2021</t>
        </is>
      </c>
      <c r="B751" s="1" t="n">
        <v>44543</v>
      </c>
      <c r="C751" s="1" t="n">
        <v>45785</v>
      </c>
      <c r="D751" t="inlineStr">
        <is>
          <t>SÖDERMANLANDS LÄN</t>
        </is>
      </c>
      <c r="E751" t="inlineStr">
        <is>
          <t>NYKÖPING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HYPERLINK("https://klasma.github.io/Logging_0480/knärot/A 71884-2021 karta knärot.png", "A 71884-2021")</f>
        <v/>
      </c>
      <c r="V751">
        <f>HYPERLINK("https://klasma.github.io/Logging_0480/klagomål/A 71884-2021 FSC-klagomål.docx", "A 71884-2021")</f>
        <v/>
      </c>
      <c r="W751">
        <f>HYPERLINK("https://klasma.github.io/Logging_0480/klagomålsmail/A 71884-2021 FSC-klagomål mail.docx", "A 71884-2021")</f>
        <v/>
      </c>
      <c r="X751">
        <f>HYPERLINK("https://klasma.github.io/Logging_0480/tillsyn/A 71884-2021 tillsynsbegäran.docx", "A 71884-2021")</f>
        <v/>
      </c>
      <c r="Y751">
        <f>HYPERLINK("https://klasma.github.io/Logging_0480/tillsynsmail/A 71884-2021 tillsynsbegäran mail.docx", "A 71884-2021")</f>
        <v/>
      </c>
    </row>
    <row r="752" ht="15" customHeight="1">
      <c r="A752" t="inlineStr">
        <is>
          <t>A 72117-2021</t>
        </is>
      </c>
      <c r="B752" s="1" t="n">
        <v>44543</v>
      </c>
      <c r="C752" s="1" t="n">
        <v>45785</v>
      </c>
      <c r="D752" t="inlineStr">
        <is>
          <t>SÖDERMANLANDS LÄN</t>
        </is>
      </c>
      <c r="E752" t="inlineStr">
        <is>
          <t>NYKÖPING</t>
        </is>
      </c>
      <c r="G752" t="n">
        <v>14.9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72307-2021</t>
        </is>
      </c>
      <c r="B753" s="1" t="n">
        <v>44544</v>
      </c>
      <c r="C753" s="1" t="n">
        <v>45785</v>
      </c>
      <c r="D753" t="inlineStr">
        <is>
          <t>SÖDERMANLANDS LÄN</t>
        </is>
      </c>
      <c r="E753" t="inlineStr">
        <is>
          <t>NYKÖPING</t>
        </is>
      </c>
      <c r="G753" t="n">
        <v>15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72304-2021</t>
        </is>
      </c>
      <c r="B754" s="1" t="n">
        <v>44544</v>
      </c>
      <c r="C754" s="1" t="n">
        <v>45785</v>
      </c>
      <c r="D754" t="inlineStr">
        <is>
          <t>SÖDERMANLANDS LÄN</t>
        </is>
      </c>
      <c r="E754" t="inlineStr">
        <is>
          <t>NYKÖPING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72554-2021</t>
        </is>
      </c>
      <c r="B755" s="1" t="n">
        <v>44545</v>
      </c>
      <c r="C755" s="1" t="n">
        <v>45785</v>
      </c>
      <c r="D755" t="inlineStr">
        <is>
          <t>SÖDERMANLANDS LÄN</t>
        </is>
      </c>
      <c r="E755" t="inlineStr">
        <is>
          <t>NYKÖPING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72666-2021</t>
        </is>
      </c>
      <c r="B756" s="1" t="n">
        <v>44546</v>
      </c>
      <c r="C756" s="1" t="n">
        <v>45785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72679-2021</t>
        </is>
      </c>
      <c r="B757" s="1" t="n">
        <v>44546</v>
      </c>
      <c r="C757" s="1" t="n">
        <v>45785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72985-2021</t>
        </is>
      </c>
      <c r="B758" s="1" t="n">
        <v>44549</v>
      </c>
      <c r="C758" s="1" t="n">
        <v>45785</v>
      </c>
      <c r="D758" t="inlineStr">
        <is>
          <t>SÖDERMANLANDS LÄN</t>
        </is>
      </c>
      <c r="E758" t="inlineStr">
        <is>
          <t>NYKÖPING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73962-2021</t>
        </is>
      </c>
      <c r="B759" s="1" t="n">
        <v>44553</v>
      </c>
      <c r="C759" s="1" t="n">
        <v>45785</v>
      </c>
      <c r="D759" t="inlineStr">
        <is>
          <t>SÖDERMANLANDS LÄN</t>
        </is>
      </c>
      <c r="E759" t="inlineStr">
        <is>
          <t>NYKÖPING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73877-2021</t>
        </is>
      </c>
      <c r="B760" s="1" t="n">
        <v>44553</v>
      </c>
      <c r="C760" s="1" t="n">
        <v>45785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74496-2021</t>
        </is>
      </c>
      <c r="B761" s="1" t="n">
        <v>44560</v>
      </c>
      <c r="C761" s="1" t="n">
        <v>45785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74404-2021</t>
        </is>
      </c>
      <c r="B762" s="1" t="n">
        <v>44560</v>
      </c>
      <c r="C762" s="1" t="n">
        <v>45785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Kyrkan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1467-2022</t>
        </is>
      </c>
      <c r="B763" s="1" t="n">
        <v>44573</v>
      </c>
      <c r="C763" s="1" t="n">
        <v>45785</v>
      </c>
      <c r="D763" t="inlineStr">
        <is>
          <t>SÖDERMANLANDS LÄN</t>
        </is>
      </c>
      <c r="E763" t="inlineStr">
        <is>
          <t>NYKÖPING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1473-2022</t>
        </is>
      </c>
      <c r="B764" s="1" t="n">
        <v>44573</v>
      </c>
      <c r="C764" s="1" t="n">
        <v>45785</v>
      </c>
      <c r="D764" t="inlineStr">
        <is>
          <t>SÖDERMANLANDS LÄN</t>
        </is>
      </c>
      <c r="E764" t="inlineStr">
        <is>
          <t>NYKÖPING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1647-2022</t>
        </is>
      </c>
      <c r="B765" s="1" t="n">
        <v>44574</v>
      </c>
      <c r="C765" s="1" t="n">
        <v>45785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Sveaskog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1912-2022</t>
        </is>
      </c>
      <c r="B766" s="1" t="n">
        <v>44575</v>
      </c>
      <c r="C766" s="1" t="n">
        <v>45785</v>
      </c>
      <c r="D766" t="inlineStr">
        <is>
          <t>SÖDERMANLANDS LÄN</t>
        </is>
      </c>
      <c r="E766" t="inlineStr">
        <is>
          <t>NYKÖPING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1930-2022</t>
        </is>
      </c>
      <c r="B767" s="1" t="n">
        <v>44575</v>
      </c>
      <c r="C767" s="1" t="n">
        <v>45785</v>
      </c>
      <c r="D767" t="inlineStr">
        <is>
          <t>SÖDERMANLANDS LÄN</t>
        </is>
      </c>
      <c r="E767" t="inlineStr">
        <is>
          <t>NYKÖPING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1931-2022</t>
        </is>
      </c>
      <c r="B768" s="1" t="n">
        <v>44575</v>
      </c>
      <c r="C768" s="1" t="n">
        <v>45785</v>
      </c>
      <c r="D768" t="inlineStr">
        <is>
          <t>SÖDERMANLANDS LÄN</t>
        </is>
      </c>
      <c r="E768" t="inlineStr">
        <is>
          <t>NYKÖPING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1915-2022</t>
        </is>
      </c>
      <c r="B769" s="1" t="n">
        <v>44575</v>
      </c>
      <c r="C769" s="1" t="n">
        <v>45785</v>
      </c>
      <c r="D769" t="inlineStr">
        <is>
          <t>SÖDERMANLANDS LÄN</t>
        </is>
      </c>
      <c r="E769" t="inlineStr">
        <is>
          <t>NYKÖPING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2041-2022</t>
        </is>
      </c>
      <c r="B770" s="1" t="n">
        <v>44575</v>
      </c>
      <c r="C770" s="1" t="n">
        <v>45785</v>
      </c>
      <c r="D770" t="inlineStr">
        <is>
          <t>SÖDERMANLANDS LÄN</t>
        </is>
      </c>
      <c r="E770" t="inlineStr">
        <is>
          <t>NYKÖPING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2225-2022</t>
        </is>
      </c>
      <c r="B771" s="1" t="n">
        <v>44578</v>
      </c>
      <c r="C771" s="1" t="n">
        <v>45785</v>
      </c>
      <c r="D771" t="inlineStr">
        <is>
          <t>SÖDERMANLANDS LÄN</t>
        </is>
      </c>
      <c r="E771" t="inlineStr">
        <is>
          <t>NYKÖPING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2255-2022</t>
        </is>
      </c>
      <c r="B772" s="1" t="n">
        <v>44578</v>
      </c>
      <c r="C772" s="1" t="n">
        <v>45785</v>
      </c>
      <c r="D772" t="inlineStr">
        <is>
          <t>SÖDERMANLANDS LÄN</t>
        </is>
      </c>
      <c r="E772" t="inlineStr">
        <is>
          <t>NYKÖPING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2256-2022</t>
        </is>
      </c>
      <c r="B773" s="1" t="n">
        <v>44578</v>
      </c>
      <c r="C773" s="1" t="n">
        <v>45785</v>
      </c>
      <c r="D773" t="inlineStr">
        <is>
          <t>SÖDERMANLANDS LÄN</t>
        </is>
      </c>
      <c r="E773" t="inlineStr">
        <is>
          <t>NYKÖPING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2428-2022</t>
        </is>
      </c>
      <c r="B774" s="1" t="n">
        <v>44579</v>
      </c>
      <c r="C774" s="1" t="n">
        <v>45785</v>
      </c>
      <c r="D774" t="inlineStr">
        <is>
          <t>SÖDERMANLANDS LÄN</t>
        </is>
      </c>
      <c r="E774" t="inlineStr">
        <is>
          <t>NYKÖPING</t>
        </is>
      </c>
      <c r="G774" t="n">
        <v>10.8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2429-2022</t>
        </is>
      </c>
      <c r="B775" s="1" t="n">
        <v>44579</v>
      </c>
      <c r="C775" s="1" t="n">
        <v>45785</v>
      </c>
      <c r="D775" t="inlineStr">
        <is>
          <t>SÖDERMANLANDS LÄN</t>
        </is>
      </c>
      <c r="E775" t="inlineStr">
        <is>
          <t>NYKÖPING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2445-2022</t>
        </is>
      </c>
      <c r="B776" s="1" t="n">
        <v>44579</v>
      </c>
      <c r="C776" s="1" t="n">
        <v>45785</v>
      </c>
      <c r="D776" t="inlineStr">
        <is>
          <t>SÖDERMANLANDS LÄN</t>
        </is>
      </c>
      <c r="E776" t="inlineStr">
        <is>
          <t>NYKÖPING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2507-2022</t>
        </is>
      </c>
      <c r="B777" s="1" t="n">
        <v>44579</v>
      </c>
      <c r="C777" s="1" t="n">
        <v>45785</v>
      </c>
      <c r="D777" t="inlineStr">
        <is>
          <t>SÖDERMANLANDS LÄN</t>
        </is>
      </c>
      <c r="E777" t="inlineStr">
        <is>
          <t>NYKÖPING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2513-2022</t>
        </is>
      </c>
      <c r="B778" s="1" t="n">
        <v>44579</v>
      </c>
      <c r="C778" s="1" t="n">
        <v>45785</v>
      </c>
      <c r="D778" t="inlineStr">
        <is>
          <t>SÖDERMANLANDS LÄN</t>
        </is>
      </c>
      <c r="E778" t="inlineStr">
        <is>
          <t>NYKÖPING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2506-2022</t>
        </is>
      </c>
      <c r="B779" s="1" t="n">
        <v>44579</v>
      </c>
      <c r="C779" s="1" t="n">
        <v>45785</v>
      </c>
      <c r="D779" t="inlineStr">
        <is>
          <t>SÖDERMANLANDS LÄN</t>
        </is>
      </c>
      <c r="E779" t="inlineStr">
        <is>
          <t>NYKÖPING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2510-2022</t>
        </is>
      </c>
      <c r="B780" s="1" t="n">
        <v>44579</v>
      </c>
      <c r="C780" s="1" t="n">
        <v>45785</v>
      </c>
      <c r="D780" t="inlineStr">
        <is>
          <t>SÖDERMANLANDS LÄN</t>
        </is>
      </c>
      <c r="E780" t="inlineStr">
        <is>
          <t>NYKÖPING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2517-2022</t>
        </is>
      </c>
      <c r="B781" s="1" t="n">
        <v>44579</v>
      </c>
      <c r="C781" s="1" t="n">
        <v>45785</v>
      </c>
      <c r="D781" t="inlineStr">
        <is>
          <t>SÖDERMANLANDS LÄN</t>
        </is>
      </c>
      <c r="E781" t="inlineStr">
        <is>
          <t>NYKÖPING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2939-2022</t>
        </is>
      </c>
      <c r="B782" s="1" t="n">
        <v>44581</v>
      </c>
      <c r="C782" s="1" t="n">
        <v>45785</v>
      </c>
      <c r="D782" t="inlineStr">
        <is>
          <t>SÖDERMANLANDS LÄN</t>
        </is>
      </c>
      <c r="E782" t="inlineStr">
        <is>
          <t>NYKÖPING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2973-2022</t>
        </is>
      </c>
      <c r="B783" s="1" t="n">
        <v>44581</v>
      </c>
      <c r="C783" s="1" t="n">
        <v>45785</v>
      </c>
      <c r="D783" t="inlineStr">
        <is>
          <t>SÖDERMANLANDS LÄN</t>
        </is>
      </c>
      <c r="E783" t="inlineStr">
        <is>
          <t>NYKÖPING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2947-2022</t>
        </is>
      </c>
      <c r="B784" s="1" t="n">
        <v>44581</v>
      </c>
      <c r="C784" s="1" t="n">
        <v>45785</v>
      </c>
      <c r="D784" t="inlineStr">
        <is>
          <t>SÖDERMANLANDS LÄN</t>
        </is>
      </c>
      <c r="E784" t="inlineStr">
        <is>
          <t>NYKÖPING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3193-2022</t>
        </is>
      </c>
      <c r="B785" s="1" t="n">
        <v>44582</v>
      </c>
      <c r="C785" s="1" t="n">
        <v>45785</v>
      </c>
      <c r="D785" t="inlineStr">
        <is>
          <t>SÖDERMANLANDS LÄN</t>
        </is>
      </c>
      <c r="E785" t="inlineStr">
        <is>
          <t>NYKÖPING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3187-2022</t>
        </is>
      </c>
      <c r="B786" s="1" t="n">
        <v>44582</v>
      </c>
      <c r="C786" s="1" t="n">
        <v>45785</v>
      </c>
      <c r="D786" t="inlineStr">
        <is>
          <t>SÖDERMANLANDS LÄN</t>
        </is>
      </c>
      <c r="E786" t="inlineStr">
        <is>
          <t>NYKÖPING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3353-2022</t>
        </is>
      </c>
      <c r="B787" s="1" t="n">
        <v>44585</v>
      </c>
      <c r="C787" s="1" t="n">
        <v>45785</v>
      </c>
      <c r="D787" t="inlineStr">
        <is>
          <t>SÖDERMANLANDS LÄN</t>
        </is>
      </c>
      <c r="E787" t="inlineStr">
        <is>
          <t>NYKÖPING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4903-2022</t>
        </is>
      </c>
      <c r="B788" s="1" t="n">
        <v>44593</v>
      </c>
      <c r="C788" s="1" t="n">
        <v>45785</v>
      </c>
      <c r="D788" t="inlineStr">
        <is>
          <t>SÖDERMANLANDS LÄN</t>
        </is>
      </c>
      <c r="E788" t="inlineStr">
        <is>
          <t>NYKÖPING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HYPERLINK("https://klasma.github.io/Logging_0480/knärot/A 4903-2022 karta knärot.png", "A 4903-2022")</f>
        <v/>
      </c>
      <c r="V788">
        <f>HYPERLINK("https://klasma.github.io/Logging_0480/klagomål/A 4903-2022 FSC-klagomål.docx", "A 4903-2022")</f>
        <v/>
      </c>
      <c r="W788">
        <f>HYPERLINK("https://klasma.github.io/Logging_0480/klagomålsmail/A 4903-2022 FSC-klagomål mail.docx", "A 4903-2022")</f>
        <v/>
      </c>
      <c r="X788">
        <f>HYPERLINK("https://klasma.github.io/Logging_0480/tillsyn/A 4903-2022 tillsynsbegäran.docx", "A 4903-2022")</f>
        <v/>
      </c>
      <c r="Y788">
        <f>HYPERLINK("https://klasma.github.io/Logging_0480/tillsynsmail/A 4903-2022 tillsynsbegäran mail.docx", "A 4903-2022")</f>
        <v/>
      </c>
    </row>
    <row r="789" ht="15" customHeight="1">
      <c r="A789" t="inlineStr">
        <is>
          <t>A 5357-2022</t>
        </is>
      </c>
      <c r="B789" s="1" t="n">
        <v>44594</v>
      </c>
      <c r="C789" s="1" t="n">
        <v>45785</v>
      </c>
      <c r="D789" t="inlineStr">
        <is>
          <t>SÖDERMANLANDS LÄN</t>
        </is>
      </c>
      <c r="E789" t="inlineStr">
        <is>
          <t>NYKÖPING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6538-2022</t>
        </is>
      </c>
      <c r="B790" s="1" t="n">
        <v>44601</v>
      </c>
      <c r="C790" s="1" t="n">
        <v>45785</v>
      </c>
      <c r="D790" t="inlineStr">
        <is>
          <t>SÖDERMANLANDS LÄN</t>
        </is>
      </c>
      <c r="E790" t="inlineStr">
        <is>
          <t>NYKÖPING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7253-2022</t>
        </is>
      </c>
      <c r="B791" s="1" t="n">
        <v>44606</v>
      </c>
      <c r="C791" s="1" t="n">
        <v>45785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Allmännings- och besparingsskogar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7496-2022</t>
        </is>
      </c>
      <c r="B792" s="1" t="n">
        <v>44607</v>
      </c>
      <c r="C792" s="1" t="n">
        <v>45785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7887-2022</t>
        </is>
      </c>
      <c r="B793" s="1" t="n">
        <v>44608</v>
      </c>
      <c r="C793" s="1" t="n">
        <v>45785</v>
      </c>
      <c r="D793" t="inlineStr">
        <is>
          <t>SÖDERMANLANDS LÄN</t>
        </is>
      </c>
      <c r="E793" t="inlineStr">
        <is>
          <t>NYKÖPING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8523-2022</t>
        </is>
      </c>
      <c r="B794" s="1" t="n">
        <v>44613</v>
      </c>
      <c r="C794" s="1" t="n">
        <v>45785</v>
      </c>
      <c r="D794" t="inlineStr">
        <is>
          <t>SÖDERMANLANDS LÄN</t>
        </is>
      </c>
      <c r="E794" t="inlineStr">
        <is>
          <t>NYKÖPING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8532-2022</t>
        </is>
      </c>
      <c r="B795" s="1" t="n">
        <v>44613</v>
      </c>
      <c r="C795" s="1" t="n">
        <v>45785</v>
      </c>
      <c r="D795" t="inlineStr">
        <is>
          <t>SÖDERMANLANDS LÄN</t>
        </is>
      </c>
      <c r="E795" t="inlineStr">
        <is>
          <t>NYKÖPING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8517-2022</t>
        </is>
      </c>
      <c r="B796" s="1" t="n">
        <v>44613</v>
      </c>
      <c r="C796" s="1" t="n">
        <v>45785</v>
      </c>
      <c r="D796" t="inlineStr">
        <is>
          <t>SÖDERMANLANDS LÄN</t>
        </is>
      </c>
      <c r="E796" t="inlineStr">
        <is>
          <t>NYKÖPING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8783-2022</t>
        </is>
      </c>
      <c r="B797" s="1" t="n">
        <v>44614</v>
      </c>
      <c r="C797" s="1" t="n">
        <v>45785</v>
      </c>
      <c r="D797" t="inlineStr">
        <is>
          <t>SÖDERMANLANDS LÄN</t>
        </is>
      </c>
      <c r="E797" t="inlineStr">
        <is>
          <t>NYKÖPING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8778-2022</t>
        </is>
      </c>
      <c r="B798" s="1" t="n">
        <v>44614</v>
      </c>
      <c r="C798" s="1" t="n">
        <v>45785</v>
      </c>
      <c r="D798" t="inlineStr">
        <is>
          <t>SÖDERMANLANDS LÄN</t>
        </is>
      </c>
      <c r="E798" t="inlineStr">
        <is>
          <t>NYKÖPING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8781-2022</t>
        </is>
      </c>
      <c r="B799" s="1" t="n">
        <v>44614</v>
      </c>
      <c r="C799" s="1" t="n">
        <v>45785</v>
      </c>
      <c r="D799" t="inlineStr">
        <is>
          <t>SÖDERMANLANDS LÄN</t>
        </is>
      </c>
      <c r="E799" t="inlineStr">
        <is>
          <t>NYKÖPING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9174-2022</t>
        </is>
      </c>
      <c r="B800" s="1" t="n">
        <v>44615</v>
      </c>
      <c r="C800" s="1" t="n">
        <v>45785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9469-2022</t>
        </is>
      </c>
      <c r="B801" s="1" t="n">
        <v>44616</v>
      </c>
      <c r="C801" s="1" t="n">
        <v>45785</v>
      </c>
      <c r="D801" t="inlineStr">
        <is>
          <t>SÖDERMANLANDS LÄN</t>
        </is>
      </c>
      <c r="E801" t="inlineStr">
        <is>
          <t>NYKÖPING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9842-2022</t>
        </is>
      </c>
      <c r="B802" s="1" t="n">
        <v>44620</v>
      </c>
      <c r="C802" s="1" t="n">
        <v>45785</v>
      </c>
      <c r="D802" t="inlineStr">
        <is>
          <t>SÖDERMANLANDS LÄN</t>
        </is>
      </c>
      <c r="E802" t="inlineStr">
        <is>
          <t>NYKÖPING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9913-2022</t>
        </is>
      </c>
      <c r="B803" s="1" t="n">
        <v>44620</v>
      </c>
      <c r="C803" s="1" t="n">
        <v>45785</v>
      </c>
      <c r="D803" t="inlineStr">
        <is>
          <t>SÖDERMANLANDS LÄN</t>
        </is>
      </c>
      <c r="E803" t="inlineStr">
        <is>
          <t>NYKÖPING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10357-2022</t>
        </is>
      </c>
      <c r="B804" s="1" t="n">
        <v>44623</v>
      </c>
      <c r="C804" s="1" t="n">
        <v>45785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10435-2022</t>
        </is>
      </c>
      <c r="B805" s="1" t="n">
        <v>44623</v>
      </c>
      <c r="C805" s="1" t="n">
        <v>45785</v>
      </c>
      <c r="D805" t="inlineStr">
        <is>
          <t>SÖDERMANLANDS LÄN</t>
        </is>
      </c>
      <c r="E805" t="inlineStr">
        <is>
          <t>NYKÖPING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10873-2022</t>
        </is>
      </c>
      <c r="B806" s="1" t="n">
        <v>44627</v>
      </c>
      <c r="C806" s="1" t="n">
        <v>45785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Övriga Aktiebolag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11443-2022</t>
        </is>
      </c>
      <c r="B807" s="1" t="n">
        <v>44630</v>
      </c>
      <c r="C807" s="1" t="n">
        <v>45785</v>
      </c>
      <c r="D807" t="inlineStr">
        <is>
          <t>SÖDERMANLANDS LÄN</t>
        </is>
      </c>
      <c r="E807" t="inlineStr">
        <is>
          <t>NYKÖPING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11446-2022</t>
        </is>
      </c>
      <c r="B808" s="1" t="n">
        <v>44630</v>
      </c>
      <c r="C808" s="1" t="n">
        <v>45785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11728-2022</t>
        </is>
      </c>
      <c r="B809" s="1" t="n">
        <v>44634</v>
      </c>
      <c r="C809" s="1" t="n">
        <v>45785</v>
      </c>
      <c r="D809" t="inlineStr">
        <is>
          <t>SÖDERMANLANDS LÄN</t>
        </is>
      </c>
      <c r="E809" t="inlineStr">
        <is>
          <t>NYKÖPING</t>
        </is>
      </c>
      <c r="G809" t="n">
        <v>11.4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12669-2022</t>
        </is>
      </c>
      <c r="B810" s="1" t="n">
        <v>44641</v>
      </c>
      <c r="C810" s="1" t="n">
        <v>45785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13455-2022</t>
        </is>
      </c>
      <c r="B811" s="1" t="n">
        <v>44645</v>
      </c>
      <c r="C811" s="1" t="n">
        <v>45785</v>
      </c>
      <c r="D811" t="inlineStr">
        <is>
          <t>SÖDERMANLANDS LÄN</t>
        </is>
      </c>
      <c r="E811" t="inlineStr">
        <is>
          <t>NYKÖPING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13372-2022</t>
        </is>
      </c>
      <c r="B812" s="1" t="n">
        <v>44645</v>
      </c>
      <c r="C812" s="1" t="n">
        <v>45785</v>
      </c>
      <c r="D812" t="inlineStr">
        <is>
          <t>SÖDERMANLANDS LÄN</t>
        </is>
      </c>
      <c r="E812" t="inlineStr">
        <is>
          <t>NYKÖPING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13452-2022</t>
        </is>
      </c>
      <c r="B813" s="1" t="n">
        <v>44645</v>
      </c>
      <c r="C813" s="1" t="n">
        <v>45785</v>
      </c>
      <c r="D813" t="inlineStr">
        <is>
          <t>SÖDERMANLANDS LÄN</t>
        </is>
      </c>
      <c r="E813" t="inlineStr">
        <is>
          <t>NYKÖPING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13542-2022</t>
        </is>
      </c>
      <c r="B814" s="1" t="n">
        <v>44648</v>
      </c>
      <c r="C814" s="1" t="n">
        <v>45785</v>
      </c>
      <c r="D814" t="inlineStr">
        <is>
          <t>SÖDERMANLANDS LÄN</t>
        </is>
      </c>
      <c r="E814" t="inlineStr">
        <is>
          <t>NYKÖPING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13559-2022</t>
        </is>
      </c>
      <c r="B815" s="1" t="n">
        <v>44648</v>
      </c>
      <c r="C815" s="1" t="n">
        <v>45785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13861-2022</t>
        </is>
      </c>
      <c r="B816" s="1" t="n">
        <v>44649</v>
      </c>
      <c r="C816" s="1" t="n">
        <v>45785</v>
      </c>
      <c r="D816" t="inlineStr">
        <is>
          <t>SÖDERMANLANDS LÄN</t>
        </is>
      </c>
      <c r="E816" t="inlineStr">
        <is>
          <t>NYKÖPING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13858-2022</t>
        </is>
      </c>
      <c r="B817" s="1" t="n">
        <v>44649</v>
      </c>
      <c r="C817" s="1" t="n">
        <v>45785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13963-2022</t>
        </is>
      </c>
      <c r="B818" s="1" t="n">
        <v>44650</v>
      </c>
      <c r="C818" s="1" t="n">
        <v>45785</v>
      </c>
      <c r="D818" t="inlineStr">
        <is>
          <t>SÖDERMANLANDS LÄN</t>
        </is>
      </c>
      <c r="E818" t="inlineStr">
        <is>
          <t>NYKÖPING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14350-2022</t>
        </is>
      </c>
      <c r="B819" s="1" t="n">
        <v>44652</v>
      </c>
      <c r="C819" s="1" t="n">
        <v>45785</v>
      </c>
      <c r="D819" t="inlineStr">
        <is>
          <t>SÖDERMANLANDS LÄN</t>
        </is>
      </c>
      <c r="E819" t="inlineStr">
        <is>
          <t>NYKÖPING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14384-2022</t>
        </is>
      </c>
      <c r="B820" s="1" t="n">
        <v>44652</v>
      </c>
      <c r="C820" s="1" t="n">
        <v>45785</v>
      </c>
      <c r="D820" t="inlineStr">
        <is>
          <t>SÖDERMANLANDS LÄN</t>
        </is>
      </c>
      <c r="E820" t="inlineStr">
        <is>
          <t>NYKÖPING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14370-2022</t>
        </is>
      </c>
      <c r="B821" s="1" t="n">
        <v>44652</v>
      </c>
      <c r="C821" s="1" t="n">
        <v>45785</v>
      </c>
      <c r="D821" t="inlineStr">
        <is>
          <t>SÖDERMANLANDS LÄN</t>
        </is>
      </c>
      <c r="E821" t="inlineStr">
        <is>
          <t>NYKÖPING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14828-2022</t>
        </is>
      </c>
      <c r="B822" s="1" t="n">
        <v>44656</v>
      </c>
      <c r="C822" s="1" t="n">
        <v>45785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14737-2022</t>
        </is>
      </c>
      <c r="B823" s="1" t="n">
        <v>44656</v>
      </c>
      <c r="C823" s="1" t="n">
        <v>45785</v>
      </c>
      <c r="D823" t="inlineStr">
        <is>
          <t>SÖDERMANLANDS LÄN</t>
        </is>
      </c>
      <c r="E823" t="inlineStr">
        <is>
          <t>NYKÖPING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15147-2022</t>
        </is>
      </c>
      <c r="B824" s="1" t="n">
        <v>44658</v>
      </c>
      <c r="C824" s="1" t="n">
        <v>45785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Allmännings- och besparingsskogar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15224-2022</t>
        </is>
      </c>
      <c r="B825" s="1" t="n">
        <v>44658</v>
      </c>
      <c r="C825" s="1" t="n">
        <v>45785</v>
      </c>
      <c r="D825" t="inlineStr">
        <is>
          <t>SÖDERMANLANDS LÄN</t>
        </is>
      </c>
      <c r="E825" t="inlineStr">
        <is>
          <t>NYKÖPING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15404-2022</t>
        </is>
      </c>
      <c r="B826" s="1" t="n">
        <v>44659</v>
      </c>
      <c r="C826" s="1" t="n">
        <v>45785</v>
      </c>
      <c r="D826" t="inlineStr">
        <is>
          <t>SÖDERMANLANDS LÄN</t>
        </is>
      </c>
      <c r="E826" t="inlineStr">
        <is>
          <t>NYKÖPING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15391-2022</t>
        </is>
      </c>
      <c r="B827" s="1" t="n">
        <v>44659</v>
      </c>
      <c r="C827" s="1" t="n">
        <v>45785</v>
      </c>
      <c r="D827" t="inlineStr">
        <is>
          <t>SÖDERMANLANDS LÄN</t>
        </is>
      </c>
      <c r="E827" t="inlineStr">
        <is>
          <t>NYKÖPING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15466-2022</t>
        </is>
      </c>
      <c r="B828" s="1" t="n">
        <v>44662</v>
      </c>
      <c r="C828" s="1" t="n">
        <v>45785</v>
      </c>
      <c r="D828" t="inlineStr">
        <is>
          <t>SÖDERMANLANDS LÄN</t>
        </is>
      </c>
      <c r="E828" t="inlineStr">
        <is>
          <t>NYKÖPING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15954-2022</t>
        </is>
      </c>
      <c r="B829" s="1" t="n">
        <v>44664</v>
      </c>
      <c r="C829" s="1" t="n">
        <v>45785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Kyrkan</t>
        </is>
      </c>
      <c r="G829" t="n">
        <v>20.8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16716-2022</t>
        </is>
      </c>
      <c r="B830" s="1" t="n">
        <v>44673</v>
      </c>
      <c r="C830" s="1" t="n">
        <v>45785</v>
      </c>
      <c r="D830" t="inlineStr">
        <is>
          <t>SÖDERMANLANDS LÄN</t>
        </is>
      </c>
      <c r="E830" t="inlineStr">
        <is>
          <t>NYKÖPING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16906-2022</t>
        </is>
      </c>
      <c r="B831" s="1" t="n">
        <v>44676</v>
      </c>
      <c r="C831" s="1" t="n">
        <v>45785</v>
      </c>
      <c r="D831" t="inlineStr">
        <is>
          <t>SÖDERMANLANDS LÄN</t>
        </is>
      </c>
      <c r="E831" t="inlineStr">
        <is>
          <t>NYKÖPING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16957-2022</t>
        </is>
      </c>
      <c r="B832" s="1" t="n">
        <v>44676</v>
      </c>
      <c r="C832" s="1" t="n">
        <v>45785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17234-2022</t>
        </is>
      </c>
      <c r="B833" s="1" t="n">
        <v>44678</v>
      </c>
      <c r="C833" s="1" t="n">
        <v>45785</v>
      </c>
      <c r="D833" t="inlineStr">
        <is>
          <t>SÖDERMANLANDS LÄN</t>
        </is>
      </c>
      <c r="E833" t="inlineStr">
        <is>
          <t>NYKÖPING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17541-2022</t>
        </is>
      </c>
      <c r="B834" s="1" t="n">
        <v>44679</v>
      </c>
      <c r="C834" s="1" t="n">
        <v>45785</v>
      </c>
      <c r="D834" t="inlineStr">
        <is>
          <t>SÖDERMANLANDS LÄN</t>
        </is>
      </c>
      <c r="E834" t="inlineStr">
        <is>
          <t>NYKÖPING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18216-2022</t>
        </is>
      </c>
      <c r="B835" s="1" t="n">
        <v>44685</v>
      </c>
      <c r="C835" s="1" t="n">
        <v>45785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18827-2022</t>
        </is>
      </c>
      <c r="B836" s="1" t="n">
        <v>44690</v>
      </c>
      <c r="C836" s="1" t="n">
        <v>45785</v>
      </c>
      <c r="D836" t="inlineStr">
        <is>
          <t>SÖDERMANLANDS LÄN</t>
        </is>
      </c>
      <c r="E836" t="inlineStr">
        <is>
          <t>NYKÖPING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18824-2022</t>
        </is>
      </c>
      <c r="B837" s="1" t="n">
        <v>44690</v>
      </c>
      <c r="C837" s="1" t="n">
        <v>45785</v>
      </c>
      <c r="D837" t="inlineStr">
        <is>
          <t>SÖDERMANLANDS LÄN</t>
        </is>
      </c>
      <c r="E837" t="inlineStr">
        <is>
          <t>NYKÖPING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18821-2022</t>
        </is>
      </c>
      <c r="B838" s="1" t="n">
        <v>44690</v>
      </c>
      <c r="C838" s="1" t="n">
        <v>45785</v>
      </c>
      <c r="D838" t="inlineStr">
        <is>
          <t>SÖDERMANLANDS LÄN</t>
        </is>
      </c>
      <c r="E838" t="inlineStr">
        <is>
          <t>NYKÖPING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20131-2022</t>
        </is>
      </c>
      <c r="B839" s="1" t="n">
        <v>44698</v>
      </c>
      <c r="C839" s="1" t="n">
        <v>45785</v>
      </c>
      <c r="D839" t="inlineStr">
        <is>
          <t>SÖDERMANLANDS LÄN</t>
        </is>
      </c>
      <c r="E839" t="inlineStr">
        <is>
          <t>NYKÖPING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20775-2022</t>
        </is>
      </c>
      <c r="B840" s="1" t="n">
        <v>44701</v>
      </c>
      <c r="C840" s="1" t="n">
        <v>45785</v>
      </c>
      <c r="D840" t="inlineStr">
        <is>
          <t>SÖDERMANLANDS LÄN</t>
        </is>
      </c>
      <c r="E840" t="inlineStr">
        <is>
          <t>NYKÖPING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21088-2022</t>
        </is>
      </c>
      <c r="B841" s="1" t="n">
        <v>44704</v>
      </c>
      <c r="C841" s="1" t="n">
        <v>45785</v>
      </c>
      <c r="D841" t="inlineStr">
        <is>
          <t>SÖDERMANLANDS LÄN</t>
        </is>
      </c>
      <c r="E841" t="inlineStr">
        <is>
          <t>NYKÖPING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21364-2022</t>
        </is>
      </c>
      <c r="B842" s="1" t="n">
        <v>44705</v>
      </c>
      <c r="C842" s="1" t="n">
        <v>45785</v>
      </c>
      <c r="D842" t="inlineStr">
        <is>
          <t>SÖDERMANLANDS LÄN</t>
        </is>
      </c>
      <c r="E842" t="inlineStr">
        <is>
          <t>NYKÖPING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21369-2022</t>
        </is>
      </c>
      <c r="B843" s="1" t="n">
        <v>44705</v>
      </c>
      <c r="C843" s="1" t="n">
        <v>45785</v>
      </c>
      <c r="D843" t="inlineStr">
        <is>
          <t>SÖDERMANLANDS LÄN</t>
        </is>
      </c>
      <c r="E843" t="inlineStr">
        <is>
          <t>NYKÖPING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21374-2022</t>
        </is>
      </c>
      <c r="B844" s="1" t="n">
        <v>44705</v>
      </c>
      <c r="C844" s="1" t="n">
        <v>45785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21804-2022</t>
        </is>
      </c>
      <c r="B845" s="1" t="n">
        <v>44708</v>
      </c>
      <c r="C845" s="1" t="n">
        <v>45785</v>
      </c>
      <c r="D845" t="inlineStr">
        <is>
          <t>SÖDERMANLANDS LÄN</t>
        </is>
      </c>
      <c r="E845" t="inlineStr">
        <is>
          <t>NYKÖPING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21815-2022</t>
        </is>
      </c>
      <c r="B846" s="1" t="n">
        <v>44709</v>
      </c>
      <c r="C846" s="1" t="n">
        <v>45785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21818-2022</t>
        </is>
      </c>
      <c r="B847" s="1" t="n">
        <v>44709</v>
      </c>
      <c r="C847" s="1" t="n">
        <v>45785</v>
      </c>
      <c r="D847" t="inlineStr">
        <is>
          <t>SÖDERMANLANDS LÄN</t>
        </is>
      </c>
      <c r="E847" t="inlineStr">
        <is>
          <t>NYKÖPING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21819-2022</t>
        </is>
      </c>
      <c r="B848" s="1" t="n">
        <v>44709</v>
      </c>
      <c r="C848" s="1" t="n">
        <v>45785</v>
      </c>
      <c r="D848" t="inlineStr">
        <is>
          <t>SÖDERMANLANDS LÄN</t>
        </is>
      </c>
      <c r="E848" t="inlineStr">
        <is>
          <t>NYKÖPING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21925-2022</t>
        </is>
      </c>
      <c r="B849" s="1" t="n">
        <v>44711</v>
      </c>
      <c r="C849" s="1" t="n">
        <v>45785</v>
      </c>
      <c r="D849" t="inlineStr">
        <is>
          <t>SÖDERMANLANDS LÄN</t>
        </is>
      </c>
      <c r="E849" t="inlineStr">
        <is>
          <t>NYKÖPING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21917-2022</t>
        </is>
      </c>
      <c r="B850" s="1" t="n">
        <v>44711</v>
      </c>
      <c r="C850" s="1" t="n">
        <v>45785</v>
      </c>
      <c r="D850" t="inlineStr">
        <is>
          <t>SÖDERMANLANDS LÄN</t>
        </is>
      </c>
      <c r="E850" t="inlineStr">
        <is>
          <t>NYKÖPING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22393-2022</t>
        </is>
      </c>
      <c r="B851" s="1" t="n">
        <v>44713</v>
      </c>
      <c r="C851" s="1" t="n">
        <v>45785</v>
      </c>
      <c r="D851" t="inlineStr">
        <is>
          <t>SÖDERMANLANDS LÄN</t>
        </is>
      </c>
      <c r="E851" t="inlineStr">
        <is>
          <t>NYKÖPING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22402-2022</t>
        </is>
      </c>
      <c r="B852" s="1" t="n">
        <v>44713</v>
      </c>
      <c r="C852" s="1" t="n">
        <v>45785</v>
      </c>
      <c r="D852" t="inlineStr">
        <is>
          <t>SÖDERMANLANDS LÄN</t>
        </is>
      </c>
      <c r="E852" t="inlineStr">
        <is>
          <t>NYKÖPING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22990-2022</t>
        </is>
      </c>
      <c r="B853" s="1" t="n">
        <v>44718</v>
      </c>
      <c r="C853" s="1" t="n">
        <v>45785</v>
      </c>
      <c r="D853" t="inlineStr">
        <is>
          <t>SÖDERMANLANDS LÄN</t>
        </is>
      </c>
      <c r="E853" t="inlineStr">
        <is>
          <t>NYKÖPING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23107-2022</t>
        </is>
      </c>
      <c r="B854" s="1" t="n">
        <v>44719</v>
      </c>
      <c r="C854" s="1" t="n">
        <v>45785</v>
      </c>
      <c r="D854" t="inlineStr">
        <is>
          <t>SÖDERMANLANDS LÄN</t>
        </is>
      </c>
      <c r="E854" t="inlineStr">
        <is>
          <t>NYKÖPING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23641-2022</t>
        </is>
      </c>
      <c r="B855" s="1" t="n">
        <v>44721</v>
      </c>
      <c r="C855" s="1" t="n">
        <v>45785</v>
      </c>
      <c r="D855" t="inlineStr">
        <is>
          <t>SÖDERMANLANDS LÄN</t>
        </is>
      </c>
      <c r="E855" t="inlineStr">
        <is>
          <t>NYKÖPING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23922-2022</t>
        </is>
      </c>
      <c r="B856" s="1" t="n">
        <v>44722</v>
      </c>
      <c r="C856" s="1" t="n">
        <v>45785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24285-2022</t>
        </is>
      </c>
      <c r="B857" s="1" t="n">
        <v>44725</v>
      </c>
      <c r="C857" s="1" t="n">
        <v>45785</v>
      </c>
      <c r="D857" t="inlineStr">
        <is>
          <t>SÖDERMANLANDS LÄN</t>
        </is>
      </c>
      <c r="E857" t="inlineStr">
        <is>
          <t>NYKÖPING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24280-2022</t>
        </is>
      </c>
      <c r="B858" s="1" t="n">
        <v>44725</v>
      </c>
      <c r="C858" s="1" t="n">
        <v>45785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24197-2022</t>
        </is>
      </c>
      <c r="B859" s="1" t="n">
        <v>44725</v>
      </c>
      <c r="C859" s="1" t="n">
        <v>45785</v>
      </c>
      <c r="D859" t="inlineStr">
        <is>
          <t>SÖDERMANLANDS LÄN</t>
        </is>
      </c>
      <c r="E859" t="inlineStr">
        <is>
          <t>NYKÖPING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24631-2022</t>
        </is>
      </c>
      <c r="B860" s="1" t="n">
        <v>44727</v>
      </c>
      <c r="C860" s="1" t="n">
        <v>45785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24609-2022</t>
        </is>
      </c>
      <c r="B861" s="1" t="n">
        <v>44727</v>
      </c>
      <c r="C861" s="1" t="n">
        <v>45785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24798-2022</t>
        </is>
      </c>
      <c r="B862" s="1" t="n">
        <v>44728</v>
      </c>
      <c r="C862" s="1" t="n">
        <v>45785</v>
      </c>
      <c r="D862" t="inlineStr">
        <is>
          <t>SÖDERMANLANDS LÄN</t>
        </is>
      </c>
      <c r="E862" t="inlineStr">
        <is>
          <t>NYKÖPING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25130-2022</t>
        </is>
      </c>
      <c r="B863" s="1" t="n">
        <v>44729</v>
      </c>
      <c r="C863" s="1" t="n">
        <v>45785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25493-2022</t>
        </is>
      </c>
      <c r="B864" s="1" t="n">
        <v>44732</v>
      </c>
      <c r="C864" s="1" t="n">
        <v>45785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Övriga Aktiebolag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25714-2022</t>
        </is>
      </c>
      <c r="B865" s="1" t="n">
        <v>44733</v>
      </c>
      <c r="C865" s="1" t="n">
        <v>45785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25709-2022</t>
        </is>
      </c>
      <c r="B866" s="1" t="n">
        <v>44733</v>
      </c>
      <c r="C866" s="1" t="n">
        <v>45785</v>
      </c>
      <c r="D866" t="inlineStr">
        <is>
          <t>SÖDERMANLANDS LÄN</t>
        </is>
      </c>
      <c r="E866" t="inlineStr">
        <is>
          <t>NYKÖPING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25718-2022</t>
        </is>
      </c>
      <c r="B867" s="1" t="n">
        <v>44733</v>
      </c>
      <c r="C867" s="1" t="n">
        <v>45785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25796-2022</t>
        </is>
      </c>
      <c r="B868" s="1" t="n">
        <v>44733</v>
      </c>
      <c r="C868" s="1" t="n">
        <v>45785</v>
      </c>
      <c r="D868" t="inlineStr">
        <is>
          <t>SÖDERMANLANDS LÄN</t>
        </is>
      </c>
      <c r="E868" t="inlineStr">
        <is>
          <t>NYKÖPING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25705-2022</t>
        </is>
      </c>
      <c r="B869" s="1" t="n">
        <v>44733</v>
      </c>
      <c r="C869" s="1" t="n">
        <v>45785</v>
      </c>
      <c r="D869" t="inlineStr">
        <is>
          <t>SÖDERMANLANDS LÄN</t>
        </is>
      </c>
      <c r="E869" t="inlineStr">
        <is>
          <t>NYKÖPING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25948-2022</t>
        </is>
      </c>
      <c r="B870" s="1" t="n">
        <v>44734</v>
      </c>
      <c r="C870" s="1" t="n">
        <v>45785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26993-2022</t>
        </is>
      </c>
      <c r="B871" s="1" t="n">
        <v>44740</v>
      </c>
      <c r="C871" s="1" t="n">
        <v>45785</v>
      </c>
      <c r="D871" t="inlineStr">
        <is>
          <t>SÖDERMANLANDS LÄN</t>
        </is>
      </c>
      <c r="E871" t="inlineStr">
        <is>
          <t>NYKÖPING</t>
        </is>
      </c>
      <c r="G871" t="n">
        <v>13.1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27975-2022</t>
        </is>
      </c>
      <c r="B872" s="1" t="n">
        <v>44744</v>
      </c>
      <c r="C872" s="1" t="n">
        <v>45785</v>
      </c>
      <c r="D872" t="inlineStr">
        <is>
          <t>SÖDERMANLANDS LÄN</t>
        </is>
      </c>
      <c r="E872" t="inlineStr">
        <is>
          <t>NYKÖPING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27974-2022</t>
        </is>
      </c>
      <c r="B873" s="1" t="n">
        <v>44744</v>
      </c>
      <c r="C873" s="1" t="n">
        <v>45785</v>
      </c>
      <c r="D873" t="inlineStr">
        <is>
          <t>SÖDERMANLANDS LÄN</t>
        </is>
      </c>
      <c r="E873" t="inlineStr">
        <is>
          <t>NYKÖPING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28503-2022</t>
        </is>
      </c>
      <c r="B874" s="1" t="n">
        <v>44747</v>
      </c>
      <c r="C874" s="1" t="n">
        <v>45785</v>
      </c>
      <c r="D874" t="inlineStr">
        <is>
          <t>SÖDERMANLANDS LÄN</t>
        </is>
      </c>
      <c r="E874" t="inlineStr">
        <is>
          <t>NYKÖPING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28636-2022</t>
        </is>
      </c>
      <c r="B875" s="1" t="n">
        <v>44748</v>
      </c>
      <c r="C875" s="1" t="n">
        <v>45785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28511-2022</t>
        </is>
      </c>
      <c r="B876" s="1" t="n">
        <v>44748</v>
      </c>
      <c r="C876" s="1" t="n">
        <v>45785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29499-2022</t>
        </is>
      </c>
      <c r="B877" s="1" t="n">
        <v>44753</v>
      </c>
      <c r="C877" s="1" t="n">
        <v>45785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29610-2022</t>
        </is>
      </c>
      <c r="B878" s="1" t="n">
        <v>44754</v>
      </c>
      <c r="C878" s="1" t="n">
        <v>45785</v>
      </c>
      <c r="D878" t="inlineStr">
        <is>
          <t>SÖDERMANLANDS LÄN</t>
        </is>
      </c>
      <c r="E878" t="inlineStr">
        <is>
          <t>NYKÖPING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29631-2022</t>
        </is>
      </c>
      <c r="B879" s="1" t="n">
        <v>44754</v>
      </c>
      <c r="C879" s="1" t="n">
        <v>45785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29766-2022</t>
        </is>
      </c>
      <c r="B880" s="1" t="n">
        <v>44755</v>
      </c>
      <c r="C880" s="1" t="n">
        <v>45785</v>
      </c>
      <c r="D880" t="inlineStr">
        <is>
          <t>SÖDERMANLANDS LÄN</t>
        </is>
      </c>
      <c r="E880" t="inlineStr">
        <is>
          <t>NYKÖPING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30167-2022</t>
        </is>
      </c>
      <c r="B881" s="1" t="n">
        <v>44757</v>
      </c>
      <c r="C881" s="1" t="n">
        <v>45785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Kommuner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30198-2022</t>
        </is>
      </c>
      <c r="B882" s="1" t="n">
        <v>44757</v>
      </c>
      <c r="C882" s="1" t="n">
        <v>45785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30471-2022</t>
        </is>
      </c>
      <c r="B883" s="1" t="n">
        <v>44761</v>
      </c>
      <c r="C883" s="1" t="n">
        <v>45785</v>
      </c>
      <c r="D883" t="inlineStr">
        <is>
          <t>SÖDERMANLANDS LÄN</t>
        </is>
      </c>
      <c r="E883" t="inlineStr">
        <is>
          <t>NYKÖPING</t>
        </is>
      </c>
      <c r="G883" t="n">
        <v>10.1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30865-2022</t>
        </is>
      </c>
      <c r="B884" s="1" t="n">
        <v>44767</v>
      </c>
      <c r="C884" s="1" t="n">
        <v>45785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30859-2022</t>
        </is>
      </c>
      <c r="B885" s="1" t="n">
        <v>44767</v>
      </c>
      <c r="C885" s="1" t="n">
        <v>45785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30840-2022</t>
        </is>
      </c>
      <c r="B886" s="1" t="n">
        <v>44767</v>
      </c>
      <c r="C886" s="1" t="n">
        <v>45785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30907-2022</t>
        </is>
      </c>
      <c r="B887" s="1" t="n">
        <v>44767</v>
      </c>
      <c r="C887" s="1" t="n">
        <v>45785</v>
      </c>
      <c r="D887" t="inlineStr">
        <is>
          <t>SÖDERMANLANDS LÄN</t>
        </is>
      </c>
      <c r="E887" t="inlineStr">
        <is>
          <t>NYKÖPING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31401-2022</t>
        </is>
      </c>
      <c r="B888" s="1" t="n">
        <v>44774</v>
      </c>
      <c r="C888" s="1" t="n">
        <v>45785</v>
      </c>
      <c r="D888" t="inlineStr">
        <is>
          <t>SÖDERMANLANDS LÄN</t>
        </is>
      </c>
      <c r="E888" t="inlineStr">
        <is>
          <t>NYKÖPING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31392-2022</t>
        </is>
      </c>
      <c r="B889" s="1" t="n">
        <v>44774</v>
      </c>
      <c r="C889" s="1" t="n">
        <v>45785</v>
      </c>
      <c r="D889" t="inlineStr">
        <is>
          <t>SÖDERMANLANDS LÄN</t>
        </is>
      </c>
      <c r="E889" t="inlineStr">
        <is>
          <t>NYKÖPING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31398-2022</t>
        </is>
      </c>
      <c r="B890" s="1" t="n">
        <v>44774</v>
      </c>
      <c r="C890" s="1" t="n">
        <v>45785</v>
      </c>
      <c r="D890" t="inlineStr">
        <is>
          <t>SÖDERMANLANDS LÄN</t>
        </is>
      </c>
      <c r="E890" t="inlineStr">
        <is>
          <t>NYKÖPING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31422-2022</t>
        </is>
      </c>
      <c r="B891" s="1" t="n">
        <v>44774</v>
      </c>
      <c r="C891" s="1" t="n">
        <v>45785</v>
      </c>
      <c r="D891" t="inlineStr">
        <is>
          <t>SÖDERMANLANDS LÄN</t>
        </is>
      </c>
      <c r="E891" t="inlineStr">
        <is>
          <t>NYKÖPING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31424-2022</t>
        </is>
      </c>
      <c r="B892" s="1" t="n">
        <v>44774</v>
      </c>
      <c r="C892" s="1" t="n">
        <v>45785</v>
      </c>
      <c r="D892" t="inlineStr">
        <is>
          <t>SÖDERMANLANDS LÄN</t>
        </is>
      </c>
      <c r="E892" t="inlineStr">
        <is>
          <t>NYKÖPING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31538-2022</t>
        </is>
      </c>
      <c r="B893" s="1" t="n">
        <v>44775</v>
      </c>
      <c r="C893" s="1" t="n">
        <v>45785</v>
      </c>
      <c r="D893" t="inlineStr">
        <is>
          <t>SÖDERMANLANDS LÄN</t>
        </is>
      </c>
      <c r="E893" t="inlineStr">
        <is>
          <t>NYKÖPING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31833-2022</t>
        </is>
      </c>
      <c r="B894" s="1" t="n">
        <v>44776</v>
      </c>
      <c r="C894" s="1" t="n">
        <v>45785</v>
      </c>
      <c r="D894" t="inlineStr">
        <is>
          <t>SÖDERMANLANDS LÄN</t>
        </is>
      </c>
      <c r="E894" t="inlineStr">
        <is>
          <t>NYKÖPING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32715-2022</t>
        </is>
      </c>
      <c r="B895" s="1" t="n">
        <v>44783</v>
      </c>
      <c r="C895" s="1" t="n">
        <v>45785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32721-2022</t>
        </is>
      </c>
      <c r="B896" s="1" t="n">
        <v>44783</v>
      </c>
      <c r="C896" s="1" t="n">
        <v>45785</v>
      </c>
      <c r="D896" t="inlineStr">
        <is>
          <t>SÖDERMANLANDS LÄN</t>
        </is>
      </c>
      <c r="E896" t="inlineStr">
        <is>
          <t>NYKÖPING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32594-2022</t>
        </is>
      </c>
      <c r="B897" s="1" t="n">
        <v>44783</v>
      </c>
      <c r="C897" s="1" t="n">
        <v>45785</v>
      </c>
      <c r="D897" t="inlineStr">
        <is>
          <t>SÖDERMANLANDS LÄN</t>
        </is>
      </c>
      <c r="E897" t="inlineStr">
        <is>
          <t>NYKÖPING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32719-2022</t>
        </is>
      </c>
      <c r="B898" s="1" t="n">
        <v>44783</v>
      </c>
      <c r="C898" s="1" t="n">
        <v>45785</v>
      </c>
      <c r="D898" t="inlineStr">
        <is>
          <t>SÖDERMANLANDS LÄN</t>
        </is>
      </c>
      <c r="E898" t="inlineStr">
        <is>
          <t>NYKÖPING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32671-2022</t>
        </is>
      </c>
      <c r="B899" s="1" t="n">
        <v>44783</v>
      </c>
      <c r="C899" s="1" t="n">
        <v>45785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32837-2022</t>
        </is>
      </c>
      <c r="B900" s="1" t="n">
        <v>44784</v>
      </c>
      <c r="C900" s="1" t="n">
        <v>45785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Kommuner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32846-2022</t>
        </is>
      </c>
      <c r="B901" s="1" t="n">
        <v>44784</v>
      </c>
      <c r="C901" s="1" t="n">
        <v>45785</v>
      </c>
      <c r="D901" t="inlineStr">
        <is>
          <t>SÖDERMANLANDS LÄN</t>
        </is>
      </c>
      <c r="E901" t="inlineStr">
        <is>
          <t>NYKÖPING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32841-2022</t>
        </is>
      </c>
      <c r="B902" s="1" t="n">
        <v>44784</v>
      </c>
      <c r="C902" s="1" t="n">
        <v>45785</v>
      </c>
      <c r="D902" t="inlineStr">
        <is>
          <t>SÖDERMANLANDS LÄN</t>
        </is>
      </c>
      <c r="E902" t="inlineStr">
        <is>
          <t>NYKÖPING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32836-2022</t>
        </is>
      </c>
      <c r="B903" s="1" t="n">
        <v>44784</v>
      </c>
      <c r="C903" s="1" t="n">
        <v>45785</v>
      </c>
      <c r="D903" t="inlineStr">
        <is>
          <t>SÖDERMANLANDS LÄN</t>
        </is>
      </c>
      <c r="E903" t="inlineStr">
        <is>
          <t>NYKÖPING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32875-2022</t>
        </is>
      </c>
      <c r="B904" s="1" t="n">
        <v>44784</v>
      </c>
      <c r="C904" s="1" t="n">
        <v>45785</v>
      </c>
      <c r="D904" t="inlineStr">
        <is>
          <t>SÖDERMANLANDS LÄN</t>
        </is>
      </c>
      <c r="E904" t="inlineStr">
        <is>
          <t>NYKÖPING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32928-2022</t>
        </is>
      </c>
      <c r="B905" s="1" t="n">
        <v>44784</v>
      </c>
      <c r="C905" s="1" t="n">
        <v>45785</v>
      </c>
      <c r="D905" t="inlineStr">
        <is>
          <t>SÖDERMANLANDS LÄN</t>
        </is>
      </c>
      <c r="E905" t="inlineStr">
        <is>
          <t>NYKÖPING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33706-2022</t>
        </is>
      </c>
      <c r="B906" s="1" t="n">
        <v>44789</v>
      </c>
      <c r="C906" s="1" t="n">
        <v>45785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Kyrkan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33769-2022</t>
        </is>
      </c>
      <c r="B907" s="1" t="n">
        <v>44789</v>
      </c>
      <c r="C907" s="1" t="n">
        <v>45785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33759-2022</t>
        </is>
      </c>
      <c r="B908" s="1" t="n">
        <v>44789</v>
      </c>
      <c r="C908" s="1" t="n">
        <v>45785</v>
      </c>
      <c r="D908" t="inlineStr">
        <is>
          <t>SÖDERMANLANDS LÄN</t>
        </is>
      </c>
      <c r="E908" t="inlineStr">
        <is>
          <t>NYKÖPING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33763-2022</t>
        </is>
      </c>
      <c r="B909" s="1" t="n">
        <v>44789</v>
      </c>
      <c r="C909" s="1" t="n">
        <v>45785</v>
      </c>
      <c r="D909" t="inlineStr">
        <is>
          <t>SÖDERMANLANDS LÄN</t>
        </is>
      </c>
      <c r="E909" t="inlineStr">
        <is>
          <t>NYKÖPING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33863-2022</t>
        </is>
      </c>
      <c r="B910" s="1" t="n">
        <v>44790</v>
      </c>
      <c r="C910" s="1" t="n">
        <v>45785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33875-2022</t>
        </is>
      </c>
      <c r="B911" s="1" t="n">
        <v>44790</v>
      </c>
      <c r="C911" s="1" t="n">
        <v>45785</v>
      </c>
      <c r="D911" t="inlineStr">
        <is>
          <t>SÖDERMANLANDS LÄN</t>
        </is>
      </c>
      <c r="E911" t="inlineStr">
        <is>
          <t>NYKÖPING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35252-2022</t>
        </is>
      </c>
      <c r="B912" s="1" t="n">
        <v>44798</v>
      </c>
      <c r="C912" s="1" t="n">
        <v>45785</v>
      </c>
      <c r="D912" t="inlineStr">
        <is>
          <t>SÖDERMANLANDS LÄN</t>
        </is>
      </c>
      <c r="E912" t="inlineStr">
        <is>
          <t>NYKÖPING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35532-2022</t>
        </is>
      </c>
      <c r="B913" s="1" t="n">
        <v>44799</v>
      </c>
      <c r="C913" s="1" t="n">
        <v>45785</v>
      </c>
      <c r="D913" t="inlineStr">
        <is>
          <t>SÖDERMANLANDS LÄN</t>
        </is>
      </c>
      <c r="E913" t="inlineStr">
        <is>
          <t>NYKÖPING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35836-2022</t>
        </is>
      </c>
      <c r="B914" s="1" t="n">
        <v>44800</v>
      </c>
      <c r="C914" s="1" t="n">
        <v>45785</v>
      </c>
      <c r="D914" t="inlineStr">
        <is>
          <t>SÖDERMANLANDS LÄN</t>
        </is>
      </c>
      <c r="E914" t="inlineStr">
        <is>
          <t>NYKÖPING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35824-2022</t>
        </is>
      </c>
      <c r="B915" s="1" t="n">
        <v>44800</v>
      </c>
      <c r="C915" s="1" t="n">
        <v>45785</v>
      </c>
      <c r="D915" t="inlineStr">
        <is>
          <t>SÖDERMANLANDS LÄN</t>
        </is>
      </c>
      <c r="E915" t="inlineStr">
        <is>
          <t>NYKÖPING</t>
        </is>
      </c>
      <c r="G915" t="n">
        <v>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35833-2022</t>
        </is>
      </c>
      <c r="B916" s="1" t="n">
        <v>44802</v>
      </c>
      <c r="C916" s="1" t="n">
        <v>45785</v>
      </c>
      <c r="D916" t="inlineStr">
        <is>
          <t>SÖDERMANLANDS LÄN</t>
        </is>
      </c>
      <c r="E916" t="inlineStr">
        <is>
          <t>NYKÖPING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36327-2022</t>
        </is>
      </c>
      <c r="B917" s="1" t="n">
        <v>44803</v>
      </c>
      <c r="C917" s="1" t="n">
        <v>45785</v>
      </c>
      <c r="D917" t="inlineStr">
        <is>
          <t>SÖDERMANLANDS LÄN</t>
        </is>
      </c>
      <c r="E917" t="inlineStr">
        <is>
          <t>NYKÖPING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36602-2022</t>
        </is>
      </c>
      <c r="B918" s="1" t="n">
        <v>44804</v>
      </c>
      <c r="C918" s="1" t="n">
        <v>45785</v>
      </c>
      <c r="D918" t="inlineStr">
        <is>
          <t>SÖDERMANLANDS LÄN</t>
        </is>
      </c>
      <c r="E918" t="inlineStr">
        <is>
          <t>NYKÖPING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36622-2022</t>
        </is>
      </c>
      <c r="B919" s="1" t="n">
        <v>44804</v>
      </c>
      <c r="C919" s="1" t="n">
        <v>45785</v>
      </c>
      <c r="D919" t="inlineStr">
        <is>
          <t>SÖDERMANLANDS LÄN</t>
        </is>
      </c>
      <c r="E919" t="inlineStr">
        <is>
          <t>NYKÖPING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36634-2022</t>
        </is>
      </c>
      <c r="B920" s="1" t="n">
        <v>44804</v>
      </c>
      <c r="C920" s="1" t="n">
        <v>45785</v>
      </c>
      <c r="D920" t="inlineStr">
        <is>
          <t>SÖDERMANLANDS LÄN</t>
        </is>
      </c>
      <c r="E920" t="inlineStr">
        <is>
          <t>NYKÖPING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37941-2022</t>
        </is>
      </c>
      <c r="B921" s="1" t="n">
        <v>44810</v>
      </c>
      <c r="C921" s="1" t="n">
        <v>45785</v>
      </c>
      <c r="D921" t="inlineStr">
        <is>
          <t>SÖDERMANLANDS LÄN</t>
        </is>
      </c>
      <c r="E921" t="inlineStr">
        <is>
          <t>NYKÖPING</t>
        </is>
      </c>
      <c r="G921" t="n">
        <v>13.5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38465-2022</t>
        </is>
      </c>
      <c r="B922" s="1" t="n">
        <v>44810</v>
      </c>
      <c r="C922" s="1" t="n">
        <v>45785</v>
      </c>
      <c r="D922" t="inlineStr">
        <is>
          <t>SÖDERMANLANDS LÄN</t>
        </is>
      </c>
      <c r="E922" t="inlineStr">
        <is>
          <t>NYKÖPING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37912-2022</t>
        </is>
      </c>
      <c r="B923" s="1" t="n">
        <v>44810</v>
      </c>
      <c r="C923" s="1" t="n">
        <v>45785</v>
      </c>
      <c r="D923" t="inlineStr">
        <is>
          <t>SÖDERMANLANDS LÄN</t>
        </is>
      </c>
      <c r="E923" t="inlineStr">
        <is>
          <t>NYKÖPING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37911-2022</t>
        </is>
      </c>
      <c r="B924" s="1" t="n">
        <v>44810</v>
      </c>
      <c r="C924" s="1" t="n">
        <v>45785</v>
      </c>
      <c r="D924" t="inlineStr">
        <is>
          <t>SÖDERMANLANDS LÄN</t>
        </is>
      </c>
      <c r="E924" t="inlineStr">
        <is>
          <t>NYKÖPING</t>
        </is>
      </c>
      <c r="G924" t="n">
        <v>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37885-2022</t>
        </is>
      </c>
      <c r="B925" s="1" t="n">
        <v>44811</v>
      </c>
      <c r="C925" s="1" t="n">
        <v>45785</v>
      </c>
      <c r="D925" t="inlineStr">
        <is>
          <t>SÖDERMANLANDS LÄN</t>
        </is>
      </c>
      <c r="E925" t="inlineStr">
        <is>
          <t>NYKÖPING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37903-2022</t>
        </is>
      </c>
      <c r="B926" s="1" t="n">
        <v>44811</v>
      </c>
      <c r="C926" s="1" t="n">
        <v>45785</v>
      </c>
      <c r="D926" t="inlineStr">
        <is>
          <t>SÖDERMANLANDS LÄN</t>
        </is>
      </c>
      <c r="E926" t="inlineStr">
        <is>
          <t>NYKÖPING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37908-2022</t>
        </is>
      </c>
      <c r="B927" s="1" t="n">
        <v>44811</v>
      </c>
      <c r="C927" s="1" t="n">
        <v>45785</v>
      </c>
      <c r="D927" t="inlineStr">
        <is>
          <t>SÖDERMANLANDS LÄN</t>
        </is>
      </c>
      <c r="E927" t="inlineStr">
        <is>
          <t>NYKÖPING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37907-2022</t>
        </is>
      </c>
      <c r="B928" s="1" t="n">
        <v>44811</v>
      </c>
      <c r="C928" s="1" t="n">
        <v>45785</v>
      </c>
      <c r="D928" t="inlineStr">
        <is>
          <t>SÖDERMANLANDS LÄN</t>
        </is>
      </c>
      <c r="E928" t="inlineStr">
        <is>
          <t>NYKÖPING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38155-2022</t>
        </is>
      </c>
      <c r="B929" s="1" t="n">
        <v>44812</v>
      </c>
      <c r="C929" s="1" t="n">
        <v>45785</v>
      </c>
      <c r="D929" t="inlineStr">
        <is>
          <t>SÖDERMANLANDS LÄN</t>
        </is>
      </c>
      <c r="E929" t="inlineStr">
        <is>
          <t>NYKÖPING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38166-2022</t>
        </is>
      </c>
      <c r="B930" s="1" t="n">
        <v>44812</v>
      </c>
      <c r="C930" s="1" t="n">
        <v>45785</v>
      </c>
      <c r="D930" t="inlineStr">
        <is>
          <t>SÖDERMANLANDS LÄN</t>
        </is>
      </c>
      <c r="E930" t="inlineStr">
        <is>
          <t>NYKÖPING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38173-2022</t>
        </is>
      </c>
      <c r="B931" s="1" t="n">
        <v>44812</v>
      </c>
      <c r="C931" s="1" t="n">
        <v>45785</v>
      </c>
      <c r="D931" t="inlineStr">
        <is>
          <t>SÖDERMANLANDS LÄN</t>
        </is>
      </c>
      <c r="E931" t="inlineStr">
        <is>
          <t>NYKÖPING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38317-2022</t>
        </is>
      </c>
      <c r="B932" s="1" t="n">
        <v>44812</v>
      </c>
      <c r="C932" s="1" t="n">
        <v>45785</v>
      </c>
      <c r="D932" t="inlineStr">
        <is>
          <t>SÖDERMANLANDS LÄN</t>
        </is>
      </c>
      <c r="E932" t="inlineStr">
        <is>
          <t>NYKÖPING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38368-2022</t>
        </is>
      </c>
      <c r="B933" s="1" t="n">
        <v>44812</v>
      </c>
      <c r="C933" s="1" t="n">
        <v>45785</v>
      </c>
      <c r="D933" t="inlineStr">
        <is>
          <t>SÖDERMANLANDS LÄN</t>
        </is>
      </c>
      <c r="E933" t="inlineStr">
        <is>
          <t>NYKÖPING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38372-2022</t>
        </is>
      </c>
      <c r="B934" s="1" t="n">
        <v>44812</v>
      </c>
      <c r="C934" s="1" t="n">
        <v>45785</v>
      </c>
      <c r="D934" t="inlineStr">
        <is>
          <t>SÖDERMANLANDS LÄN</t>
        </is>
      </c>
      <c r="E934" t="inlineStr">
        <is>
          <t>NYKÖPING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38410-2022</t>
        </is>
      </c>
      <c r="B935" s="1" t="n">
        <v>44812</v>
      </c>
      <c r="C935" s="1" t="n">
        <v>45785</v>
      </c>
      <c r="D935" t="inlineStr">
        <is>
          <t>SÖDERMANLANDS LÄN</t>
        </is>
      </c>
      <c r="E935" t="inlineStr">
        <is>
          <t>NYKÖPING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38459-2022</t>
        </is>
      </c>
      <c r="B936" s="1" t="n">
        <v>44813</v>
      </c>
      <c r="C936" s="1" t="n">
        <v>45785</v>
      </c>
      <c r="D936" t="inlineStr">
        <is>
          <t>SÖDERMANLANDS LÄN</t>
        </is>
      </c>
      <c r="E936" t="inlineStr">
        <is>
          <t>NYKÖPING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38468-2022</t>
        </is>
      </c>
      <c r="B937" s="1" t="n">
        <v>44813</v>
      </c>
      <c r="C937" s="1" t="n">
        <v>45785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39120-2022</t>
        </is>
      </c>
      <c r="B938" s="1" t="n">
        <v>44817</v>
      </c>
      <c r="C938" s="1" t="n">
        <v>45785</v>
      </c>
      <c r="D938" t="inlineStr">
        <is>
          <t>SÖDERMANLANDS LÄN</t>
        </is>
      </c>
      <c r="E938" t="inlineStr">
        <is>
          <t>NYKÖPING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39756-2022</t>
        </is>
      </c>
      <c r="B939" s="1" t="n">
        <v>44819</v>
      </c>
      <c r="C939" s="1" t="n">
        <v>45785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40911-2022</t>
        </is>
      </c>
      <c r="B940" s="1" t="n">
        <v>44820</v>
      </c>
      <c r="C940" s="1" t="n">
        <v>45785</v>
      </c>
      <c r="D940" t="inlineStr">
        <is>
          <t>SÖDERMANLANDS LÄN</t>
        </is>
      </c>
      <c r="E940" t="inlineStr">
        <is>
          <t>NYKÖPING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41107-2022</t>
        </is>
      </c>
      <c r="B941" s="1" t="n">
        <v>44825</v>
      </c>
      <c r="C941" s="1" t="n">
        <v>45785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Sveaskog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41133-2022</t>
        </is>
      </c>
      <c r="B942" s="1" t="n">
        <v>44825</v>
      </c>
      <c r="C942" s="1" t="n">
        <v>45785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41136-2022</t>
        </is>
      </c>
      <c r="B943" s="1" t="n">
        <v>44825</v>
      </c>
      <c r="C943" s="1" t="n">
        <v>45785</v>
      </c>
      <c r="D943" t="inlineStr">
        <is>
          <t>SÖDERMANLANDS LÄN</t>
        </is>
      </c>
      <c r="E943" t="inlineStr">
        <is>
          <t>NYKÖPING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41129-2022</t>
        </is>
      </c>
      <c r="B944" s="1" t="n">
        <v>44825</v>
      </c>
      <c r="C944" s="1" t="n">
        <v>45785</v>
      </c>
      <c r="D944" t="inlineStr">
        <is>
          <t>SÖDERMANLANDS LÄN</t>
        </is>
      </c>
      <c r="E944" t="inlineStr">
        <is>
          <t>NYKÖPING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41137-2022</t>
        </is>
      </c>
      <c r="B945" s="1" t="n">
        <v>44825</v>
      </c>
      <c r="C945" s="1" t="n">
        <v>45785</v>
      </c>
      <c r="D945" t="inlineStr">
        <is>
          <t>SÖDERMANLANDS LÄN</t>
        </is>
      </c>
      <c r="E945" t="inlineStr">
        <is>
          <t>NYKÖPING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41099-2022</t>
        </is>
      </c>
      <c r="B946" s="1" t="n">
        <v>44825</v>
      </c>
      <c r="C946" s="1" t="n">
        <v>45785</v>
      </c>
      <c r="D946" t="inlineStr">
        <is>
          <t>SÖDERMANLANDS LÄN</t>
        </is>
      </c>
      <c r="E946" t="inlineStr">
        <is>
          <t>NYKÖPING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41139-2022</t>
        </is>
      </c>
      <c r="B947" s="1" t="n">
        <v>44825</v>
      </c>
      <c r="C947" s="1" t="n">
        <v>45785</v>
      </c>
      <c r="D947" t="inlineStr">
        <is>
          <t>SÖDERMANLANDS LÄN</t>
        </is>
      </c>
      <c r="E947" t="inlineStr">
        <is>
          <t>NYKÖPING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41247-2022</t>
        </is>
      </c>
      <c r="B948" s="1" t="n">
        <v>44826</v>
      </c>
      <c r="C948" s="1" t="n">
        <v>45785</v>
      </c>
      <c r="D948" t="inlineStr">
        <is>
          <t>SÖDERMANLANDS LÄN</t>
        </is>
      </c>
      <c r="E948" t="inlineStr">
        <is>
          <t>NYKÖPING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41242-2022</t>
        </is>
      </c>
      <c r="B949" s="1" t="n">
        <v>44826</v>
      </c>
      <c r="C949" s="1" t="n">
        <v>45785</v>
      </c>
      <c r="D949" t="inlineStr">
        <is>
          <t>SÖDERMANLANDS LÄN</t>
        </is>
      </c>
      <c r="E949" t="inlineStr">
        <is>
          <t>NYKÖPING</t>
        </is>
      </c>
      <c r="G949" t="n">
        <v>17.2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41954-2022</t>
        </is>
      </c>
      <c r="B950" s="1" t="n">
        <v>44830</v>
      </c>
      <c r="C950" s="1" t="n">
        <v>45785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42092-2022</t>
        </is>
      </c>
      <c r="B951" s="1" t="n">
        <v>44830</v>
      </c>
      <c r="C951" s="1" t="n">
        <v>45785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42249-2022</t>
        </is>
      </c>
      <c r="B952" s="1" t="n">
        <v>44830</v>
      </c>
      <c r="C952" s="1" t="n">
        <v>45785</v>
      </c>
      <c r="D952" t="inlineStr">
        <is>
          <t>SÖDERMANLANDS LÄN</t>
        </is>
      </c>
      <c r="E952" t="inlineStr">
        <is>
          <t>NYKÖPING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42246-2022</t>
        </is>
      </c>
      <c r="B953" s="1" t="n">
        <v>44830</v>
      </c>
      <c r="C953" s="1" t="n">
        <v>45785</v>
      </c>
      <c r="D953" t="inlineStr">
        <is>
          <t>SÖDERMANLANDS LÄN</t>
        </is>
      </c>
      <c r="E953" t="inlineStr">
        <is>
          <t>NYKÖPING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42251-2022</t>
        </is>
      </c>
      <c r="B954" s="1" t="n">
        <v>44830</v>
      </c>
      <c r="C954" s="1" t="n">
        <v>45785</v>
      </c>
      <c r="D954" t="inlineStr">
        <is>
          <t>SÖDERMANLANDS LÄN</t>
        </is>
      </c>
      <c r="E954" t="inlineStr">
        <is>
          <t>NYKÖPING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42245-2022</t>
        </is>
      </c>
      <c r="B955" s="1" t="n">
        <v>44830</v>
      </c>
      <c r="C955" s="1" t="n">
        <v>45785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43498-2022</t>
        </is>
      </c>
      <c r="B956" s="1" t="n">
        <v>44837</v>
      </c>
      <c r="C956" s="1" t="n">
        <v>45785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43585-2022</t>
        </is>
      </c>
      <c r="B957" s="1" t="n">
        <v>44837</v>
      </c>
      <c r="C957" s="1" t="n">
        <v>45785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43497-2022</t>
        </is>
      </c>
      <c r="B958" s="1" t="n">
        <v>44837</v>
      </c>
      <c r="C958" s="1" t="n">
        <v>45785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43581-2022</t>
        </is>
      </c>
      <c r="B959" s="1" t="n">
        <v>44837</v>
      </c>
      <c r="C959" s="1" t="n">
        <v>45785</v>
      </c>
      <c r="D959" t="inlineStr">
        <is>
          <t>SÖDERMANLANDS LÄN</t>
        </is>
      </c>
      <c r="E959" t="inlineStr">
        <is>
          <t>NYKÖPING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43653-2022</t>
        </is>
      </c>
      <c r="B960" s="1" t="n">
        <v>44837</v>
      </c>
      <c r="C960" s="1" t="n">
        <v>45785</v>
      </c>
      <c r="D960" t="inlineStr">
        <is>
          <t>SÖDERMANLANDS LÄN</t>
        </is>
      </c>
      <c r="E960" t="inlineStr">
        <is>
          <t>NYKÖPING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43657-2022</t>
        </is>
      </c>
      <c r="B961" s="1" t="n">
        <v>44837</v>
      </c>
      <c r="C961" s="1" t="n">
        <v>45785</v>
      </c>
      <c r="D961" t="inlineStr">
        <is>
          <t>SÖDERMANLANDS LÄN</t>
        </is>
      </c>
      <c r="E961" t="inlineStr">
        <is>
          <t>NYKÖPING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43952-2022</t>
        </is>
      </c>
      <c r="B962" s="1" t="n">
        <v>44838</v>
      </c>
      <c r="C962" s="1" t="n">
        <v>45785</v>
      </c>
      <c r="D962" t="inlineStr">
        <is>
          <t>SÖDERMANLANDS LÄN</t>
        </is>
      </c>
      <c r="E962" t="inlineStr">
        <is>
          <t>NYKÖPING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43962-2022</t>
        </is>
      </c>
      <c r="B963" s="1" t="n">
        <v>44838</v>
      </c>
      <c r="C963" s="1" t="n">
        <v>45785</v>
      </c>
      <c r="D963" t="inlineStr">
        <is>
          <t>SÖDERMANLANDS LÄN</t>
        </is>
      </c>
      <c r="E963" t="inlineStr">
        <is>
          <t>NYKÖPING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44820-2022</t>
        </is>
      </c>
      <c r="B964" s="1" t="n">
        <v>44839</v>
      </c>
      <c r="C964" s="1" t="n">
        <v>45785</v>
      </c>
      <c r="D964" t="inlineStr">
        <is>
          <t>SÖDERMANLANDS LÄN</t>
        </is>
      </c>
      <c r="E964" t="inlineStr">
        <is>
          <t>NYKÖPING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44191-2022</t>
        </is>
      </c>
      <c r="B965" s="1" t="n">
        <v>44839</v>
      </c>
      <c r="C965" s="1" t="n">
        <v>45785</v>
      </c>
      <c r="D965" t="inlineStr">
        <is>
          <t>SÖDERMANLANDS LÄN</t>
        </is>
      </c>
      <c r="E965" t="inlineStr">
        <is>
          <t>NYKÖPING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44818-2022</t>
        </is>
      </c>
      <c r="B966" s="1" t="n">
        <v>44839</v>
      </c>
      <c r="C966" s="1" t="n">
        <v>45785</v>
      </c>
      <c r="D966" t="inlineStr">
        <is>
          <t>SÖDERMANLANDS LÄN</t>
        </is>
      </c>
      <c r="E966" t="inlineStr">
        <is>
          <t>NYKÖPING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44823-2022</t>
        </is>
      </c>
      <c r="B967" s="1" t="n">
        <v>44839</v>
      </c>
      <c r="C967" s="1" t="n">
        <v>45785</v>
      </c>
      <c r="D967" t="inlineStr">
        <is>
          <t>SÖDERMANLANDS LÄN</t>
        </is>
      </c>
      <c r="E967" t="inlineStr">
        <is>
          <t>NYKÖPING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44908-2022</t>
        </is>
      </c>
      <c r="B968" s="1" t="n">
        <v>44840</v>
      </c>
      <c r="C968" s="1" t="n">
        <v>45785</v>
      </c>
      <c r="D968" t="inlineStr">
        <is>
          <t>SÖDERMANLANDS LÄN</t>
        </is>
      </c>
      <c r="E968" t="inlineStr">
        <is>
          <t>NYKÖPING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45282-2022</t>
        </is>
      </c>
      <c r="B969" s="1" t="n">
        <v>44844</v>
      </c>
      <c r="C969" s="1" t="n">
        <v>45785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45922-2022</t>
        </is>
      </c>
      <c r="B970" s="1" t="n">
        <v>44846</v>
      </c>
      <c r="C970" s="1" t="n">
        <v>45785</v>
      </c>
      <c r="D970" t="inlineStr">
        <is>
          <t>SÖDERMANLANDS LÄN</t>
        </is>
      </c>
      <c r="E970" t="inlineStr">
        <is>
          <t>NYKÖPING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45930-2022</t>
        </is>
      </c>
      <c r="B971" s="1" t="n">
        <v>44846</v>
      </c>
      <c r="C971" s="1" t="n">
        <v>45785</v>
      </c>
      <c r="D971" t="inlineStr">
        <is>
          <t>SÖDERMANLANDS LÄN</t>
        </is>
      </c>
      <c r="E971" t="inlineStr">
        <is>
          <t>NYKÖPING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45926-2022</t>
        </is>
      </c>
      <c r="B972" s="1" t="n">
        <v>44846</v>
      </c>
      <c r="C972" s="1" t="n">
        <v>45785</v>
      </c>
      <c r="D972" t="inlineStr">
        <is>
          <t>SÖDERMANLANDS LÄN</t>
        </is>
      </c>
      <c r="E972" t="inlineStr">
        <is>
          <t>NYKÖPING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46245-2022</t>
        </is>
      </c>
      <c r="B973" s="1" t="n">
        <v>44846</v>
      </c>
      <c r="C973" s="1" t="n">
        <v>45785</v>
      </c>
      <c r="D973" t="inlineStr">
        <is>
          <t>SÖDERMANLANDS LÄN</t>
        </is>
      </c>
      <c r="E973" t="inlineStr">
        <is>
          <t>NYKÖPING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47372-2022</t>
        </is>
      </c>
      <c r="B974" s="1" t="n">
        <v>44853</v>
      </c>
      <c r="C974" s="1" t="n">
        <v>45785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47370-2022</t>
        </is>
      </c>
      <c r="B975" s="1" t="n">
        <v>44853</v>
      </c>
      <c r="C975" s="1" t="n">
        <v>45785</v>
      </c>
      <c r="D975" t="inlineStr">
        <is>
          <t>SÖDERMANLANDS LÄN</t>
        </is>
      </c>
      <c r="E975" t="inlineStr">
        <is>
          <t>NYKÖPING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48484-2022</t>
        </is>
      </c>
      <c r="B976" s="1" t="n">
        <v>44858</v>
      </c>
      <c r="C976" s="1" t="n">
        <v>45785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49223-2022</t>
        </is>
      </c>
      <c r="B977" s="1" t="n">
        <v>44858</v>
      </c>
      <c r="C977" s="1" t="n">
        <v>45785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statliga verk och myndigheter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48709-2022</t>
        </is>
      </c>
      <c r="B978" s="1" t="n">
        <v>44859</v>
      </c>
      <c r="C978" s="1" t="n">
        <v>45785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48836-2022</t>
        </is>
      </c>
      <c r="B979" s="1" t="n">
        <v>44859</v>
      </c>
      <c r="C979" s="1" t="n">
        <v>45785</v>
      </c>
      <c r="D979" t="inlineStr">
        <is>
          <t>SÖDERMANLANDS LÄN</t>
        </is>
      </c>
      <c r="E979" t="inlineStr">
        <is>
          <t>NYKÖPING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48841-2022</t>
        </is>
      </c>
      <c r="B980" s="1" t="n">
        <v>44859</v>
      </c>
      <c r="C980" s="1" t="n">
        <v>45785</v>
      </c>
      <c r="D980" t="inlineStr">
        <is>
          <t>SÖDERMANLANDS LÄN</t>
        </is>
      </c>
      <c r="E980" t="inlineStr">
        <is>
          <t>NYKÖPING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49763-2022</t>
        </is>
      </c>
      <c r="B981" s="1" t="n">
        <v>44862</v>
      </c>
      <c r="C981" s="1" t="n">
        <v>45785</v>
      </c>
      <c r="D981" t="inlineStr">
        <is>
          <t>SÖDERMANLANDS LÄN</t>
        </is>
      </c>
      <c r="E981" t="inlineStr">
        <is>
          <t>NYKÖPING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49942-2022</t>
        </is>
      </c>
      <c r="B982" s="1" t="n">
        <v>44865</v>
      </c>
      <c r="C982" s="1" t="n">
        <v>45785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50776-2022</t>
        </is>
      </c>
      <c r="B983" s="1" t="n">
        <v>44867</v>
      </c>
      <c r="C983" s="1" t="n">
        <v>45785</v>
      </c>
      <c r="D983" t="inlineStr">
        <is>
          <t>SÖDERMANLANDS LÄN</t>
        </is>
      </c>
      <c r="E983" t="inlineStr">
        <is>
          <t>NYKÖPING</t>
        </is>
      </c>
      <c r="G983" t="n">
        <v>13.4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51410-2022</t>
        </is>
      </c>
      <c r="B984" s="1" t="n">
        <v>44869</v>
      </c>
      <c r="C984" s="1" t="n">
        <v>45785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51338-2022</t>
        </is>
      </c>
      <c r="B985" s="1" t="n">
        <v>44869</v>
      </c>
      <c r="C985" s="1" t="n">
        <v>45785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51340-2022</t>
        </is>
      </c>
      <c r="B986" s="1" t="n">
        <v>44869</v>
      </c>
      <c r="C986" s="1" t="n">
        <v>45785</v>
      </c>
      <c r="D986" t="inlineStr">
        <is>
          <t>SÖDERMANLANDS LÄN</t>
        </is>
      </c>
      <c r="E986" t="inlineStr">
        <is>
          <t>NYKÖPING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51531-2022</t>
        </is>
      </c>
      <c r="B987" s="1" t="n">
        <v>44869</v>
      </c>
      <c r="C987" s="1" t="n">
        <v>45785</v>
      </c>
      <c r="D987" t="inlineStr">
        <is>
          <t>SÖDERMANLANDS LÄN</t>
        </is>
      </c>
      <c r="E987" t="inlineStr">
        <is>
          <t>NYKÖPING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51530-2022</t>
        </is>
      </c>
      <c r="B988" s="1" t="n">
        <v>44869</v>
      </c>
      <c r="C988" s="1" t="n">
        <v>45785</v>
      </c>
      <c r="D988" t="inlineStr">
        <is>
          <t>SÖDERMANLANDS LÄN</t>
        </is>
      </c>
      <c r="E988" t="inlineStr">
        <is>
          <t>NYKÖPING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51569-2022</t>
        </is>
      </c>
      <c r="B989" s="1" t="n">
        <v>44870</v>
      </c>
      <c r="C989" s="1" t="n">
        <v>45785</v>
      </c>
      <c r="D989" t="inlineStr">
        <is>
          <t>SÖDERMANLANDS LÄN</t>
        </is>
      </c>
      <c r="E989" t="inlineStr">
        <is>
          <t>NYKÖPING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52090-2022</t>
        </is>
      </c>
      <c r="B990" s="1" t="n">
        <v>44873</v>
      </c>
      <c r="C990" s="1" t="n">
        <v>45785</v>
      </c>
      <c r="D990" t="inlineStr">
        <is>
          <t>SÖDERMANLANDS LÄN</t>
        </is>
      </c>
      <c r="E990" t="inlineStr">
        <is>
          <t>NYKÖPING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52084-2022</t>
        </is>
      </c>
      <c r="B991" s="1" t="n">
        <v>44873</v>
      </c>
      <c r="C991" s="1" t="n">
        <v>45785</v>
      </c>
      <c r="D991" t="inlineStr">
        <is>
          <t>SÖDERMANLANDS LÄN</t>
        </is>
      </c>
      <c r="E991" t="inlineStr">
        <is>
          <t>NYKÖPING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45785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45785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45785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45785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45785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45785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45785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45785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45785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45785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45785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45785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45785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45785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45785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45785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45785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45785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45785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45785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45785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45785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45785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45785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45785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45785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45785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45785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45785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45785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45785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45785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45785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45785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45785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45785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45785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45785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45785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45785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45785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45785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45785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45785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45785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45785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45785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45785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45785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45785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45785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45785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45785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45785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45785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45785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45785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45785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45785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45785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45785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45785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45785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45785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45785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45785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45785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45785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45785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45785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45785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45785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45785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45785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45785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45785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45785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45785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45785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45785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45785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45785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45785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45785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45785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45785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45785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45785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45785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45785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45785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45785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45785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45785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45785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45785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45785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45785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45785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45785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45785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45785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45785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45785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45785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45785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45785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45785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45785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45785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45785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45785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45785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45785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45785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45785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45785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45785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45785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45785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45785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45785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45785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45785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45785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45785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45785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45785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45785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45785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45785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45785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45785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45785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45785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45785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45785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45785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45785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45785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45785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45785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45785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45785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45785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45785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45785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45785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45785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45785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45785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45785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45785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45785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45785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45785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45785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45785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45785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45785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45785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45785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45785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45785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45785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45785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45785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45785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45785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45785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45785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45785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45785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45785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45785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45785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45785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45785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45785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45785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45785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45785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45785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45785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45785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45785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45785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45785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45785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45785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45785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45785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45785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45785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45785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45785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45785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45785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45785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45785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45785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45785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45785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45785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45785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45785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45785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45785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45785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45785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45785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45785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45785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45785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45785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45785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45785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45785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45785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45785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45785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45785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45785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45785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45785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45785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45785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45785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45785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45785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45785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45785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45785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45785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45785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45785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45785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45785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45785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45785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45785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45785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45785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45785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45785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45785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45785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45785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45785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45785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45785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45785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45785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45785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45785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45785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45785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45785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45785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45785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45785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45785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45785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45785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45785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45785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45785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45785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45785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45785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45785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45785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45785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45785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45785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45785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45785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45785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45785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45785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45785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45785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45785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45785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45785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45785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45785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45785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45785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45785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45785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45785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45785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45785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45785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45785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45785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45785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45785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45785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45785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45785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45785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45785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45785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45785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45785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45785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45785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45785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45785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45785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45785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45785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45785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45785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45785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45785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45785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45785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45785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45785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45785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45785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45785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45785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45785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45785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45785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45785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45785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45785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45785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45785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45785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45785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45785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45785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45785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45785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45785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45785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45785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45785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45785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45785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45785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45785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45785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45785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45785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45785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45785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45785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45785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45785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45785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45785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45785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45785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45785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45785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45785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45785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45785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45785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45785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45785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45785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45785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45785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45785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45785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45785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45785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45785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45785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45785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45785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45785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45785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45785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45785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45785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45785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45785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45785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45785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45785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45785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45785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45785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45785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45785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45785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45785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45785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45785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45785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45785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45785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45785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45785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45785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45785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45785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45785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45785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45785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45785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45785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45785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45785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45785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45785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45785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45785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45785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45785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45785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45785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45785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45785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45785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45785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45785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45785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45785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45785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45785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45785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45785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45785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45785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45785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45785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45785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45785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45785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45785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45785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45785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45785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45785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45785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45785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45785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45785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45785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45785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45785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45785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45785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45785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45785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45785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45785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45785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45785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45785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45785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45785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45785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45785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45785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45785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45785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45785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45785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45785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45785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45785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45785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45785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45785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45785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45785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45785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45785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45785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45785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45785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45785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45785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45785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45785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45785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45785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45785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45785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45785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45785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45785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45785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45785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45785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45785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45785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45785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45785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45785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45785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45785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45785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45785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45785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45785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45785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45785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45785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45785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45785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45785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45785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45785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45785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45785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45785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45785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45785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45785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45785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45785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45785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45785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45785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45785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45785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45785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45785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45785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45785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45785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45785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45785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45785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45785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45785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45785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45785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45785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45785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45785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45785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45785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45785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45785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45785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45785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45785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45785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45785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45785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45785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45785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45785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45785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45785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45785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45785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45785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45785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45785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45785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45785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45785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45785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45785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45785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45785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45785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45785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45785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45785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45785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45785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45785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45785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45785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45785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45785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45785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45785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45785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45785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45785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45785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45785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45785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45785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45785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45785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45785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45785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45785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45785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45785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45785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45785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45785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45785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45785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45785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45785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45785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45785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45785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45785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45785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45785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45785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45785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45785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45785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45785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45785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45785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45785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45785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45785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45785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45785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45785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45785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45785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45785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45785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45785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45785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45785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45785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45785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45785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45785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45785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45785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45785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45785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45785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45785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45785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45785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45785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45785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45785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45785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45785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45785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45785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45785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45785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45785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45785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45785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45785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45785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45785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45785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45785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45785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45785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45785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45785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45785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45785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45785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45785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45785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45785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45785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45785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45785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45785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45785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45785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45785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45785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45785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45785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45785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45785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45785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45785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45785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45785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45785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45785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45785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45785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45785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45785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45785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45785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45785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45785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45785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45785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45785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45785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45785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45785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45785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45785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45785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45785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45785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45785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45785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45785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45785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45785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45785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45785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45785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45785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45785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45785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45785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45785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45785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45785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45785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45785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45785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45785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45785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45785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45785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45785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45785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45785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45785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45785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45785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45785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45785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45785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45785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45785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45785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45785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45785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45785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45785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45785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45785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45785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45785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45785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45785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45785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45785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45785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45785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45785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45785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45785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45785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45785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45785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45785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45785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45785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45785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45785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45785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45785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45785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45785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45785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45785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45785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45785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45785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45785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45785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45785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45785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45785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45785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45785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45785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45785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45785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45785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45785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45785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45785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45785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45785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45785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45785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45785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45785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45785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45785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45785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45785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45785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45785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45785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45785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45785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45785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45785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45785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45785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45785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45785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45785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45785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45785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45785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45785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45785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45785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45785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45785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15368-2025</t>
        </is>
      </c>
      <c r="B1810" s="1" t="n">
        <v>45747</v>
      </c>
      <c r="C1810" s="1" t="n">
        <v>45785</v>
      </c>
      <c r="D1810" t="inlineStr">
        <is>
          <t>SÖDERMANLANDS LÄN</t>
        </is>
      </c>
      <c r="E1810" t="inlineStr">
        <is>
          <t>NYKÖPING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15419-2025</t>
        </is>
      </c>
      <c r="B1811" s="1" t="n">
        <v>45747</v>
      </c>
      <c r="C1811" s="1" t="n">
        <v>45785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Sveaskog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45785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15418-2025</t>
        </is>
      </c>
      <c r="B1813" s="1" t="n">
        <v>45747</v>
      </c>
      <c r="C1813" s="1" t="n">
        <v>45785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15362-2025</t>
        </is>
      </c>
      <c r="B1814" s="1" t="n">
        <v>45747</v>
      </c>
      <c r="C1814" s="1" t="n">
        <v>45785</v>
      </c>
      <c r="D1814" t="inlineStr">
        <is>
          <t>SÖDERMANLANDS LÄN</t>
        </is>
      </c>
      <c r="E1814" t="inlineStr">
        <is>
          <t>NYKÖPING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15357-2025</t>
        </is>
      </c>
      <c r="B1815" s="1" t="n">
        <v>45747</v>
      </c>
      <c r="C1815" s="1" t="n">
        <v>45785</v>
      </c>
      <c r="D1815" t="inlineStr">
        <is>
          <t>SÖDERMANLANDS LÄN</t>
        </is>
      </c>
      <c r="E1815" t="inlineStr">
        <is>
          <t>NYKÖPING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45785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17283-2025</t>
        </is>
      </c>
      <c r="B1817" s="1" t="n">
        <v>45756</v>
      </c>
      <c r="C1817" s="1" t="n">
        <v>45785</v>
      </c>
      <c r="D1817" t="inlineStr">
        <is>
          <t>SÖDERMANLANDS LÄN</t>
        </is>
      </c>
      <c r="E1817" t="inlineStr">
        <is>
          <t>NYKÖPING</t>
        </is>
      </c>
      <c r="G1817" t="n">
        <v>11.5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17247-2025</t>
        </is>
      </c>
      <c r="B1818" s="1" t="n">
        <v>45756</v>
      </c>
      <c r="C1818" s="1" t="n">
        <v>45785</v>
      </c>
      <c r="D1818" t="inlineStr">
        <is>
          <t>SÖDERMANLANDS LÄN</t>
        </is>
      </c>
      <c r="E1818" t="inlineStr">
        <is>
          <t>NYKÖPING</t>
        </is>
      </c>
      <c r="F1818" t="inlineStr">
        <is>
          <t>Holmen skog AB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18204-2025</t>
        </is>
      </c>
      <c r="B1819" s="1" t="n">
        <v>45761</v>
      </c>
      <c r="C1819" s="1" t="n">
        <v>45785</v>
      </c>
      <c r="D1819" t="inlineStr">
        <is>
          <t>SÖDERMANLANDS LÄN</t>
        </is>
      </c>
      <c r="E1819" t="inlineStr">
        <is>
          <t>NYKÖPING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18478-2025</t>
        </is>
      </c>
      <c r="B1820" s="1" t="n">
        <v>45762</v>
      </c>
      <c r="C1820" s="1" t="n">
        <v>45785</v>
      </c>
      <c r="D1820" t="inlineStr">
        <is>
          <t>SÖDERMANLANDS LÄN</t>
        </is>
      </c>
      <c r="E1820" t="inlineStr">
        <is>
          <t>NYKÖPING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18479-2025</t>
        </is>
      </c>
      <c r="B1821" s="1" t="n">
        <v>45762</v>
      </c>
      <c r="C1821" s="1" t="n">
        <v>45785</v>
      </c>
      <c r="D1821" t="inlineStr">
        <is>
          <t>SÖDERMANLANDS LÄN</t>
        </is>
      </c>
      <c r="E1821" t="inlineStr">
        <is>
          <t>NYKÖPING</t>
        </is>
      </c>
      <c r="G1821" t="n">
        <v>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20486-2025</t>
        </is>
      </c>
      <c r="B1822" s="1" t="n">
        <v>45775</v>
      </c>
      <c r="C1822" s="1" t="n">
        <v>45785</v>
      </c>
      <c r="D1822" t="inlineStr">
        <is>
          <t>SÖDERMANLANDS LÄN</t>
        </is>
      </c>
      <c r="E1822" t="inlineStr">
        <is>
          <t>NYKÖPING</t>
        </is>
      </c>
      <c r="F1822" t="inlineStr">
        <is>
          <t>Kommuner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20482-2025</t>
        </is>
      </c>
      <c r="B1823" s="1" t="n">
        <v>45775</v>
      </c>
      <c r="C1823" s="1" t="n">
        <v>45785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>
      <c r="A1824" t="inlineStr">
        <is>
          <t>A 21310-2025</t>
        </is>
      </c>
      <c r="B1824" s="1" t="n">
        <v>45781</v>
      </c>
      <c r="C1824" s="1" t="n">
        <v>45785</v>
      </c>
      <c r="D1824" t="inlineStr">
        <is>
          <t>SÖDERMANLANDS LÄN</t>
        </is>
      </c>
      <c r="E1824" t="inlineStr">
        <is>
          <t>NYKÖPING</t>
        </is>
      </c>
      <c r="G1824" t="n">
        <v>11.4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2025-05-08T17:49:02Z</dcterms:created>
  <dcterms:modified xmlns:dcterms="http://purl.org/dc/terms/" xmlns:xsi="http://www.w3.org/2001/XMLSchema-instance" xsi:type="dcterms:W3CDTF">2025-05-08T17:49:03Z</dcterms:modified>
</cp:coreProperties>
</file>