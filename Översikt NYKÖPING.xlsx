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46298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46298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46298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46298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46298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46298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46298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46298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46298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46298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46298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46298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46298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46298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46298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46298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46298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46298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46298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63101-2025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46298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3.8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Motaggsvamp
Bronshjon
Mindre märgborre
Vedticka</t>
        </is>
      </c>
      <c r="W24">
        <f>HYPERLINK("https://klasma.github.io/Logging_0480/artfynd/A 63101-2025 artfynd.xlsx", "A 63101-2025")</f>
        <v/>
      </c>
      <c r="X24">
        <f>HYPERLINK("https://klasma.github.io/Logging_0480/kartor/A 63101-2025 karta.png", "A 63101-2025")</f>
        <v/>
      </c>
      <c r="Y24">
        <f>HYPERLINK("https://klasma.github.io/Logging_0480/kartor_geotiff/A 63101-2025 georefererad karta.tif", "A 63101-2025")</f>
        <v/>
      </c>
      <c r="AA24">
        <f>HYPERLINK("https://klasma.github.io/Logging_0480/klagomål/A 63101-2025 FSC-klagomål.docx", "A 63101-2025")</f>
        <v/>
      </c>
      <c r="AB24">
        <f>HYPERLINK("https://klasma.github.io/Logging_0480/klagomålsmail/A 63101-2025 FSC-klagomål mail.docx", "A 63101-2025")</f>
        <v/>
      </c>
      <c r="AC24">
        <f>HYPERLINK("https://klasma.github.io/Logging_0480/tillsyn/A 63101-2025 tillsynsbegäran.docx", "A 63101-2025")</f>
        <v/>
      </c>
      <c r="AD24">
        <f>HYPERLINK("https://klasma.github.io/Logging_0480/tillsynsmail/A 63101-2025 tillsynsbegäran mail.docx", "A 63101-2025")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46298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14855-2026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46298</v>
      </c>
      <c r="F26" t="inlineStr">
        <is>
          <t>SÖDERMANLANDS LÄN</t>
        </is>
      </c>
      <c r="G26" t="inlineStr">
        <is>
          <t>NYKÖPING</t>
        </is>
      </c>
      <c r="I26" t="n">
        <v>3.5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Phellodon aquiloniniger
Grönpyrola
Vanlig padda</t>
        </is>
      </c>
      <c r="W26">
        <f>HYPERLINK("https://klasma.github.io/Logging_0480/artfynd/A 14855-2026 artfynd.xlsx", "A 14855-2026")</f>
        <v/>
      </c>
      <c r="X26">
        <f>HYPERLINK("https://klasma.github.io/Logging_0480/kartor/A 14855-2026 karta.png", "A 14855-2026")</f>
        <v/>
      </c>
      <c r="Y26">
        <f>HYPERLINK("https://klasma.github.io/Logging_0480/kartor_geotiff/A 14855-2026 georefererad karta.tif", "A 14855-2026")</f>
        <v/>
      </c>
      <c r="AA26">
        <f>HYPERLINK("https://klasma.github.io/Logging_0480/klagomål/A 14855-2026 FSC-klagomål.docx", "A 14855-2026")</f>
        <v/>
      </c>
      <c r="AB26">
        <f>HYPERLINK("https://klasma.github.io/Logging_0480/klagomålsmail/A 14855-2026 FSC-klagomål mail.docx", "A 14855-2026")</f>
        <v/>
      </c>
      <c r="AC26">
        <f>HYPERLINK("https://klasma.github.io/Logging_0480/tillsyn/A 14855-2026 tillsynsbegäran.docx", "A 14855-2026")</f>
        <v/>
      </c>
      <c r="AD26">
        <f>HYPERLINK("https://klasma.github.io/Logging_0480/tillsynsmail/A 14855-2026 tillsynsbegäran mail.docx", "A 14855-2026")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46298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46298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46298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46298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46298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46298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46298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46298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46298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46298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46298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46298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57727-2025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45981</v>
      </c>
      <c r="E39" s="1" t="n">
        <v>46298</v>
      </c>
      <c r="F39" t="inlineStr">
        <is>
          <t>SÖDERMANLANDS LÄN</t>
        </is>
      </c>
      <c r="G39" t="inlineStr">
        <is>
          <t>NYKÖPING</t>
        </is>
      </c>
      <c r="I39" t="n">
        <v>9.6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Grönsångare
Spillkråka
Trana</t>
        </is>
      </c>
      <c r="W39">
        <f>HYPERLINK("https://klasma.github.io/Logging_0480/artfynd/A 57727-2025 artfynd.xlsx", "A 57727-2025")</f>
        <v/>
      </c>
      <c r="X39">
        <f>HYPERLINK("https://klasma.github.io/Logging_0480/kartor/A 57727-2025 karta.png", "A 57727-2025")</f>
        <v/>
      </c>
      <c r="Y39">
        <f>HYPERLINK("https://klasma.github.io/Logging_0480/kartor_geotiff/A 57727-2025 georefererad karta.tif", "A 57727-2025")</f>
        <v/>
      </c>
      <c r="AA39">
        <f>HYPERLINK("https://klasma.github.io/Logging_0480/klagomål/A 57727-2025 FSC-klagomål.docx", "A 57727-2025")</f>
        <v/>
      </c>
      <c r="AB39">
        <f>HYPERLINK("https://klasma.github.io/Logging_0480/klagomålsmail/A 57727-2025 FSC-klagomål mail.docx", "A 57727-2025")</f>
        <v/>
      </c>
      <c r="AC39">
        <f>HYPERLINK("https://klasma.github.io/Logging_0480/tillsyn/A 57727-2025 tillsynsbegäran.docx", "A 57727-2025")</f>
        <v/>
      </c>
      <c r="AD39">
        <f>HYPERLINK("https://klasma.github.io/Logging_0480/tillsynsmail/A 57727-2025 tillsynsbegäran mail.docx", "A 57727-2025")</f>
        <v/>
      </c>
      <c r="AE39">
        <f>HYPERLINK("https://klasma.github.io/Logging_0480/fåglar/A 57727-2025 prioriterade fågelarter.docx", "A 57727-2025")</f>
        <v/>
      </c>
    </row>
    <row r="40" ht="15" customHeight="1">
      <c r="A40" t="inlineStr">
        <is>
          <t>A 24092-2026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46166</v>
      </c>
      <c r="E40" s="1" t="n">
        <v>46298</v>
      </c>
      <c r="F40" t="inlineStr">
        <is>
          <t>SÖDERMANLANDS LÄN</t>
        </is>
      </c>
      <c r="G40" t="inlineStr">
        <is>
          <t>NYKÖPING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Blåbär
Vildkaprifol
Ängskovall</t>
        </is>
      </c>
      <c r="W40">
        <f>HYPERLINK("https://klasma.github.io/Logging_0480/artfynd/A 24092-2026 artfynd.xlsx", "A 24092-2026")</f>
        <v/>
      </c>
      <c r="X40">
        <f>HYPERLINK("https://klasma.github.io/Logging_0480/kartor/A 24092-2026 karta.png", "A 24092-2026")</f>
        <v/>
      </c>
      <c r="Y40">
        <f>HYPERLINK("https://klasma.github.io/Logging_0480/kartor_geotiff/A 24092-2026 georefererad karta.tif", "A 24092-2026")</f>
        <v/>
      </c>
      <c r="AA40">
        <f>HYPERLINK("https://klasma.github.io/Logging_0480/klagomål/A 24092-2026 FSC-klagomål.docx", "A 24092-2026")</f>
        <v/>
      </c>
      <c r="AB40">
        <f>HYPERLINK("https://klasma.github.io/Logging_0480/klagomålsmail/A 24092-2026 FSC-klagomål mail.docx", "A 24092-2026")</f>
        <v/>
      </c>
      <c r="AC40">
        <f>HYPERLINK("https://klasma.github.io/Logging_0480/tillsyn/A 24092-2026 tillsynsbegäran.docx", "A 24092-2026")</f>
        <v/>
      </c>
      <c r="AD40">
        <f>HYPERLINK("https://klasma.github.io/Logging_0480/tillsynsmail/A 24092-2026 tillsynsbegäran mail.docx", "A 24092-2026")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46298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46298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46298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5865-2024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45335</v>
      </c>
      <c r="E44" s="1" t="n">
        <v>46298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4.9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Entita
Fläcknycklar</t>
        </is>
      </c>
      <c r="W44">
        <f>HYPERLINK("https://klasma.github.io/Logging_0480/artfynd/A 5865-2024 artfynd.xlsx", "A 5865-2024")</f>
        <v/>
      </c>
      <c r="X44">
        <f>HYPERLINK("https://klasma.github.io/Logging_0480/kartor/A 5865-2024 karta.png", "A 5865-2024")</f>
        <v/>
      </c>
      <c r="Y44">
        <f>HYPERLINK("https://klasma.github.io/Logging_0480/kartor_geotiff/A 5865-2024 georefererad karta.tif", "A 5865-2024")</f>
        <v/>
      </c>
      <c r="AA44">
        <f>HYPERLINK("https://klasma.github.io/Logging_0480/klagomål/A 5865-2024 FSC-klagomål.docx", "A 5865-2024")</f>
        <v/>
      </c>
      <c r="AB44">
        <f>HYPERLINK("https://klasma.github.io/Logging_0480/klagomålsmail/A 5865-2024 FSC-klagomål mail.docx", "A 5865-2024")</f>
        <v/>
      </c>
      <c r="AC44">
        <f>HYPERLINK("https://klasma.github.io/Logging_0480/tillsyn/A 5865-2024 tillsynsbegäran.docx", "A 5865-2024")</f>
        <v/>
      </c>
      <c r="AD44">
        <f>HYPERLINK("https://klasma.github.io/Logging_0480/tillsynsmail/A 5865-2024 tillsynsbegäran mail.docx", "A 5865-2024")</f>
        <v/>
      </c>
      <c r="AE44">
        <f>HYPERLINK("https://klasma.github.io/Logging_0480/fåglar/A 5865-2024 prioriterade fågelarter.docx", "A 5865-2024")</f>
        <v/>
      </c>
    </row>
    <row r="45" ht="15" customHeight="1">
      <c r="A45" t="inlineStr">
        <is>
          <t>A 16078-2023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46298</v>
      </c>
      <c r="F45" t="inlineStr">
        <is>
          <t>SÖDERMANLANDS LÄN</t>
        </is>
      </c>
      <c r="G45" t="inlineStr">
        <is>
          <t>NYKÖPING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Rödlånke
Fläcknycklar</t>
        </is>
      </c>
      <c r="W45">
        <f>HYPERLINK("https://klasma.github.io/Logging_0480/artfynd/A 16078-2023 artfynd.xlsx", "A 16078-2023")</f>
        <v/>
      </c>
      <c r="X45">
        <f>HYPERLINK("https://klasma.github.io/Logging_0480/kartor/A 16078-2023 karta.png", "A 16078-2023")</f>
        <v/>
      </c>
      <c r="Y45">
        <f>HYPERLINK("https://klasma.github.io/Logging_0480/kartor_geotiff/A 16078-2023 georefererad karta.tif", "A 16078-2023")</f>
        <v/>
      </c>
      <c r="AA45">
        <f>HYPERLINK("https://klasma.github.io/Logging_0480/klagomål/A 16078-2023 FSC-klagomål.docx", "A 16078-2023")</f>
        <v/>
      </c>
      <c r="AB45">
        <f>HYPERLINK("https://klasma.github.io/Logging_0480/klagomålsmail/A 16078-2023 FSC-klagomål mail.docx", "A 16078-2023")</f>
        <v/>
      </c>
      <c r="AC45">
        <f>HYPERLINK("https://klasma.github.io/Logging_0480/tillsyn/A 16078-2023 tillsynsbegäran.docx", "A 16078-2023")</f>
        <v/>
      </c>
      <c r="AD45">
        <f>HYPERLINK("https://klasma.github.io/Logging_0480/tillsynsmail/A 16078-2023 tillsynsbegäran mail.docx", "A 16078-2023")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46298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6276-2026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46055</v>
      </c>
      <c r="E47" s="1" t="n">
        <v>46298</v>
      </c>
      <c r="F47" t="inlineStr">
        <is>
          <t>SÖDERMANLANDS LÄN</t>
        </is>
      </c>
      <c r="G47" t="inlineStr">
        <is>
          <t>NYKÖPING</t>
        </is>
      </c>
      <c r="I47" t="n">
        <v>9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Granbarkgnagare</t>
        </is>
      </c>
      <c r="W47">
        <f>HYPERLINK("https://klasma.github.io/Logging_0480/artfynd/A 6276-2026 artfynd.xlsx", "A 6276-2026")</f>
        <v/>
      </c>
      <c r="X47">
        <f>HYPERLINK("https://klasma.github.io/Logging_0480/kartor/A 6276-2026 karta.png", "A 6276-2026")</f>
        <v/>
      </c>
      <c r="Y47">
        <f>HYPERLINK("https://klasma.github.io/Logging_0480/kartor_geotiff/A 6276-2026 georefererad karta.tif", "A 6276-2026")</f>
        <v/>
      </c>
      <c r="AA47">
        <f>HYPERLINK("https://klasma.github.io/Logging_0480/klagomål/A 6276-2026 FSC-klagomål.docx", "A 6276-2026")</f>
        <v/>
      </c>
      <c r="AB47">
        <f>HYPERLINK("https://klasma.github.io/Logging_0480/klagomålsmail/A 6276-2026 FSC-klagomål mail.docx", "A 6276-2026")</f>
        <v/>
      </c>
      <c r="AC47">
        <f>HYPERLINK("https://klasma.github.io/Logging_0480/tillsyn/A 6276-2026 tillsynsbegäran.docx", "A 6276-2026")</f>
        <v/>
      </c>
      <c r="AD47">
        <f>HYPERLINK("https://klasma.github.io/Logging_0480/tillsynsmail/A 6276-2026 tillsynsbegäran mail.docx", "A 6276-2026")</f>
        <v/>
      </c>
      <c r="AE47">
        <f>HYPERLINK("https://klasma.github.io/Logging_0480/fåglar/A 6276-2026 prioriterade fågelarter.docx", "A 6276-2026")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46298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46298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14862-2026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46298</v>
      </c>
      <c r="F50" t="inlineStr">
        <is>
          <t>SÖDERMANLANDS LÄN</t>
        </is>
      </c>
      <c r="G50" t="inlineStr">
        <is>
          <t>NYKÖPING</t>
        </is>
      </c>
      <c r="I50" t="n">
        <v>10.8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Dropptaggsvamp
Blåbär</t>
        </is>
      </c>
      <c r="W50">
        <f>HYPERLINK("https://klasma.github.io/Logging_0480/artfynd/A 14862-2026 artfynd.xlsx", "A 14862-2026")</f>
        <v/>
      </c>
      <c r="X50">
        <f>HYPERLINK("https://klasma.github.io/Logging_0480/kartor/A 14862-2026 karta.png", "A 14862-2026")</f>
        <v/>
      </c>
      <c r="Y50">
        <f>HYPERLINK("https://klasma.github.io/Logging_0480/kartor_geotiff/A 14862-2026 georefererad karta.tif", "A 14862-2026")</f>
        <v/>
      </c>
      <c r="AA50">
        <f>HYPERLINK("https://klasma.github.io/Logging_0480/klagomål/A 14862-2026 FSC-klagomål.docx", "A 14862-2026")</f>
        <v/>
      </c>
      <c r="AB50">
        <f>HYPERLINK("https://klasma.github.io/Logging_0480/klagomålsmail/A 14862-2026 FSC-klagomål mail.docx", "A 14862-2026")</f>
        <v/>
      </c>
      <c r="AC50">
        <f>HYPERLINK("https://klasma.github.io/Logging_0480/tillsyn/A 14862-2026 tillsynsbegäran.docx", "A 14862-2026")</f>
        <v/>
      </c>
      <c r="AD50">
        <f>HYPERLINK("https://klasma.github.io/Logging_0480/tillsynsmail/A 14862-2026 tillsynsbegäran mail.docx", "A 14862-2026")</f>
        <v/>
      </c>
    </row>
    <row r="51" ht="15" customHeight="1">
      <c r="A51" t="inlineStr">
        <is>
          <t>A 58167-2025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45982</v>
      </c>
      <c r="E51" s="1" t="n">
        <v>46298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Grönpyrola
Mattlummer</t>
        </is>
      </c>
      <c r="W51">
        <f>HYPERLINK("https://klasma.github.io/Logging_0480/artfynd/A 58167-2025 artfynd.xlsx", "A 58167-2025")</f>
        <v/>
      </c>
      <c r="X51">
        <f>HYPERLINK("https://klasma.github.io/Logging_0480/kartor/A 58167-2025 karta.png", "A 58167-2025")</f>
        <v/>
      </c>
      <c r="Y51">
        <f>HYPERLINK("https://klasma.github.io/Logging_0480/kartor_geotiff/A 58167-2025 georefererad karta.tif", "A 58167-2025")</f>
        <v/>
      </c>
      <c r="AA51">
        <f>HYPERLINK("https://klasma.github.io/Logging_0480/klagomål/A 58167-2025 FSC-klagomål.docx", "A 58167-2025")</f>
        <v/>
      </c>
      <c r="AB51">
        <f>HYPERLINK("https://klasma.github.io/Logging_0480/klagomålsmail/A 58167-2025 FSC-klagomål mail.docx", "A 58167-2025")</f>
        <v/>
      </c>
      <c r="AC51">
        <f>HYPERLINK("https://klasma.github.io/Logging_0480/tillsyn/A 58167-2025 tillsynsbegäran.docx", "A 58167-2025")</f>
        <v/>
      </c>
      <c r="AD51">
        <f>HYPERLINK("https://klasma.github.io/Logging_0480/tillsynsmail/A 58167-2025 tillsynsbegäran mail.docx", "A 58167-2025")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46298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5857-2024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45335</v>
      </c>
      <c r="E53" s="1" t="n">
        <v>46298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1.9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Törnskata
Revlummer</t>
        </is>
      </c>
      <c r="W53">
        <f>HYPERLINK("https://klasma.github.io/Logging_0480/artfynd/A 5857-2024 artfynd.xlsx", "A 5857-2024")</f>
        <v/>
      </c>
      <c r="X53">
        <f>HYPERLINK("https://klasma.github.io/Logging_0480/kartor/A 5857-2024 karta.png", "A 5857-2024")</f>
        <v/>
      </c>
      <c r="Y53">
        <f>HYPERLINK("https://klasma.github.io/Logging_0480/kartor_geotiff/A 5857-2024 georefererad karta.tif", "A 5857-2024")</f>
        <v/>
      </c>
      <c r="AA53">
        <f>HYPERLINK("https://klasma.github.io/Logging_0480/klagomål/A 5857-2024 FSC-klagomål.docx", "A 5857-2024")</f>
        <v/>
      </c>
      <c r="AB53">
        <f>HYPERLINK("https://klasma.github.io/Logging_0480/klagomålsmail/A 5857-2024 FSC-klagomål mail.docx", "A 5857-2024")</f>
        <v/>
      </c>
      <c r="AC53">
        <f>HYPERLINK("https://klasma.github.io/Logging_0480/tillsyn/A 5857-2024 tillsynsbegäran.docx", "A 5857-2024")</f>
        <v/>
      </c>
      <c r="AD53">
        <f>HYPERLINK("https://klasma.github.io/Logging_0480/tillsynsmail/A 5857-2024 tillsynsbegäran mail.docx", "A 5857-2024")</f>
        <v/>
      </c>
      <c r="AE53">
        <f>HYPERLINK("https://klasma.github.io/Logging_0480/fåglar/A 5857-2024 prioriterade fågelarter.docx", "A 5857-2024")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46298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46298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29766-2022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46298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Broskvaxing
Kungsfågel</t>
        </is>
      </c>
      <c r="W56">
        <f>HYPERLINK("https://klasma.github.io/Logging_0480/artfynd/A 29766-2022 artfynd.xlsx", "A 29766-2022")</f>
        <v/>
      </c>
      <c r="X56">
        <f>HYPERLINK("https://klasma.github.io/Logging_0480/kartor/A 29766-2022 karta.png", "A 29766-2022")</f>
        <v/>
      </c>
      <c r="Y56">
        <f>HYPERLINK("https://klasma.github.io/Logging_0480/kartor_geotiff/A 29766-2022 georefererad karta.tif", "A 29766-2022")</f>
        <v/>
      </c>
      <c r="AA56">
        <f>HYPERLINK("https://klasma.github.io/Logging_0480/klagomål/A 29766-2022 FSC-klagomål.docx", "A 29766-2022")</f>
        <v/>
      </c>
      <c r="AB56">
        <f>HYPERLINK("https://klasma.github.io/Logging_0480/klagomålsmail/A 29766-2022 FSC-klagomål mail.docx", "A 29766-2022")</f>
        <v/>
      </c>
      <c r="AC56">
        <f>HYPERLINK("https://klasma.github.io/Logging_0480/tillsyn/A 29766-2022 tillsynsbegäran.docx", "A 29766-2022")</f>
        <v/>
      </c>
      <c r="AD56">
        <f>HYPERLINK("https://klasma.github.io/Logging_0480/tillsynsmail/A 29766-2022 tillsynsbegäran mail.docx", "A 29766-2022")</f>
        <v/>
      </c>
    </row>
    <row r="57" ht="15" customHeight="1">
      <c r="A57" t="inlineStr">
        <is>
          <t>A 56728-2025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46298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2.5</v>
      </c>
      <c r="J57" t="n">
        <v>2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t="n">
        <v>0</v>
      </c>
      <c r="V57" s="2" t="inlineStr">
        <is>
          <t>Sandödla
Vanlig snok</t>
        </is>
      </c>
      <c r="W57">
        <f>HYPERLINK("https://klasma.github.io/Logging_0480/artfynd/A 56728-2025 artfynd.xlsx", "A 56728-2025")</f>
        <v/>
      </c>
      <c r="X57">
        <f>HYPERLINK("https://klasma.github.io/Logging_0480/kartor/A 56728-2025 karta.png", "A 56728-2025")</f>
        <v/>
      </c>
      <c r="Y57">
        <f>HYPERLINK("https://klasma.github.io/Logging_0480/kartor_geotiff/A 56728-2025 georefererad karta.tif", "A 56728-2025")</f>
        <v/>
      </c>
      <c r="AA57">
        <f>HYPERLINK("https://klasma.github.io/Logging_0480/klagomål/A 56728-2025 FSC-klagomål.docx", "A 56728-2025")</f>
        <v/>
      </c>
      <c r="AB57">
        <f>HYPERLINK("https://klasma.github.io/Logging_0480/klagomålsmail/A 56728-2025 FSC-klagomål mail.docx", "A 56728-2025")</f>
        <v/>
      </c>
      <c r="AC57">
        <f>HYPERLINK("https://klasma.github.io/Logging_0480/tillsyn/A 56728-2025 tillsynsbegäran.docx", "A 56728-2025")</f>
        <v/>
      </c>
      <c r="AD57">
        <f>HYPERLINK("https://klasma.github.io/Logging_0480/tillsynsmail/A 56728-2025 tillsynsbegäran mail.docx", "A 56728-2025")</f>
        <v/>
      </c>
    </row>
    <row r="58" ht="15" customHeight="1">
      <c r="A58" t="inlineStr">
        <is>
          <t>A 56725-2025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46298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0.6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Vanlig snok
Revlummer</t>
        </is>
      </c>
      <c r="W58">
        <f>HYPERLINK("https://klasma.github.io/Logging_0480/artfynd/A 56725-2025 artfynd.xlsx", "A 56725-2025")</f>
        <v/>
      </c>
      <c r="X58">
        <f>HYPERLINK("https://klasma.github.io/Logging_0480/kartor/A 56725-2025 karta.png", "A 56725-2025")</f>
        <v/>
      </c>
      <c r="Y58">
        <f>HYPERLINK("https://klasma.github.io/Logging_0480/kartor_geotiff/A 56725-2025 georefererad karta.tif", "A 56725-2025")</f>
        <v/>
      </c>
      <c r="AA58">
        <f>HYPERLINK("https://klasma.github.io/Logging_0480/klagomål/A 56725-2025 FSC-klagomål.docx", "A 56725-2025")</f>
        <v/>
      </c>
      <c r="AB58">
        <f>HYPERLINK("https://klasma.github.io/Logging_0480/klagomålsmail/A 56725-2025 FSC-klagomål mail.docx", "A 56725-2025")</f>
        <v/>
      </c>
      <c r="AC58">
        <f>HYPERLINK("https://klasma.github.io/Logging_0480/tillsyn/A 56725-2025 tillsynsbegäran.docx", "A 56725-2025")</f>
        <v/>
      </c>
      <c r="AD58">
        <f>HYPERLINK("https://klasma.github.io/Logging_0480/tillsynsmail/A 56725-2025 tillsynsbegäran mail.docx", "A 56725-2025")</f>
        <v/>
      </c>
    </row>
    <row r="59" ht="15" customHeight="1">
      <c r="A59" t="inlineStr">
        <is>
          <t>A 38757-2026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46298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Motaggsvamp</t>
        </is>
      </c>
      <c r="W59">
        <f>HYPERLINK("https://klasma.github.io/Logging_0480/artfynd/A 38757-2026 artfynd.xlsx", "A 38757-2026")</f>
        <v/>
      </c>
      <c r="X59">
        <f>HYPERLINK("https://klasma.github.io/Logging_0480/kartor/A 38757-2026 karta.png", "A 38757-2026")</f>
        <v/>
      </c>
      <c r="Y59">
        <f>HYPERLINK("https://klasma.github.io/Logging_0480/kartor_geotiff/A 38757-2026 georefererad karta.tif", "A 38757-2026")</f>
        <v/>
      </c>
      <c r="AA59">
        <f>HYPERLINK("https://klasma.github.io/Logging_0480/klagomål/A 38757-2026 FSC-klagomål.docx", "A 38757-2026")</f>
        <v/>
      </c>
      <c r="AB59">
        <f>HYPERLINK("https://klasma.github.io/Logging_0480/klagomålsmail/A 38757-2026 FSC-klagomål mail.docx", "A 38757-2026")</f>
        <v/>
      </c>
      <c r="AC59">
        <f>HYPERLINK("https://klasma.github.io/Logging_0480/tillsyn/A 38757-2026 tillsynsbegäran.docx", "A 38757-2026")</f>
        <v/>
      </c>
      <c r="AD59">
        <f>HYPERLINK("https://klasma.github.io/Logging_0480/tillsynsmail/A 38757-2026 tillsynsbegäran mail.docx", "A 38757-2026")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46298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34310-2022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46298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7</v>
      </c>
      <c r="U61" t="n">
        <v>0</v>
      </c>
      <c r="V61" s="2" t="inlineStr">
        <is>
          <t>Bombmurkla
Grönpyrola</t>
        </is>
      </c>
      <c r="W61">
        <f>HYPERLINK("https://klasma.github.io/Logging_0480/artfynd/A 34310-2022 artfynd.xlsx", "A 34310-2022")</f>
        <v/>
      </c>
      <c r="X61">
        <f>HYPERLINK("https://klasma.github.io/Logging_0480/kartor/A 34310-2022 karta.png", "A 34310-2022")</f>
        <v/>
      </c>
      <c r="Y61">
        <f>HYPERLINK("https://klasma.github.io/Logging_0480/kartor_geotiff/A 34310-2022 georefererad karta.tif", "A 34310-2022")</f>
        <v/>
      </c>
      <c r="AA61">
        <f>HYPERLINK("https://klasma.github.io/Logging_0480/klagomål/A 34310-2022 FSC-klagomål.docx", "A 34310-2022")</f>
        <v/>
      </c>
      <c r="AB61">
        <f>HYPERLINK("https://klasma.github.io/Logging_0480/klagomålsmail/A 34310-2022 FSC-klagomål mail.docx", "A 34310-2022")</f>
        <v/>
      </c>
      <c r="AC61">
        <f>HYPERLINK("https://klasma.github.io/Logging_0480/tillsyn/A 34310-2022 tillsynsbegäran.docx", "A 34310-2022")</f>
        <v/>
      </c>
      <c r="AD61">
        <f>HYPERLINK("https://klasma.github.io/Logging_0480/tillsynsmail/A 34310-2022 tillsynsbegäran mail.docx", "A 34310-2022")</f>
        <v/>
      </c>
    </row>
    <row r="62" ht="15" customHeight="1">
      <c r="A62" t="inlineStr">
        <is>
          <t>A 55945-2025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46298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Blanksvart spiklav
Motaggsvamp</t>
        </is>
      </c>
      <c r="W62">
        <f>HYPERLINK("https://klasma.github.io/Logging_0480/artfynd/A 55945-2025 artfynd.xlsx", "A 55945-2025")</f>
        <v/>
      </c>
      <c r="X62">
        <f>HYPERLINK("https://klasma.github.io/Logging_0480/kartor/A 55945-2025 karta.png", "A 55945-2025")</f>
        <v/>
      </c>
      <c r="Y62">
        <f>HYPERLINK("https://klasma.github.io/Logging_0480/kartor_geotiff/A 55945-2025 georefererad karta.tif", "A 55945-2025")</f>
        <v/>
      </c>
      <c r="AA62">
        <f>HYPERLINK("https://klasma.github.io/Logging_0480/klagomål/A 55945-2025 FSC-klagomål.docx", "A 55945-2025")</f>
        <v/>
      </c>
      <c r="AB62">
        <f>HYPERLINK("https://klasma.github.io/Logging_0480/klagomålsmail/A 55945-2025 FSC-klagomål mail.docx", "A 55945-2025")</f>
        <v/>
      </c>
      <c r="AC62">
        <f>HYPERLINK("https://klasma.github.io/Logging_0480/tillsyn/A 55945-2025 tillsynsbegäran.docx", "A 55945-2025")</f>
        <v/>
      </c>
      <c r="AD62">
        <f>HYPERLINK("https://klasma.github.io/Logging_0480/tillsynsmail/A 55945-2025 tillsynsbegäran mail.docx", "A 55945-2025")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46298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46298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46298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46298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46298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46298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46298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54897-2021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46298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HYPERLINK("https://klasma.github.io/Logging_0480/artfynd/A 54897-2021 artfynd.xlsx", "A 54897-2021")</f>
        <v/>
      </c>
      <c r="X70">
        <f>HYPERLINK("https://klasma.github.io/Logging_0480/kartor/A 54897-2021 karta.png", "A 54897-2021")</f>
        <v/>
      </c>
      <c r="Y70">
        <f>HYPERLINK("https://klasma.github.io/Logging_0480/kartor_geotiff/A 54897-2021 georefererad karta.tif", "A 54897-2021")</f>
        <v/>
      </c>
      <c r="AA70">
        <f>HYPERLINK("https://klasma.github.io/Logging_0480/klagomål/A 54897-2021 FSC-klagomål.docx", "A 54897-2021")</f>
        <v/>
      </c>
      <c r="AB70">
        <f>HYPERLINK("https://klasma.github.io/Logging_0480/klagomålsmail/A 54897-2021 FSC-klagomål mail.docx", "A 54897-2021")</f>
        <v/>
      </c>
      <c r="AC70">
        <f>HYPERLINK("https://klasma.github.io/Logging_0480/tillsyn/A 54897-2021 tillsynsbegäran.docx", "A 54897-2021")</f>
        <v/>
      </c>
      <c r="AD70">
        <f>HYPERLINK("https://klasma.github.io/Logging_0480/tillsynsmail/A 54897-2021 tillsynsbegäran mail.docx", "A 54897-2021")</f>
        <v/>
      </c>
    </row>
    <row r="71" ht="15" customHeight="1">
      <c r="A71" t="inlineStr">
        <is>
          <t>A 56080-2024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46298</v>
      </c>
      <c r="F71" t="inlineStr">
        <is>
          <t>SÖDERMANLANDS LÄN</t>
        </is>
      </c>
      <c r="G71" t="inlineStr">
        <is>
          <t>NYKÖPING</t>
        </is>
      </c>
      <c r="I71" t="n">
        <v>5.5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HYPERLINK("https://klasma.github.io/Logging_0480/artfynd/A 56080-2024 artfynd.xlsx", "A 56080-2024")</f>
        <v/>
      </c>
      <c r="X71">
        <f>HYPERLINK("https://klasma.github.io/Logging_0480/kartor/A 56080-2024 karta.png", "A 56080-2024")</f>
        <v/>
      </c>
      <c r="Y71">
        <f>HYPERLINK("https://klasma.github.io/Logging_0480/kartor_geotiff/A 56080-2024 georefererad karta.tif", "A 56080-2024")</f>
        <v/>
      </c>
      <c r="AA71">
        <f>HYPERLINK("https://klasma.github.io/Logging_0480/klagomål/A 56080-2024 FSC-klagomål.docx", "A 56080-2024")</f>
        <v/>
      </c>
      <c r="AB71">
        <f>HYPERLINK("https://klasma.github.io/Logging_0480/klagomålsmail/A 56080-2024 FSC-klagomål mail.docx", "A 56080-2024")</f>
        <v/>
      </c>
      <c r="AC71">
        <f>HYPERLINK("https://klasma.github.io/Logging_0480/tillsyn/A 56080-2024 tillsynsbegäran.docx", "A 56080-2024")</f>
        <v/>
      </c>
      <c r="AD71">
        <f>HYPERLINK("https://klasma.github.io/Logging_0480/tillsynsmail/A 56080-2024 tillsynsbegäran mail.docx", "A 56080-2024")</f>
        <v/>
      </c>
    </row>
    <row r="72" ht="15" customHeight="1">
      <c r="A72" t="inlineStr">
        <is>
          <t>A 63423-2025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46298</v>
      </c>
      <c r="F72" t="inlineStr">
        <is>
          <t>SÖDERMANLANDS LÄN</t>
        </is>
      </c>
      <c r="G72" t="inlineStr">
        <is>
          <t>NYKÖPING</t>
        </is>
      </c>
      <c r="I72" t="n">
        <v>7.4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63423-2025 artfynd.xlsx", "A 63423-2025")</f>
        <v/>
      </c>
      <c r="X72">
        <f>HYPERLINK("https://klasma.github.io/Logging_0480/kartor/A 63423-2025 karta.png", "A 63423-2025")</f>
        <v/>
      </c>
      <c r="Y72">
        <f>HYPERLINK("https://klasma.github.io/Logging_0480/kartor_geotiff/A 63423-2025 georefererad karta.tif", "A 63423-2025")</f>
        <v/>
      </c>
      <c r="AA72">
        <f>HYPERLINK("https://klasma.github.io/Logging_0480/klagomål/A 63423-2025 FSC-klagomål.docx", "A 63423-2025")</f>
        <v/>
      </c>
      <c r="AB72">
        <f>HYPERLINK("https://klasma.github.io/Logging_0480/klagomålsmail/A 63423-2025 FSC-klagomål mail.docx", "A 63423-2025")</f>
        <v/>
      </c>
      <c r="AC72">
        <f>HYPERLINK("https://klasma.github.io/Logging_0480/tillsyn/A 63423-2025 tillsynsbegäran.docx", "A 63423-2025")</f>
        <v/>
      </c>
      <c r="AD72">
        <f>HYPERLINK("https://klasma.github.io/Logging_0480/tillsynsmail/A 63423-2025 tillsynsbegäran mail.docx", "A 63423-2025")</f>
        <v/>
      </c>
    </row>
    <row r="73" ht="15" customHeight="1">
      <c r="A73" t="inlineStr">
        <is>
          <t>A 1105-2023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46298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Skuggblåslav</t>
        </is>
      </c>
      <c r="W73">
        <f>HYPERLINK("https://klasma.github.io/Logging_0480/artfynd/A 1105-2023 artfynd.xlsx", "A 1105-2023")</f>
        <v/>
      </c>
      <c r="X73">
        <f>HYPERLINK("https://klasma.github.io/Logging_0480/kartor/A 1105-2023 karta.png", "A 1105-2023")</f>
        <v/>
      </c>
      <c r="Y73">
        <f>HYPERLINK("https://klasma.github.io/Logging_0480/kartor_geotiff/A 1105-2023 georefererad karta.tif", "A 1105-2023")</f>
        <v/>
      </c>
      <c r="AA73">
        <f>HYPERLINK("https://klasma.github.io/Logging_0480/klagomål/A 1105-2023 FSC-klagomål.docx", "A 1105-2023")</f>
        <v/>
      </c>
      <c r="AB73">
        <f>HYPERLINK("https://klasma.github.io/Logging_0480/klagomålsmail/A 1105-2023 FSC-klagomål mail.docx", "A 1105-2023")</f>
        <v/>
      </c>
      <c r="AC73">
        <f>HYPERLINK("https://klasma.github.io/Logging_0480/tillsyn/A 1105-2023 tillsynsbegäran.docx", "A 1105-2023")</f>
        <v/>
      </c>
      <c r="AD73">
        <f>HYPERLINK("https://klasma.github.io/Logging_0480/tillsynsmail/A 1105-2023 tillsynsbegäran mail.docx", "A 1105-2023")</f>
        <v/>
      </c>
    </row>
    <row r="74" ht="15" customHeight="1">
      <c r="A74" t="inlineStr">
        <is>
          <t>A 2829-2025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46298</v>
      </c>
      <c r="F74" t="inlineStr">
        <is>
          <t>SÖDERMANLANDS LÄN</t>
        </is>
      </c>
      <c r="G74" t="inlineStr">
        <is>
          <t>NYKÖPING</t>
        </is>
      </c>
      <c r="H74" t="inlineStr">
        <is>
          <t>Allmännings- och besparingsskogar</t>
        </is>
      </c>
      <c r="I74" t="n">
        <v>12.1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Nattskärra</t>
        </is>
      </c>
      <c r="W74">
        <f>HYPERLINK("https://klasma.github.io/Logging_0480/artfynd/A 2829-2025 artfynd.xlsx", "A 2829-2025")</f>
        <v/>
      </c>
      <c r="X74">
        <f>HYPERLINK("https://klasma.github.io/Logging_0480/kartor/A 2829-2025 karta.png", "A 2829-2025")</f>
        <v/>
      </c>
      <c r="Y74">
        <f>HYPERLINK("https://klasma.github.io/Logging_0480/kartor_geotiff/A 2829-2025 georefererad karta.tif", "A 2829-2025")</f>
        <v/>
      </c>
      <c r="AA74">
        <f>HYPERLINK("https://klasma.github.io/Logging_0480/klagomål/A 2829-2025 FSC-klagomål.docx", "A 2829-2025")</f>
        <v/>
      </c>
      <c r="AB74">
        <f>HYPERLINK("https://klasma.github.io/Logging_0480/klagomålsmail/A 2829-2025 FSC-klagomål mail.docx", "A 2829-2025")</f>
        <v/>
      </c>
      <c r="AC74">
        <f>HYPERLINK("https://klasma.github.io/Logging_0480/tillsyn/A 2829-2025 tillsynsbegäran.docx", "A 2829-2025")</f>
        <v/>
      </c>
      <c r="AD74">
        <f>HYPERLINK("https://klasma.github.io/Logging_0480/tillsynsmail/A 2829-2025 tillsynsbegäran mail.docx", "A 2829-2025")</f>
        <v/>
      </c>
      <c r="AE74">
        <f>HYPERLINK("https://klasma.github.io/Logging_0480/fåglar/A 2829-2025 prioriterade fågelarter.docx", "A 2829-2025")</f>
        <v/>
      </c>
    </row>
    <row r="75" ht="15" customHeight="1">
      <c r="A75" t="inlineStr">
        <is>
          <t>A 4305-2026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46298</v>
      </c>
      <c r="F75" t="inlineStr">
        <is>
          <t>SÖDERMANLANDS LÄN</t>
        </is>
      </c>
      <c r="G75" t="inlineStr">
        <is>
          <t>NYKÖPING</t>
        </is>
      </c>
      <c r="I75" t="n">
        <v>3.8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Tallticka</t>
        </is>
      </c>
      <c r="W75">
        <f>HYPERLINK("https://klasma.github.io/Logging_0480/artfynd/A 4305-2026 artfynd.xlsx", "A 4305-2026")</f>
        <v/>
      </c>
      <c r="X75">
        <f>HYPERLINK("https://klasma.github.io/Logging_0480/kartor/A 4305-2026 karta.png", "A 4305-2026")</f>
        <v/>
      </c>
      <c r="Y75">
        <f>HYPERLINK("https://klasma.github.io/Logging_0480/kartor_geotiff/A 4305-2026 georefererad karta.tif", "A 4305-2026")</f>
        <v/>
      </c>
      <c r="AA75">
        <f>HYPERLINK("https://klasma.github.io/Logging_0480/klagomål/A 4305-2026 FSC-klagomål.docx", "A 4305-2026")</f>
        <v/>
      </c>
      <c r="AB75">
        <f>HYPERLINK("https://klasma.github.io/Logging_0480/klagomålsmail/A 4305-2026 FSC-klagomål mail.docx", "A 4305-2026")</f>
        <v/>
      </c>
      <c r="AC75">
        <f>HYPERLINK("https://klasma.github.io/Logging_0480/tillsyn/A 4305-2026 tillsynsbegäran.docx", "A 4305-2026")</f>
        <v/>
      </c>
      <c r="AD75">
        <f>HYPERLINK("https://klasma.github.io/Logging_0480/tillsynsmail/A 4305-2026 tillsynsbegäran mail.docx", "A 4305-2026")</f>
        <v/>
      </c>
    </row>
    <row r="76" ht="15" customHeight="1">
      <c r="A76" t="inlineStr">
        <is>
          <t>A 45122-2025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46298</v>
      </c>
      <c r="F76" t="inlineStr">
        <is>
          <t>SÖDERMANLANDS LÄN</t>
        </is>
      </c>
      <c r="G76" t="inlineStr">
        <is>
          <t>NYKÖPING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HYPERLINK("https://klasma.github.io/Logging_0480/artfynd/A 45122-2025 artfynd.xlsx", "A 45122-2025")</f>
        <v/>
      </c>
      <c r="X76">
        <f>HYPERLINK("https://klasma.github.io/Logging_0480/kartor/A 45122-2025 karta.png", "A 45122-2025")</f>
        <v/>
      </c>
      <c r="Y76">
        <f>HYPERLINK("https://klasma.github.io/Logging_0480/kartor_geotiff/A 45122-2025 georefererad karta.tif", "A 45122-2025")</f>
        <v/>
      </c>
      <c r="AA76">
        <f>HYPERLINK("https://klasma.github.io/Logging_0480/klagomål/A 45122-2025 FSC-klagomål.docx", "A 45122-2025")</f>
        <v/>
      </c>
      <c r="AB76">
        <f>HYPERLINK("https://klasma.github.io/Logging_0480/klagomålsmail/A 45122-2025 FSC-klagomål mail.docx", "A 45122-2025")</f>
        <v/>
      </c>
      <c r="AC76">
        <f>HYPERLINK("https://klasma.github.io/Logging_0480/tillsyn/A 45122-2025 tillsynsbegäran.docx", "A 45122-2025")</f>
        <v/>
      </c>
      <c r="AD76">
        <f>HYPERLINK("https://klasma.github.io/Logging_0480/tillsynsmail/A 45122-2025 tillsynsbegäran mail.docx", "A 45122-2025")</f>
        <v/>
      </c>
      <c r="AE76">
        <f>HYPERLINK("https://klasma.github.io/Logging_0480/fåglar/A 45122-2025 prioriterade fågelarter.docx", "A 45122-2025")</f>
        <v/>
      </c>
    </row>
    <row r="77" ht="15" customHeight="1">
      <c r="A77" t="inlineStr">
        <is>
          <t>A 65889-2021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46298</v>
      </c>
      <c r="F77" t="inlineStr">
        <is>
          <t>SÖDERMANLANDS LÄN</t>
        </is>
      </c>
      <c r="G77" t="inlineStr">
        <is>
          <t>NYKÖPING</t>
        </is>
      </c>
      <c r="I77" t="n">
        <v>4.8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Backstarr</t>
        </is>
      </c>
      <c r="W77">
        <f>HYPERLINK("https://klasma.github.io/Logging_0480/artfynd/A 65889-2021 artfynd.xlsx", "A 65889-2021")</f>
        <v/>
      </c>
      <c r="X77">
        <f>HYPERLINK("https://klasma.github.io/Logging_0480/kartor/A 65889-2021 karta.png", "A 65889-2021")</f>
        <v/>
      </c>
      <c r="Y77">
        <f>HYPERLINK("https://klasma.github.io/Logging_0480/kartor_geotiff/A 65889-2021 georefererad karta.tif", "A 65889-2021")</f>
        <v/>
      </c>
      <c r="AA77">
        <f>HYPERLINK("https://klasma.github.io/Logging_0480/klagomål/A 65889-2021 FSC-klagomål.docx", "A 65889-2021")</f>
        <v/>
      </c>
      <c r="AB77">
        <f>HYPERLINK("https://klasma.github.io/Logging_0480/klagomålsmail/A 65889-2021 FSC-klagomål mail.docx", "A 65889-2021")</f>
        <v/>
      </c>
      <c r="AC77">
        <f>HYPERLINK("https://klasma.github.io/Logging_0480/tillsyn/A 65889-2021 tillsynsbegäran.docx", "A 65889-2021")</f>
        <v/>
      </c>
      <c r="AD77">
        <f>HYPERLINK("https://klasma.github.io/Logging_0480/tillsynsmail/A 65889-2021 tillsynsbegäran mail.docx", "A 65889-2021")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46298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50014-2025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46298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4.9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Sexfläckig bastardsvärmare</t>
        </is>
      </c>
      <c r="W79">
        <f>HYPERLINK("https://klasma.github.io/Logging_0480/artfynd/A 50014-2025 artfynd.xlsx", "A 50014-2025")</f>
        <v/>
      </c>
      <c r="X79">
        <f>HYPERLINK("https://klasma.github.io/Logging_0480/kartor/A 50014-2025 karta.png", "A 50014-2025")</f>
        <v/>
      </c>
      <c r="Y79">
        <f>HYPERLINK("https://klasma.github.io/Logging_0480/kartor_geotiff/A 50014-2025 georefererad karta.tif", "A 50014-2025")</f>
        <v/>
      </c>
      <c r="AA79">
        <f>HYPERLINK("https://klasma.github.io/Logging_0480/klagomål/A 50014-2025 FSC-klagomål.docx", "A 50014-2025")</f>
        <v/>
      </c>
      <c r="AB79">
        <f>HYPERLINK("https://klasma.github.io/Logging_0480/klagomålsmail/A 50014-2025 FSC-klagomål mail.docx", "A 50014-2025")</f>
        <v/>
      </c>
      <c r="AC79">
        <f>HYPERLINK("https://klasma.github.io/Logging_0480/tillsyn/A 50014-2025 tillsynsbegäran.docx", "A 50014-2025")</f>
        <v/>
      </c>
      <c r="AD79">
        <f>HYPERLINK("https://klasma.github.io/Logging_0480/tillsynsmail/A 50014-2025 tillsynsbegäran mail.docx", "A 50014-2025")</f>
        <v/>
      </c>
    </row>
    <row r="80" ht="15" customHeight="1">
      <c r="A80" t="inlineStr">
        <is>
          <t>A 50871-2025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46298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HYPERLINK("https://klasma.github.io/Logging_0480/artfynd/A 50871-2025 artfynd.xlsx", "A 50871-2025")</f>
        <v/>
      </c>
      <c r="X80">
        <f>HYPERLINK("https://klasma.github.io/Logging_0480/kartor/A 50871-2025 karta.png", "A 50871-2025")</f>
        <v/>
      </c>
      <c r="Y80">
        <f>HYPERLINK("https://klasma.github.io/Logging_0480/kartor_geotiff/A 50871-2025 georefererad karta.tif", "A 50871-2025")</f>
        <v/>
      </c>
      <c r="AA80">
        <f>HYPERLINK("https://klasma.github.io/Logging_0480/klagomål/A 50871-2025 FSC-klagomål.docx", "A 50871-2025")</f>
        <v/>
      </c>
      <c r="AB80">
        <f>HYPERLINK("https://klasma.github.io/Logging_0480/klagomålsmail/A 50871-2025 FSC-klagomål mail.docx", "A 50871-2025")</f>
        <v/>
      </c>
      <c r="AC80">
        <f>HYPERLINK("https://klasma.github.io/Logging_0480/tillsyn/A 50871-2025 tillsynsbegäran.docx", "A 50871-2025")</f>
        <v/>
      </c>
      <c r="AD80">
        <f>HYPERLINK("https://klasma.github.io/Logging_0480/tillsynsmail/A 50871-2025 tillsynsbegäran mail.docx", "A 50871-2025")</f>
        <v/>
      </c>
      <c r="AE80">
        <f>HYPERLINK("https://klasma.github.io/Logging_0480/fåglar/A 50871-2025 prioriterade fågelarter.docx", "A 50871-2025")</f>
        <v/>
      </c>
    </row>
    <row r="81" ht="15" customHeight="1">
      <c r="A81" t="inlineStr">
        <is>
          <t>A 10886-2026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46298</v>
      </c>
      <c r="F81" t="inlineStr">
        <is>
          <t>SÖDERMANLANDS LÄN</t>
        </is>
      </c>
      <c r="G81" t="inlineStr">
        <is>
          <t>NYKÖPING</t>
        </is>
      </c>
      <c r="I81" t="n">
        <v>2.5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HYPERLINK("https://klasma.github.io/Logging_0480/artfynd/A 10886-2026 artfynd.xlsx", "A 10886-2026")</f>
        <v/>
      </c>
      <c r="X81">
        <f>HYPERLINK("https://klasma.github.io/Logging_0480/kartor/A 10886-2026 karta.png", "A 10886-2026")</f>
        <v/>
      </c>
      <c r="Y81">
        <f>HYPERLINK("https://klasma.github.io/Logging_0480/kartor_geotiff/A 10886-2026 georefererad karta.tif", "A 10886-2026")</f>
        <v/>
      </c>
      <c r="AA81">
        <f>HYPERLINK("https://klasma.github.io/Logging_0480/klagomål/A 10886-2026 FSC-klagomål.docx", "A 10886-2026")</f>
        <v/>
      </c>
      <c r="AB81">
        <f>HYPERLINK("https://klasma.github.io/Logging_0480/klagomålsmail/A 10886-2026 FSC-klagomål mail.docx", "A 10886-2026")</f>
        <v/>
      </c>
      <c r="AC81">
        <f>HYPERLINK("https://klasma.github.io/Logging_0480/tillsyn/A 10886-2026 tillsynsbegäran.docx", "A 10886-2026")</f>
        <v/>
      </c>
      <c r="AD81">
        <f>HYPERLINK("https://klasma.github.io/Logging_0480/tillsynsmail/A 10886-2026 tillsynsbegäran mail.docx", "A 10886-2026")</f>
        <v/>
      </c>
    </row>
    <row r="82" ht="15" customHeight="1">
      <c r="A82" t="inlineStr">
        <is>
          <t>A 52384-2025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46298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Törnskata</t>
        </is>
      </c>
      <c r="W82">
        <f>HYPERLINK("https://klasma.github.io/Logging_0480/artfynd/A 52384-2025 artfynd.xlsx", "A 52384-2025")</f>
        <v/>
      </c>
      <c r="X82">
        <f>HYPERLINK("https://klasma.github.io/Logging_0480/kartor/A 52384-2025 karta.png", "A 52384-2025")</f>
        <v/>
      </c>
      <c r="Y82">
        <f>HYPERLINK("https://klasma.github.io/Logging_0480/kartor_geotiff/A 52384-2025 georefererad karta.tif", "A 52384-2025")</f>
        <v/>
      </c>
      <c r="AA82">
        <f>HYPERLINK("https://klasma.github.io/Logging_0480/klagomål/A 52384-2025 FSC-klagomål.docx", "A 52384-2025")</f>
        <v/>
      </c>
      <c r="AB82">
        <f>HYPERLINK("https://klasma.github.io/Logging_0480/klagomålsmail/A 52384-2025 FSC-klagomål mail.docx", "A 52384-2025")</f>
        <v/>
      </c>
      <c r="AC82">
        <f>HYPERLINK("https://klasma.github.io/Logging_0480/tillsyn/A 52384-2025 tillsynsbegäran.docx", "A 52384-2025")</f>
        <v/>
      </c>
      <c r="AD82">
        <f>HYPERLINK("https://klasma.github.io/Logging_0480/tillsynsmail/A 52384-2025 tillsynsbegäran mail.docx", "A 52384-2025")</f>
        <v/>
      </c>
      <c r="AE82">
        <f>HYPERLINK("https://klasma.github.io/Logging_0480/fåglar/A 52384-2025 prioriterade fågelarter.docx", "A 52384-2025")</f>
        <v/>
      </c>
    </row>
    <row r="83" ht="15" customHeight="1">
      <c r="A83" t="inlineStr">
        <is>
          <t>A 28704-2025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46298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HYPERLINK("https://klasma.github.io/Logging_0480/artfynd/A 28704-2025 artfynd.xlsx", "A 28704-2025")</f>
        <v/>
      </c>
      <c r="X83">
        <f>HYPERLINK("https://klasma.github.io/Logging_0480/kartor/A 28704-2025 karta.png", "A 28704-2025")</f>
        <v/>
      </c>
      <c r="Y83">
        <f>HYPERLINK("https://klasma.github.io/Logging_0480/kartor_geotiff/A 28704-2025 georefererad karta.tif", "A 28704-2025")</f>
        <v/>
      </c>
      <c r="AA83">
        <f>HYPERLINK("https://klasma.github.io/Logging_0480/klagomål/A 28704-2025 FSC-klagomål.docx", "A 28704-2025")</f>
        <v/>
      </c>
      <c r="AB83">
        <f>HYPERLINK("https://klasma.github.io/Logging_0480/klagomålsmail/A 28704-2025 FSC-klagomål mail.docx", "A 28704-2025")</f>
        <v/>
      </c>
      <c r="AC83">
        <f>HYPERLINK("https://klasma.github.io/Logging_0480/tillsyn/A 28704-2025 tillsynsbegäran.docx", "A 28704-2025")</f>
        <v/>
      </c>
      <c r="AD83">
        <f>HYPERLINK("https://klasma.github.io/Logging_0480/tillsynsmail/A 28704-2025 tillsynsbegäran mail.docx", "A 28704-2025")</f>
        <v/>
      </c>
    </row>
    <row r="84" ht="15" customHeight="1">
      <c r="A84" t="inlineStr">
        <is>
          <t>A 59905-2025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46298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HYPERLINK("https://klasma.github.io/Logging_0480/artfynd/A 59905-2025 artfynd.xlsx", "A 59905-2025")</f>
        <v/>
      </c>
      <c r="X84">
        <f>HYPERLINK("https://klasma.github.io/Logging_0480/kartor/A 59905-2025 karta.png", "A 59905-2025")</f>
        <v/>
      </c>
      <c r="Y84">
        <f>HYPERLINK("https://klasma.github.io/Logging_0480/kartor_geotiff/A 59905-2025 georefererad karta.tif", "A 59905-2025")</f>
        <v/>
      </c>
      <c r="AA84">
        <f>HYPERLINK("https://klasma.github.io/Logging_0480/klagomål/A 59905-2025 FSC-klagomål.docx", "A 59905-2025")</f>
        <v/>
      </c>
      <c r="AB84">
        <f>HYPERLINK("https://klasma.github.io/Logging_0480/klagomålsmail/A 59905-2025 FSC-klagomål mail.docx", "A 59905-2025")</f>
        <v/>
      </c>
      <c r="AC84">
        <f>HYPERLINK("https://klasma.github.io/Logging_0480/tillsyn/A 59905-2025 tillsynsbegäran.docx", "A 59905-2025")</f>
        <v/>
      </c>
      <c r="AD84">
        <f>HYPERLINK("https://klasma.github.io/Logging_0480/tillsynsmail/A 59905-2025 tillsynsbegäran mail.docx", "A 59905-2025")</f>
        <v/>
      </c>
    </row>
    <row r="85" ht="15" customHeight="1">
      <c r="A85" t="inlineStr">
        <is>
          <t>A 7270-2025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45702</v>
      </c>
      <c r="E85" s="1" t="n">
        <v>46298</v>
      </c>
      <c r="F85" t="inlineStr">
        <is>
          <t>SÖDERMANLANDS LÄN</t>
        </is>
      </c>
      <c r="G85" t="inlineStr">
        <is>
          <t>NYKÖPING</t>
        </is>
      </c>
      <c r="H85" t="inlineStr">
        <is>
          <t>Övriga Aktiebolag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HYPERLINK("https://klasma.github.io/Logging_0480/artfynd/A 7270-2025 artfynd.xlsx", "A 7270-2025")</f>
        <v/>
      </c>
      <c r="X85">
        <f>HYPERLINK("https://klasma.github.io/Logging_0480/kartor/A 7270-2025 karta.png", "A 7270-2025")</f>
        <v/>
      </c>
      <c r="Y85">
        <f>HYPERLINK("https://klasma.github.io/Logging_0480/kartor_geotiff/A 7270-2025 georefererad karta.tif", "A 7270-2025")</f>
        <v/>
      </c>
      <c r="AA85">
        <f>HYPERLINK("https://klasma.github.io/Logging_0480/klagomål/A 7270-2025 FSC-klagomål.docx", "A 7270-2025")</f>
        <v/>
      </c>
      <c r="AB85">
        <f>HYPERLINK("https://klasma.github.io/Logging_0480/klagomålsmail/A 7270-2025 FSC-klagomål mail.docx", "A 7270-2025")</f>
        <v/>
      </c>
      <c r="AC85">
        <f>HYPERLINK("https://klasma.github.io/Logging_0480/tillsyn/A 7270-2025 tillsynsbegäran.docx", "A 7270-2025")</f>
        <v/>
      </c>
      <c r="AD85">
        <f>HYPERLINK("https://klasma.github.io/Logging_0480/tillsynsmail/A 7270-2025 tillsynsbegäran mail.docx", "A 7270-2025")</f>
        <v/>
      </c>
      <c r="AE85">
        <f>HYPERLINK("https://klasma.github.io/Logging_0480/fåglar/A 7270-2025 prioriterade fågelarter.docx", "A 7270-2025")</f>
        <v/>
      </c>
    </row>
    <row r="86" ht="15" customHeight="1">
      <c r="A86" t="inlineStr">
        <is>
          <t>A 59329-2023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46298</v>
      </c>
      <c r="F86" t="inlineStr">
        <is>
          <t>SÖDERMANLANDS LÄN</t>
        </is>
      </c>
      <c r="G86" t="inlineStr">
        <is>
          <t>NYKÖPING</t>
        </is>
      </c>
      <c r="I86" t="n">
        <v>22.1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59329-2023 artfynd.xlsx", "A 59329-2023")</f>
        <v/>
      </c>
      <c r="X86">
        <f>HYPERLINK("https://klasma.github.io/Logging_0480/kartor/A 59329-2023 karta.png", "A 59329-2023")</f>
        <v/>
      </c>
      <c r="Y86">
        <f>HYPERLINK("https://klasma.github.io/Logging_0480/kartor_geotiff/A 59329-2023 georefererad karta.tif", "A 59329-2023")</f>
        <v/>
      </c>
      <c r="AA86">
        <f>HYPERLINK("https://klasma.github.io/Logging_0480/klagomål/A 59329-2023 FSC-klagomål.docx", "A 59329-2023")</f>
        <v/>
      </c>
      <c r="AB86">
        <f>HYPERLINK("https://klasma.github.io/Logging_0480/klagomålsmail/A 59329-2023 FSC-klagomål mail.docx", "A 59329-2023")</f>
        <v/>
      </c>
      <c r="AC86">
        <f>HYPERLINK("https://klasma.github.io/Logging_0480/tillsyn/A 59329-2023 tillsynsbegäran.docx", "A 59329-2023")</f>
        <v/>
      </c>
      <c r="AD86">
        <f>HYPERLINK("https://klasma.github.io/Logging_0480/tillsynsmail/A 59329-2023 tillsynsbegäran mail.docx", "A 59329-2023")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46298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8387-2024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46298</v>
      </c>
      <c r="F88" t="inlineStr">
        <is>
          <t>SÖDERMANLANDS LÄN</t>
        </is>
      </c>
      <c r="G88" t="inlineStr">
        <is>
          <t>NYKÖPING</t>
        </is>
      </c>
      <c r="H88" t="inlineStr">
        <is>
          <t>Sveaskog</t>
        </is>
      </c>
      <c r="I88" t="n">
        <v>0.6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HYPERLINK("https://klasma.github.io/Logging_0480/artfynd/A 8387-2024 artfynd.xlsx", "A 8387-2024")</f>
        <v/>
      </c>
      <c r="X88">
        <f>HYPERLINK("https://klasma.github.io/Logging_0480/kartor/A 8387-2024 karta.png", "A 8387-2024")</f>
        <v/>
      </c>
      <c r="Y88">
        <f>HYPERLINK("https://klasma.github.io/Logging_0480/kartor_geotiff/A 8387-2024 georefererad karta.tif", "A 8387-2024")</f>
        <v/>
      </c>
      <c r="AA88">
        <f>HYPERLINK("https://klasma.github.io/Logging_0480/klagomål/A 8387-2024 FSC-klagomål.docx", "A 8387-2024")</f>
        <v/>
      </c>
      <c r="AB88">
        <f>HYPERLINK("https://klasma.github.io/Logging_0480/klagomålsmail/A 8387-2024 FSC-klagomål mail.docx", "A 8387-2024")</f>
        <v/>
      </c>
      <c r="AC88">
        <f>HYPERLINK("https://klasma.github.io/Logging_0480/tillsyn/A 8387-2024 tillsynsbegäran.docx", "A 8387-2024")</f>
        <v/>
      </c>
      <c r="AD88">
        <f>HYPERLINK("https://klasma.github.io/Logging_0480/tillsynsmail/A 8387-2024 tillsynsbegäran mail.docx", "A 8387-2024")</f>
        <v/>
      </c>
      <c r="AE88">
        <f>HYPERLINK("https://klasma.github.io/Logging_0480/fåglar/A 8387-2024 prioriterade fågelarter.docx", "A 8387-2024")</f>
        <v/>
      </c>
    </row>
    <row r="89" ht="15" customHeight="1">
      <c r="A89" t="inlineStr">
        <is>
          <t>A 21021-2026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46145</v>
      </c>
      <c r="E89" s="1" t="n">
        <v>46298</v>
      </c>
      <c r="F89" t="inlineStr">
        <is>
          <t>SÖDERMANLANDS LÄN</t>
        </is>
      </c>
      <c r="G89" t="inlineStr">
        <is>
          <t>NYKÖPING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HYPERLINK("https://klasma.github.io/Logging_0480/artfynd/A 21021-2026 artfynd.xlsx", "A 21021-2026")</f>
        <v/>
      </c>
      <c r="X89">
        <f>HYPERLINK("https://klasma.github.io/Logging_0480/kartor/A 21021-2026 karta.png", "A 21021-2026")</f>
        <v/>
      </c>
      <c r="Y89">
        <f>HYPERLINK("https://klasma.github.io/Logging_0480/kartor_geotiff/A 21021-2026 georefererad karta.tif", "A 21021-2026")</f>
        <v/>
      </c>
      <c r="AA89">
        <f>HYPERLINK("https://klasma.github.io/Logging_0480/klagomål/A 21021-2026 FSC-klagomål.docx", "A 21021-2026")</f>
        <v/>
      </c>
      <c r="AB89">
        <f>HYPERLINK("https://klasma.github.io/Logging_0480/klagomålsmail/A 21021-2026 FSC-klagomål mail.docx", "A 21021-2026")</f>
        <v/>
      </c>
      <c r="AC89">
        <f>HYPERLINK("https://klasma.github.io/Logging_0480/tillsyn/A 21021-2026 tillsynsbegäran.docx", "A 21021-2026")</f>
        <v/>
      </c>
      <c r="AD89">
        <f>HYPERLINK("https://klasma.github.io/Logging_0480/tillsynsmail/A 21021-2026 tillsynsbegäran mail.docx", "A 21021-2026")</f>
        <v/>
      </c>
    </row>
    <row r="90" ht="15" customHeight="1">
      <c r="A90" t="inlineStr">
        <is>
          <t>A 22495-2026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46298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Vedticka</t>
        </is>
      </c>
      <c r="W90">
        <f>HYPERLINK("https://klasma.github.io/Logging_0480/artfynd/A 22495-2026 artfynd.xlsx", "A 22495-2026")</f>
        <v/>
      </c>
      <c r="X90">
        <f>HYPERLINK("https://klasma.github.io/Logging_0480/kartor/A 22495-2026 karta.png", "A 22495-2026")</f>
        <v/>
      </c>
      <c r="Y90">
        <f>HYPERLINK("https://klasma.github.io/Logging_0480/kartor_geotiff/A 22495-2026 georefererad karta.tif", "A 22495-2026")</f>
        <v/>
      </c>
      <c r="AA90">
        <f>HYPERLINK("https://klasma.github.io/Logging_0480/klagomål/A 22495-2026 FSC-klagomål.docx", "A 22495-2026")</f>
        <v/>
      </c>
      <c r="AB90">
        <f>HYPERLINK("https://klasma.github.io/Logging_0480/klagomålsmail/A 22495-2026 FSC-klagomål mail.docx", "A 22495-2026")</f>
        <v/>
      </c>
      <c r="AC90">
        <f>HYPERLINK("https://klasma.github.io/Logging_0480/tillsyn/A 22495-2026 tillsynsbegäran.docx", "A 22495-2026")</f>
        <v/>
      </c>
      <c r="AD90">
        <f>HYPERLINK("https://klasma.github.io/Logging_0480/tillsynsmail/A 22495-2026 tillsynsbegäran mail.docx", "A 22495-2026")</f>
        <v/>
      </c>
    </row>
    <row r="91" ht="15" customHeight="1">
      <c r="A91" t="inlineStr">
        <is>
          <t>A 4903-2022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46298</v>
      </c>
      <c r="F91" t="inlineStr">
        <is>
          <t>SÖDERMANLANDS LÄN</t>
        </is>
      </c>
      <c r="G91" t="inlineStr">
        <is>
          <t>NYKÖPING</t>
        </is>
      </c>
      <c r="I91" t="n">
        <v>2.7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HYPERLINK("https://klasma.github.io/Logging_0480/artfynd/A 4903-2022 artfynd.xlsx", "A 4903-2022")</f>
        <v/>
      </c>
      <c r="X91">
        <f>HYPERLINK("https://klasma.github.io/Logging_0480/kartor/A 4903-2022 karta.png", "A 4903-2022")</f>
        <v/>
      </c>
      <c r="Y91">
        <f>HYPERLINK("https://klasma.github.io/Logging_0480/kartor_geotiff/A 4903-2022 georefererad karta.tif", "A 4903-2022")</f>
        <v/>
      </c>
      <c r="Z91">
        <f>HYPERLINK("https://klasma.github.io/Logging_0480/knärot/A 4903-2022 karta knärot.png", "A 4903-2022")</f>
        <v/>
      </c>
      <c r="AA91">
        <f>HYPERLINK("https://klasma.github.io/Logging_0480/klagomål/A 4903-2022 FSC-klagomål.docx", "A 4903-2022")</f>
        <v/>
      </c>
      <c r="AB91">
        <f>HYPERLINK("https://klasma.github.io/Logging_0480/klagomålsmail/A 4903-2022 FSC-klagomål mail.docx", "A 4903-2022")</f>
        <v/>
      </c>
      <c r="AC91">
        <f>HYPERLINK("https://klasma.github.io/Logging_0480/tillsyn/A 4903-2022 tillsynsbegäran.docx", "A 4903-2022")</f>
        <v/>
      </c>
      <c r="AD91">
        <f>HYPERLINK("https://klasma.github.io/Logging_0480/tillsynsmail/A 4903-2022 tillsynsbegäran mail.docx", "A 4903-2022")</f>
        <v/>
      </c>
    </row>
    <row r="92" ht="15" customHeight="1">
      <c r="A92" t="inlineStr">
        <is>
          <t>A 50554-2023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46298</v>
      </c>
      <c r="F92" t="inlineStr">
        <is>
          <t>SÖDERMANLANDS LÄN</t>
        </is>
      </c>
      <c r="G92" t="inlineStr">
        <is>
          <t>NYKÖPING</t>
        </is>
      </c>
      <c r="I92" t="n">
        <v>10.9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HYPERLINK("https://klasma.github.io/Logging_0480/artfynd/A 50554-2023 artfynd.xlsx", "A 50554-2023")</f>
        <v/>
      </c>
      <c r="X92">
        <f>HYPERLINK("https://klasma.github.io/Logging_0480/kartor/A 50554-2023 karta.png", "A 50554-2023")</f>
        <v/>
      </c>
      <c r="Y92">
        <f>HYPERLINK("https://klasma.github.io/Logging_0480/kartor_geotiff/A 50554-2023 georefererad karta.tif", "A 50554-2023")</f>
        <v/>
      </c>
      <c r="AA92">
        <f>HYPERLINK("https://klasma.github.io/Logging_0480/klagomål/A 50554-2023 FSC-klagomål.docx", "A 50554-2023")</f>
        <v/>
      </c>
      <c r="AB92">
        <f>HYPERLINK("https://klasma.github.io/Logging_0480/klagomålsmail/A 50554-2023 FSC-klagomål mail.docx", "A 50554-2023")</f>
        <v/>
      </c>
      <c r="AC92">
        <f>HYPERLINK("https://klasma.github.io/Logging_0480/tillsyn/A 50554-2023 tillsynsbegäran.docx", "A 50554-2023")</f>
        <v/>
      </c>
      <c r="AD92">
        <f>HYPERLINK("https://klasma.github.io/Logging_0480/tillsynsmail/A 50554-2023 tillsynsbegäran mail.docx", "A 50554-2023")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46298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46298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46298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13724-2024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46298</v>
      </c>
      <c r="F96" t="inlineStr">
        <is>
          <t>SÖDERMANLANDS LÄN</t>
        </is>
      </c>
      <c r="G96" t="inlineStr">
        <is>
          <t>NYKÖPING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Dropptaggsvamp</t>
        </is>
      </c>
      <c r="W96">
        <f>HYPERLINK("https://klasma.github.io/Logging_0480/artfynd/A 13724-2024 artfynd.xlsx", "A 13724-2024")</f>
        <v/>
      </c>
      <c r="X96">
        <f>HYPERLINK("https://klasma.github.io/Logging_0480/kartor/A 13724-2024 karta.png", "A 13724-2024")</f>
        <v/>
      </c>
      <c r="Y96">
        <f>HYPERLINK("https://klasma.github.io/Logging_0480/kartor_geotiff/A 13724-2024 georefererad karta.tif", "A 13724-2024")</f>
        <v/>
      </c>
      <c r="AA96">
        <f>HYPERLINK("https://klasma.github.io/Logging_0480/klagomål/A 13724-2024 FSC-klagomål.docx", "A 13724-2024")</f>
        <v/>
      </c>
      <c r="AB96">
        <f>HYPERLINK("https://klasma.github.io/Logging_0480/klagomålsmail/A 13724-2024 FSC-klagomål mail.docx", "A 13724-2024")</f>
        <v/>
      </c>
      <c r="AC96">
        <f>HYPERLINK("https://klasma.github.io/Logging_0480/tillsyn/A 13724-2024 tillsynsbegäran.docx", "A 13724-2024")</f>
        <v/>
      </c>
      <c r="AD96">
        <f>HYPERLINK("https://klasma.github.io/Logging_0480/tillsynsmail/A 13724-2024 tillsynsbegäran mail.docx", "A 13724-2024")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46298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5385-2026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46050</v>
      </c>
      <c r="E98" s="1" t="n">
        <v>46298</v>
      </c>
      <c r="F98" t="inlineStr">
        <is>
          <t>SÖDERMANLANDS LÄN</t>
        </is>
      </c>
      <c r="G98" t="inlineStr">
        <is>
          <t>NYKÖPING</t>
        </is>
      </c>
      <c r="I98" t="n">
        <v>3.5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Spillkråka</t>
        </is>
      </c>
      <c r="W98">
        <f>HYPERLINK("https://klasma.github.io/Logging_0480/artfynd/A 5385-2026 artfynd.xlsx", "A 5385-2026")</f>
        <v/>
      </c>
      <c r="X98">
        <f>HYPERLINK("https://klasma.github.io/Logging_0480/kartor/A 5385-2026 karta.png", "A 5385-2026")</f>
        <v/>
      </c>
      <c r="Y98">
        <f>HYPERLINK("https://klasma.github.io/Logging_0480/kartor_geotiff/A 5385-2026 georefererad karta.tif", "A 5385-2026")</f>
        <v/>
      </c>
      <c r="AA98">
        <f>HYPERLINK("https://klasma.github.io/Logging_0480/klagomål/A 5385-2026 FSC-klagomål.docx", "A 5385-2026")</f>
        <v/>
      </c>
      <c r="AB98">
        <f>HYPERLINK("https://klasma.github.io/Logging_0480/klagomålsmail/A 5385-2026 FSC-klagomål mail.docx", "A 5385-2026")</f>
        <v/>
      </c>
      <c r="AC98">
        <f>HYPERLINK("https://klasma.github.io/Logging_0480/tillsyn/A 5385-2026 tillsynsbegäran.docx", "A 5385-2026")</f>
        <v/>
      </c>
      <c r="AD98">
        <f>HYPERLINK("https://klasma.github.io/Logging_0480/tillsynsmail/A 5385-2026 tillsynsbegäran mail.docx", "A 5385-2026")</f>
        <v/>
      </c>
      <c r="AE98">
        <f>HYPERLINK("https://klasma.github.io/Logging_0480/fåglar/A 5385-2026 prioriterade fågelarter.docx", "A 5385-2026")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46298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46298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31182-2026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46298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31182-2026 artfynd.xlsx", "A 31182-2026")</f>
        <v/>
      </c>
      <c r="X101">
        <f>HYPERLINK("https://klasma.github.io/Logging_0480/kartor/A 31182-2026 karta.png", "A 31182-2026")</f>
        <v/>
      </c>
      <c r="Y101">
        <f>HYPERLINK("https://klasma.github.io/Logging_0480/kartor_geotiff/A 31182-2026 georefererad karta.tif", "A 31182-2026")</f>
        <v/>
      </c>
      <c r="AA101">
        <f>HYPERLINK("https://klasma.github.io/Logging_0480/klagomål/A 31182-2026 FSC-klagomål.docx", "A 31182-2026")</f>
        <v/>
      </c>
      <c r="AB101">
        <f>HYPERLINK("https://klasma.github.io/Logging_0480/klagomålsmail/A 31182-2026 FSC-klagomål mail.docx", "A 31182-2026")</f>
        <v/>
      </c>
      <c r="AC101">
        <f>HYPERLINK("https://klasma.github.io/Logging_0480/tillsyn/A 31182-2026 tillsynsbegäran.docx", "A 31182-2026")</f>
        <v/>
      </c>
      <c r="AD101">
        <f>HYPERLINK("https://klasma.github.io/Logging_0480/tillsynsmail/A 31182-2026 tillsynsbegäran mail.docx", "A 31182-2026")</f>
        <v/>
      </c>
    </row>
    <row r="102" ht="15" customHeight="1">
      <c r="A102" t="inlineStr">
        <is>
          <t>A 31998-2026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46298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Sveaskog</t>
        </is>
      </c>
      <c r="I102" t="n">
        <v>12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HYPERLINK("https://klasma.github.io/Logging_0480/artfynd/A 31998-2026 artfynd.xlsx", "A 31998-2026")</f>
        <v/>
      </c>
      <c r="X102">
        <f>HYPERLINK("https://klasma.github.io/Logging_0480/kartor/A 31998-2026 karta.png", "A 31998-2026")</f>
        <v/>
      </c>
      <c r="Y102">
        <f>HYPERLINK("https://klasma.github.io/Logging_0480/kartor_geotiff/A 31998-2026 georefererad karta.tif", "A 31998-2026")</f>
        <v/>
      </c>
      <c r="AA102">
        <f>HYPERLINK("https://klasma.github.io/Logging_0480/klagomål/A 31998-2026 FSC-klagomål.docx", "A 31998-2026")</f>
        <v/>
      </c>
      <c r="AB102">
        <f>HYPERLINK("https://klasma.github.io/Logging_0480/klagomålsmail/A 31998-2026 FSC-klagomål mail.docx", "A 31998-2026")</f>
        <v/>
      </c>
      <c r="AC102">
        <f>HYPERLINK("https://klasma.github.io/Logging_0480/tillsyn/A 31998-2026 tillsynsbegäran.docx", "A 31998-2026")</f>
        <v/>
      </c>
      <c r="AD102">
        <f>HYPERLINK("https://klasma.github.io/Logging_0480/tillsynsmail/A 31998-2026 tillsynsbegäran mail.docx", "A 31998-2026")</f>
        <v/>
      </c>
    </row>
    <row r="103" ht="15" customHeight="1">
      <c r="A103" t="inlineStr">
        <is>
          <t>A 32627-2026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46240</v>
      </c>
      <c r="E103" s="1" t="n">
        <v>46298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2.4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HYPERLINK("https://klasma.github.io/Logging_0480/artfynd/A 32627-2026 artfynd.xlsx", "A 32627-2026")</f>
        <v/>
      </c>
      <c r="X103">
        <f>HYPERLINK("https://klasma.github.io/Logging_0480/kartor/A 32627-2026 karta.png", "A 32627-2026")</f>
        <v/>
      </c>
      <c r="Y103">
        <f>HYPERLINK("https://klasma.github.io/Logging_0480/kartor_geotiff/A 32627-2026 georefererad karta.tif", "A 32627-2026")</f>
        <v/>
      </c>
      <c r="AA103">
        <f>HYPERLINK("https://klasma.github.io/Logging_0480/klagomål/A 32627-2026 FSC-klagomål.docx", "A 32627-2026")</f>
        <v/>
      </c>
      <c r="AB103">
        <f>HYPERLINK("https://klasma.github.io/Logging_0480/klagomålsmail/A 32627-2026 FSC-klagomål mail.docx", "A 32627-2026")</f>
        <v/>
      </c>
      <c r="AC103">
        <f>HYPERLINK("https://klasma.github.io/Logging_0480/tillsyn/A 32627-2026 tillsynsbegäran.docx", "A 32627-2026")</f>
        <v/>
      </c>
      <c r="AD103">
        <f>HYPERLINK("https://klasma.github.io/Logging_0480/tillsynsmail/A 32627-2026 tillsynsbegäran mail.docx", "A 32627-2026")</f>
        <v/>
      </c>
    </row>
    <row r="104" ht="15" customHeight="1">
      <c r="A104" t="inlineStr">
        <is>
          <t>A 20325-2023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46298</v>
      </c>
      <c r="F104" t="inlineStr">
        <is>
          <t>SÖDERMANLANDS LÄN</t>
        </is>
      </c>
      <c r="G104" t="inlineStr">
        <is>
          <t>NYKÖPING</t>
        </is>
      </c>
      <c r="I104" t="n">
        <v>0.2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Kamjordstjärna</t>
        </is>
      </c>
      <c r="W104">
        <f>HYPERLINK("https://klasma.github.io/Logging_0480/artfynd/A 20325-2023 artfynd.xlsx", "A 20325-2023")</f>
        <v/>
      </c>
      <c r="X104">
        <f>HYPERLINK("https://klasma.github.io/Logging_0480/kartor/A 20325-2023 karta.png", "A 20325-2023")</f>
        <v/>
      </c>
      <c r="Y104">
        <f>HYPERLINK("https://klasma.github.io/Logging_0480/kartor_geotiff/A 20325-2023 georefererad karta.tif", "A 20325-2023")</f>
        <v/>
      </c>
      <c r="AA104">
        <f>HYPERLINK("https://klasma.github.io/Logging_0480/klagomål/A 20325-2023 FSC-klagomål.docx", "A 20325-2023")</f>
        <v/>
      </c>
      <c r="AB104">
        <f>HYPERLINK("https://klasma.github.io/Logging_0480/klagomålsmail/A 20325-2023 FSC-klagomål mail.docx", "A 20325-2023")</f>
        <v/>
      </c>
      <c r="AC104">
        <f>HYPERLINK("https://klasma.github.io/Logging_0480/tillsyn/A 20325-2023 tillsynsbegäran.docx", "A 20325-2023")</f>
        <v/>
      </c>
      <c r="AD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9973-2022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46298</v>
      </c>
      <c r="F105" t="inlineStr">
        <is>
          <t>SÖDERMANLANDS LÄN</t>
        </is>
      </c>
      <c r="G105" t="inlineStr">
        <is>
          <t>NYKÖPING</t>
        </is>
      </c>
      <c r="I105" t="n">
        <v>18.3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 sköldmossa</t>
        </is>
      </c>
      <c r="W105">
        <f>HYPERLINK("https://klasma.github.io/Logging_0480/artfynd/A 9973-2022 artfynd.xlsx", "A 9973-2022")</f>
        <v/>
      </c>
      <c r="X105">
        <f>HYPERLINK("https://klasma.github.io/Logging_0480/kartor/A 9973-2022 karta.png", "A 9973-2022")</f>
        <v/>
      </c>
      <c r="Y105">
        <f>HYPERLINK("https://klasma.github.io/Logging_0480/kartor_geotiff/A 9973-2022 georefererad karta.tif", "A 9973-2022")</f>
        <v/>
      </c>
      <c r="AA105">
        <f>HYPERLINK("https://klasma.github.io/Logging_0480/klagomål/A 9973-2022 FSC-klagomål.docx", "A 9973-2022")</f>
        <v/>
      </c>
      <c r="AB105">
        <f>HYPERLINK("https://klasma.github.io/Logging_0480/klagomålsmail/A 9973-2022 FSC-klagomål mail.docx", "A 9973-2022")</f>
        <v/>
      </c>
      <c r="AC105">
        <f>HYPERLINK("https://klasma.github.io/Logging_0480/tillsyn/A 9973-2022 tillsynsbegäran.docx", "A 9973-2022")</f>
        <v/>
      </c>
      <c r="AD105">
        <f>HYPERLINK("https://klasma.github.io/Logging_0480/tillsynsmail/A 9973-2022 tillsynsbegäran mail.docx", "A 9973-2022")</f>
        <v/>
      </c>
    </row>
    <row r="106" ht="15" customHeight="1">
      <c r="A106" t="inlineStr">
        <is>
          <t>A 13038-2024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46298</v>
      </c>
      <c r="F106" t="inlineStr">
        <is>
          <t>SÖDERMANLANDS LÄN</t>
        </is>
      </c>
      <c r="G106" t="inlineStr">
        <is>
          <t>NYKÖPING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Knärot</t>
        </is>
      </c>
      <c r="W106">
        <f>HYPERLINK("https://klasma.github.io/Logging_0480/artfynd/A 13038-2024 artfynd.xlsx", "A 13038-2024")</f>
        <v/>
      </c>
      <c r="X106">
        <f>HYPERLINK("https://klasma.github.io/Logging_0480/kartor/A 13038-2024 karta.png", "A 13038-2024")</f>
        <v/>
      </c>
      <c r="Y106">
        <f>HYPERLINK("https://klasma.github.io/Logging_0480/kartor_geotiff/A 13038-2024 georefererad karta.tif", "A 13038-2024")</f>
        <v/>
      </c>
      <c r="Z106">
        <f>HYPERLINK("https://klasma.github.io/Logging_0480/knärot/A 13038-2024 karta knärot.png", "A 13038-2024")</f>
        <v/>
      </c>
      <c r="AA106">
        <f>HYPERLINK("https://klasma.github.io/Logging_0480/klagomål/A 13038-2024 FSC-klagomål.docx", "A 13038-2024")</f>
        <v/>
      </c>
      <c r="AB106">
        <f>HYPERLINK("https://klasma.github.io/Logging_0480/klagomålsmail/A 13038-2024 FSC-klagomål mail.docx", "A 13038-2024")</f>
        <v/>
      </c>
      <c r="AC106">
        <f>HYPERLINK("https://klasma.github.io/Logging_0480/tillsyn/A 13038-2024 tillsynsbegäran.docx", "A 13038-2024")</f>
        <v/>
      </c>
      <c r="AD106">
        <f>HYPERLINK("https://klasma.github.io/Logging_0480/tillsynsmail/A 13038-2024 tillsynsbegäran mail.docx", "A 13038-2024")</f>
        <v/>
      </c>
    </row>
    <row r="107" ht="15" customHeight="1">
      <c r="A107" t="inlineStr">
        <is>
          <t>A 40494-2026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46295</v>
      </c>
      <c r="E107" s="1" t="n">
        <v>46298</v>
      </c>
      <c r="F107" t="inlineStr">
        <is>
          <t>SÖDERMANLANDS LÄN</t>
        </is>
      </c>
      <c r="G107" t="inlineStr">
        <is>
          <t>NYKÖPING</t>
        </is>
      </c>
      <c r="I107" t="n">
        <v>5.1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Svart skogssnigel</t>
        </is>
      </c>
      <c r="W107">
        <f>HYPERLINK("https://klasma.github.io/Logging_0480/artfynd/A 40494-2026 artfynd.xlsx", "A 40494-2026")</f>
        <v/>
      </c>
      <c r="X107">
        <f>HYPERLINK("https://klasma.github.io/Logging_0480/kartor/A 40494-2026 karta.png", "A 40494-2026")</f>
        <v/>
      </c>
      <c r="Y107">
        <f>HYPERLINK("https://klasma.github.io/Logging_0480/kartor_geotiff/A 40494-2026 georefererad karta.tif", "A 40494-2026")</f>
        <v/>
      </c>
      <c r="AA107">
        <f>HYPERLINK("https://klasma.github.io/Logging_0480/klagomål/A 40494-2026 FSC-klagomål.docx", "A 40494-2026")</f>
        <v/>
      </c>
      <c r="AB107">
        <f>HYPERLINK("https://klasma.github.io/Logging_0480/klagomålsmail/A 40494-2026 FSC-klagomål mail.docx", "A 40494-2026")</f>
        <v/>
      </c>
      <c r="AC107">
        <f>HYPERLINK("https://klasma.github.io/Logging_0480/tillsyn/A 40494-2026 tillsynsbegäran.docx", "A 40494-2026")</f>
        <v/>
      </c>
      <c r="AD107">
        <f>HYPERLINK("https://klasma.github.io/Logging_0480/tillsynsmail/A 40494-2026 tillsynsbegäran mail.docx", "A 40494-2026")</f>
        <v/>
      </c>
    </row>
    <row r="108" ht="15" customHeight="1">
      <c r="A108" t="inlineStr">
        <is>
          <t>A 51258-2024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46298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2.6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HYPERLINK("https://klasma.github.io/Logging_0480/artfynd/A 51258-2024 artfynd.xlsx", "A 51258-2024")</f>
        <v/>
      </c>
      <c r="X108">
        <f>HYPERLINK("https://klasma.github.io/Logging_0480/kartor/A 51258-2024 karta.png", "A 51258-2024")</f>
        <v/>
      </c>
      <c r="Y108">
        <f>HYPERLINK("https://klasma.github.io/Logging_0480/kartor_geotiff/A 51258-2024 georefererad karta.tif", "A 51258-2024")</f>
        <v/>
      </c>
      <c r="AA108">
        <f>HYPERLINK("https://klasma.github.io/Logging_0480/klagomål/A 51258-2024 FSC-klagomål.docx", "A 51258-2024")</f>
        <v/>
      </c>
      <c r="AB108">
        <f>HYPERLINK("https://klasma.github.io/Logging_0480/klagomålsmail/A 51258-2024 FSC-klagomål mail.docx", "A 51258-2024")</f>
        <v/>
      </c>
      <c r="AC108">
        <f>HYPERLINK("https://klasma.github.io/Logging_0480/tillsyn/A 51258-2024 tillsynsbegäran.docx", "A 51258-2024")</f>
        <v/>
      </c>
      <c r="AD108">
        <f>HYPERLINK("https://klasma.github.io/Logging_0480/tillsynsmail/A 51258-2024 tillsynsbegäran mail.docx", "A 51258-2024")</f>
        <v/>
      </c>
    </row>
    <row r="109" ht="15" customHeight="1">
      <c r="A109" t="inlineStr">
        <is>
          <t>A 35122-2023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46298</v>
      </c>
      <c r="F109" t="inlineStr">
        <is>
          <t>SÖDERMANLANDS LÄN</t>
        </is>
      </c>
      <c r="G109" t="inlineStr">
        <is>
          <t>NYKÖPING</t>
        </is>
      </c>
      <c r="I109" t="n">
        <v>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HYPERLINK("https://klasma.github.io/Logging_0480/artfynd/A 35122-2023 artfynd.xlsx", "A 35122-2023")</f>
        <v/>
      </c>
      <c r="X109">
        <f>HYPERLINK("https://klasma.github.io/Logging_0480/kartor/A 35122-2023 karta.png", "A 35122-2023")</f>
        <v/>
      </c>
      <c r="Y109">
        <f>HYPERLINK("https://klasma.github.io/Logging_0480/kartor_geotiff/A 35122-2023 georefererad karta.tif", "A 35122-2023")</f>
        <v/>
      </c>
      <c r="AA109">
        <f>HYPERLINK("https://klasma.github.io/Logging_0480/klagomål/A 35122-2023 FSC-klagomål.docx", "A 35122-2023")</f>
        <v/>
      </c>
      <c r="AB109">
        <f>HYPERLINK("https://klasma.github.io/Logging_0480/klagomålsmail/A 35122-2023 FSC-klagomål mail.docx", "A 35122-2023")</f>
        <v/>
      </c>
      <c r="AC109">
        <f>HYPERLINK("https://klasma.github.io/Logging_0480/tillsyn/A 35122-2023 tillsynsbegäran.docx", "A 35122-2023")</f>
        <v/>
      </c>
      <c r="AD109">
        <f>HYPERLINK("https://klasma.github.io/Logging_0480/tillsynsmail/A 35122-2023 tillsynsbegäran mail.docx", "A 35122-2023")</f>
        <v/>
      </c>
    </row>
    <row r="110" ht="15" customHeight="1">
      <c r="A110" t="inlineStr">
        <is>
          <t>S 447-2021</t>
        </is>
      </c>
      <c r="B110" t="inlineStr">
        <is>
          <t>samrådsanmälan</t>
        </is>
      </c>
      <c r="C110" t="inlineStr">
        <is>
          <t>Åtgärd i nyckelbiotop</t>
        </is>
      </c>
      <c r="D110" s="1" t="n">
        <v>44260</v>
      </c>
      <c r="E110" s="1" t="n">
        <v>46298</v>
      </c>
      <c r="F110" t="inlineStr">
        <is>
          <t>SÖDERMANLANDS LÄN</t>
        </is>
      </c>
      <c r="G110" t="inlineStr">
        <is>
          <t>NYKÖPING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HYPERLINK("https://klasma.github.io/Logging_0480/artfynd/S 447-2021 artfynd.xlsx", "S 447-2021")</f>
        <v/>
      </c>
      <c r="X110">
        <f>HYPERLINK("https://klasma.github.io/Logging_0480/kartor/S 447-2021 karta.png", "S 447-2021")</f>
        <v/>
      </c>
      <c r="Y110">
        <f>HYPERLINK("https://klasma.github.io/Logging_0480/kartor_geotiff/S 447-2021 georefererad karta.tif", "S 447-2021")</f>
        <v/>
      </c>
      <c r="AA110">
        <f>HYPERLINK("https://klasma.github.io/Logging_0480/klagomål/S 447-2021 FSC-klagomål.docx", "S 447-2021")</f>
        <v/>
      </c>
      <c r="AB110">
        <f>HYPERLINK("https://klasma.github.io/Logging_0480/klagomålsmail/S 447-2021 FSC-klagomål mail.docx", "S 447-2021")</f>
        <v/>
      </c>
      <c r="AC110">
        <f>HYPERLINK("https://klasma.github.io/Logging_0480/tillsyn/S 447-2021 tillsynsbegäran.docx", "S 447-2021")</f>
        <v/>
      </c>
      <c r="AD110">
        <f>HYPERLINK("https://klasma.github.io/Logging_0480/tillsynsmail/S 447-2021 tillsynsbegäran mail.docx", "S 447-2021")</f>
        <v/>
      </c>
    </row>
    <row r="111" ht="15" customHeight="1">
      <c r="A111" t="inlineStr">
        <is>
          <t>S 2305-2026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46268</v>
      </c>
      <c r="E111" s="1" t="n">
        <v>46298</v>
      </c>
      <c r="F111" t="inlineStr">
        <is>
          <t>SÖDERMANLANDS LÄN</t>
        </is>
      </c>
      <c r="G111" t="inlineStr">
        <is>
          <t>NYKÖPING</t>
        </is>
      </c>
      <c r="I111" t="n">
        <v>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padda</t>
        </is>
      </c>
      <c r="W111">
        <f>HYPERLINK("https://klasma.github.io/Logging_0480/artfynd/S 2305-2026 artfynd.xlsx", "S 2305-2026")</f>
        <v/>
      </c>
      <c r="X111">
        <f>HYPERLINK("https://klasma.github.io/Logging_0480/kartor/S 2305-2026 karta.png", "S 2305-2026")</f>
        <v/>
      </c>
      <c r="Y111">
        <f>HYPERLINK("https://klasma.github.io/Logging_0480/kartor_geotiff/S 2305-2026 georefererad karta.tif", "S 2305-2026")</f>
        <v/>
      </c>
      <c r="AA111">
        <f>HYPERLINK("https://klasma.github.io/Logging_0480/klagomål/S 2305-2026 FSC-klagomål.docx", "S 2305-2026")</f>
        <v/>
      </c>
      <c r="AB111">
        <f>HYPERLINK("https://klasma.github.io/Logging_0480/klagomålsmail/S 2305-2026 FSC-klagomål mail.docx", "S 2305-2026")</f>
        <v/>
      </c>
      <c r="AC111">
        <f>HYPERLINK("https://klasma.github.io/Logging_0480/tillsyn/S 2305-2026 tillsynsbegäran.docx", "S 2305-2026")</f>
        <v/>
      </c>
      <c r="AD111">
        <f>HYPERLINK("https://klasma.github.io/Logging_0480/tillsynsmail/S 2305-2026 tillsynsbegäran mail.docx", "S 2305-2026")</f>
        <v/>
      </c>
    </row>
    <row r="112" ht="15" customHeight="1">
      <c r="A112" t="inlineStr">
        <is>
          <t>A 74404-2021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44560</v>
      </c>
      <c r="E112" s="1" t="n">
        <v>46298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Kyrkan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44870</v>
      </c>
      <c r="E113" s="1" t="n">
        <v>46298</v>
      </c>
      <c r="F113" t="inlineStr">
        <is>
          <t>SÖDERMANLANDS LÄN</t>
        </is>
      </c>
      <c r="G113" t="inlineStr">
        <is>
          <t>NYKÖPING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46298</v>
      </c>
      <c r="F114" t="inlineStr">
        <is>
          <t>SÖDERMANLANDS LÄN</t>
        </is>
      </c>
      <c r="G114" t="inlineStr">
        <is>
          <t>NYKÖPING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46298</v>
      </c>
      <c r="F115" t="inlineStr">
        <is>
          <t>SÖDERMANLANDS LÄN</t>
        </is>
      </c>
      <c r="G115" t="inlineStr">
        <is>
          <t>NYKÖPING</t>
        </is>
      </c>
      <c r="I115" t="n">
        <v>21.9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46298</v>
      </c>
      <c r="F116" t="inlineStr">
        <is>
          <t>SÖDERMANLANDS LÄN</t>
        </is>
      </c>
      <c r="G116" t="inlineStr">
        <is>
          <t>NYKÖPING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46298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59776-2021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46298</v>
      </c>
      <c r="F118" t="inlineStr">
        <is>
          <t>SÖDERMANLANDS LÄN</t>
        </is>
      </c>
      <c r="G118" t="inlineStr">
        <is>
          <t>NYKÖPING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44510</v>
      </c>
      <c r="E119" s="1" t="n">
        <v>46298</v>
      </c>
      <c r="F119" t="inlineStr">
        <is>
          <t>SÖDERMANLANDS LÄN</t>
        </is>
      </c>
      <c r="G119" t="inlineStr">
        <is>
          <t>NYKÖPING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46298</v>
      </c>
      <c r="F120" t="inlineStr">
        <is>
          <t>SÖDERMANLANDS LÄN</t>
        </is>
      </c>
      <c r="G120" t="inlineStr">
        <is>
          <t>NYKÖPING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46298</v>
      </c>
      <c r="F121" t="inlineStr">
        <is>
          <t>SÖDERMANLANDS LÄN</t>
        </is>
      </c>
      <c r="G121" t="inlineStr">
        <is>
          <t>NYKÖPING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44767</v>
      </c>
      <c r="E122" s="1" t="n">
        <v>46298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44733</v>
      </c>
      <c r="E123" s="1" t="n">
        <v>46298</v>
      </c>
      <c r="F123" t="inlineStr">
        <is>
          <t>SÖDERMANLANDS LÄN</t>
        </is>
      </c>
      <c r="G123" t="inlineStr">
        <is>
          <t>NYKÖPING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46298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46298</v>
      </c>
      <c r="F125" t="inlineStr">
        <is>
          <t>SÖDERMANLANDS LÄN</t>
        </is>
      </c>
      <c r="G125" t="inlineStr">
        <is>
          <t>NYKÖPING</t>
        </is>
      </c>
      <c r="I125" t="n">
        <v>14.6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46298</v>
      </c>
      <c r="F126" t="inlineStr">
        <is>
          <t>SÖDERMANLANDS LÄN</t>
        </is>
      </c>
      <c r="G126" t="inlineStr">
        <is>
          <t>NYKÖPING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46298</v>
      </c>
      <c r="F127" t="inlineStr">
        <is>
          <t>SÖDERMANLANDS LÄN</t>
        </is>
      </c>
      <c r="G127" t="inlineStr">
        <is>
          <t>NYKÖPING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46298</v>
      </c>
      <c r="F128" t="inlineStr">
        <is>
          <t>SÖDERMANLANDS LÄN</t>
        </is>
      </c>
      <c r="G128" t="inlineStr">
        <is>
          <t>NYKÖPING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46298</v>
      </c>
      <c r="F129" t="inlineStr">
        <is>
          <t>SÖDERMANLANDS LÄN</t>
        </is>
      </c>
      <c r="G129" t="inlineStr">
        <is>
          <t>NYKÖPING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46298</v>
      </c>
      <c r="F130" t="inlineStr">
        <is>
          <t>SÖDERMANLANDS LÄN</t>
        </is>
      </c>
      <c r="G130" t="inlineStr">
        <is>
          <t>NYKÖPING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46298</v>
      </c>
      <c r="F131" t="inlineStr">
        <is>
          <t>SÖDERMANLANDS LÄN</t>
        </is>
      </c>
      <c r="G131" t="inlineStr">
        <is>
          <t>NYKÖPING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44732</v>
      </c>
      <c r="E132" s="1" t="n">
        <v>46298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Övriga Aktiebolag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44790</v>
      </c>
      <c r="E133" s="1" t="n">
        <v>46298</v>
      </c>
      <c r="F133" t="inlineStr">
        <is>
          <t>SÖDERMANLANDS LÄN</t>
        </is>
      </c>
      <c r="G133" t="inlineStr">
        <is>
          <t>NYKÖPING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46298</v>
      </c>
      <c r="F134" t="inlineStr">
        <is>
          <t>SÖDERMANLANDS LÄN</t>
        </is>
      </c>
      <c r="G134" t="inlineStr">
        <is>
          <t>NYKÖPING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46298</v>
      </c>
      <c r="F135" t="inlineStr">
        <is>
          <t>SÖDERMANLANDS LÄN</t>
        </is>
      </c>
      <c r="G135" t="inlineStr">
        <is>
          <t>NYKÖPING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44705</v>
      </c>
      <c r="E136" s="1" t="n">
        <v>46298</v>
      </c>
      <c r="F136" t="inlineStr">
        <is>
          <t>SÖDERMANLANDS LÄN</t>
        </is>
      </c>
      <c r="G136" t="inlineStr">
        <is>
          <t>NYKÖPING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44690</v>
      </c>
      <c r="E137" s="1" t="n">
        <v>46298</v>
      </c>
      <c r="F137" t="inlineStr">
        <is>
          <t>SÖDERMANLANDS LÄN</t>
        </is>
      </c>
      <c r="G137" t="inlineStr">
        <is>
          <t>NYKÖPING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46298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46298</v>
      </c>
      <c r="F139" t="inlineStr">
        <is>
          <t>SÖDERMANLANDS LÄN</t>
        </is>
      </c>
      <c r="G139" t="inlineStr">
        <is>
          <t>NYKÖPING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46298</v>
      </c>
      <c r="F140" t="inlineStr">
        <is>
          <t>SÖDERMANLANDS LÄN</t>
        </is>
      </c>
      <c r="G140" t="inlineStr">
        <is>
          <t>NYKÖPING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46298</v>
      </c>
      <c r="F141" t="inlineStr">
        <is>
          <t>SÖDERMANLANDS LÄN</t>
        </is>
      </c>
      <c r="G141" t="inlineStr">
        <is>
          <t>NYKÖPING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46298</v>
      </c>
      <c r="F142" t="inlineStr">
        <is>
          <t>SÖDERMANLANDS LÄN</t>
        </is>
      </c>
      <c r="G142" t="inlineStr">
        <is>
          <t>NYKÖPING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59592-2021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44491</v>
      </c>
      <c r="E143" s="1" t="n">
        <v>46298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44676</v>
      </c>
      <c r="E144" s="1" t="n">
        <v>46298</v>
      </c>
      <c r="F144" t="inlineStr">
        <is>
          <t>SÖDERMANLANDS LÄN</t>
        </is>
      </c>
      <c r="G144" t="inlineStr">
        <is>
          <t>NYKÖPING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46298</v>
      </c>
      <c r="F145" t="inlineStr">
        <is>
          <t>SÖDERMANLANDS LÄN</t>
        </is>
      </c>
      <c r="G145" t="inlineStr">
        <is>
          <t>NYKÖPING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46298</v>
      </c>
      <c r="F146" t="inlineStr">
        <is>
          <t>SÖDERMANLANDS LÄN</t>
        </is>
      </c>
      <c r="G146" t="inlineStr">
        <is>
          <t>NYKÖPING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46298</v>
      </c>
      <c r="F147" t="inlineStr">
        <is>
          <t>SÖDERMANLANDS LÄN</t>
        </is>
      </c>
      <c r="G147" t="inlineStr">
        <is>
          <t>NYKÖPING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69247-2021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46298</v>
      </c>
      <c r="F148" t="inlineStr">
        <is>
          <t>SÖDERMANLANDS LÄN</t>
        </is>
      </c>
      <c r="G148" t="inlineStr">
        <is>
          <t>NYKÖPING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46298</v>
      </c>
      <c r="F149" t="inlineStr">
        <is>
          <t>SÖDERMANLANDS LÄN</t>
        </is>
      </c>
      <c r="G149" t="inlineStr">
        <is>
          <t>NYKÖPING</t>
        </is>
      </c>
      <c r="H149" t="inlineStr">
        <is>
          <t>Holmen skog AB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63055-2021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46298</v>
      </c>
      <c r="F150" t="inlineStr">
        <is>
          <t>SÖDERMANLANDS LÄN</t>
        </is>
      </c>
      <c r="G150" t="inlineStr">
        <is>
          <t>NYKÖPING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44505</v>
      </c>
      <c r="E151" s="1" t="n">
        <v>46298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46298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44767</v>
      </c>
      <c r="E153" s="1" t="n">
        <v>46298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15466-2022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44662</v>
      </c>
      <c r="E154" s="1" t="n">
        <v>46298</v>
      </c>
      <c r="F154" t="inlineStr">
        <is>
          <t>SÖDERMANLANDS LÄN</t>
        </is>
      </c>
      <c r="G154" t="inlineStr">
        <is>
          <t>NYKÖPING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46298</v>
      </c>
      <c r="F155" t="inlineStr">
        <is>
          <t>SÖDERMANLANDS LÄN</t>
        </is>
      </c>
      <c r="G155" t="inlineStr">
        <is>
          <t>NYKÖPING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46298</v>
      </c>
      <c r="F156" t="inlineStr">
        <is>
          <t>SÖDERMANLANDS LÄN</t>
        </is>
      </c>
      <c r="G156" t="inlineStr">
        <is>
          <t>NYKÖPING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46298</v>
      </c>
      <c r="F157" t="inlineStr">
        <is>
          <t>SÖDERMANLANDS LÄN</t>
        </is>
      </c>
      <c r="G157" t="inlineStr">
        <is>
          <t>NYKÖPING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44784</v>
      </c>
      <c r="E158" s="1" t="n">
        <v>46298</v>
      </c>
      <c r="F158" t="inlineStr">
        <is>
          <t>SÖDERMANLANDS LÄN</t>
        </is>
      </c>
      <c r="G158" t="inlineStr">
        <is>
          <t>NYKÖPING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46298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44733</v>
      </c>
      <c r="E160" s="1" t="n">
        <v>46298</v>
      </c>
      <c r="F160" t="inlineStr">
        <is>
          <t>SÖDERMANLANDS LÄN</t>
        </is>
      </c>
      <c r="G160" t="inlineStr">
        <is>
          <t>NYKÖPING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44733</v>
      </c>
      <c r="E161" s="1" t="n">
        <v>46298</v>
      </c>
      <c r="F161" t="inlineStr">
        <is>
          <t>SÖDERMANLANDS LÄN</t>
        </is>
      </c>
      <c r="G161" t="inlineStr">
        <is>
          <t>NYKÖPING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44804</v>
      </c>
      <c r="E162" s="1" t="n">
        <v>46298</v>
      </c>
      <c r="F162" t="inlineStr">
        <is>
          <t>SÖDERMANLANDS LÄN</t>
        </is>
      </c>
      <c r="G162" t="inlineStr">
        <is>
          <t>NYKÖPING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44733</v>
      </c>
      <c r="E163" s="1" t="n">
        <v>46298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46298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46298</v>
      </c>
      <c r="F165" t="inlineStr">
        <is>
          <t>SÖDERMANLANDS LÄN</t>
        </is>
      </c>
      <c r="G165" t="inlineStr">
        <is>
          <t>NYKÖPING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46298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46298</v>
      </c>
      <c r="F167" t="inlineStr">
        <is>
          <t>SÖDERMANLANDS LÄN</t>
        </is>
      </c>
      <c r="G167" t="inlineStr">
        <is>
          <t>NYKÖPING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46298</v>
      </c>
      <c r="F168" t="inlineStr">
        <is>
          <t>SÖDERMANLANDS LÄN</t>
        </is>
      </c>
      <c r="G168" t="inlineStr">
        <is>
          <t>NYKÖPING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70791-2021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46298</v>
      </c>
      <c r="F169" t="inlineStr">
        <is>
          <t>SÖDERMANLANDS LÄN</t>
        </is>
      </c>
      <c r="G169" t="inlineStr">
        <is>
          <t>NYKÖPING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44813</v>
      </c>
      <c r="E170" s="1" t="n">
        <v>46298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17541-2022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44679</v>
      </c>
      <c r="E171" s="1" t="n">
        <v>46298</v>
      </c>
      <c r="F171" t="inlineStr">
        <is>
          <t>SÖDERMANLANDS LÄN</t>
        </is>
      </c>
      <c r="G171" t="inlineStr">
        <is>
          <t>NYKÖPING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44701</v>
      </c>
      <c r="E172" s="1" t="n">
        <v>46298</v>
      </c>
      <c r="F172" t="inlineStr">
        <is>
          <t>SÖDERMANLANDS LÄN</t>
        </is>
      </c>
      <c r="G172" t="inlineStr">
        <is>
          <t>NYKÖPING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47372-2022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46298</v>
      </c>
      <c r="F173" t="inlineStr">
        <is>
          <t>SÖDERMANLANDS LÄN</t>
        </is>
      </c>
      <c r="G173" t="inlineStr">
        <is>
          <t>NYKÖPING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46298</v>
      </c>
      <c r="F174" t="inlineStr">
        <is>
          <t>SÖDERMANLANDS LÄN</t>
        </is>
      </c>
      <c r="G174" t="inlineStr">
        <is>
          <t>NYKÖPING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46298</v>
      </c>
      <c r="F175" t="inlineStr">
        <is>
          <t>SÖDERMANLANDS LÄN</t>
        </is>
      </c>
      <c r="G175" t="inlineStr">
        <is>
          <t>NYKÖPING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46298</v>
      </c>
      <c r="F176" t="inlineStr">
        <is>
          <t>SÖDERMANLANDS LÄN</t>
        </is>
      </c>
      <c r="G176" t="inlineStr">
        <is>
          <t>NYKÖPING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71175-2021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44539</v>
      </c>
      <c r="E177" s="1" t="n">
        <v>46298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44658</v>
      </c>
      <c r="E178" s="1" t="n">
        <v>46298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44652</v>
      </c>
      <c r="E179" s="1" t="n">
        <v>46298</v>
      </c>
      <c r="F179" t="inlineStr">
        <is>
          <t>SÖDERMANLANDS LÄN</t>
        </is>
      </c>
      <c r="G179" t="inlineStr">
        <is>
          <t>NYKÖPING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46298</v>
      </c>
      <c r="F180" t="inlineStr">
        <is>
          <t>SÖDERMANLANDS LÄN</t>
        </is>
      </c>
      <c r="G180" t="inlineStr">
        <is>
          <t>NYKÖPING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46298</v>
      </c>
      <c r="F181" t="inlineStr">
        <is>
          <t>SÖDERMANLANDS LÄN</t>
        </is>
      </c>
      <c r="G181" t="inlineStr">
        <is>
          <t>NYKÖPING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46298</v>
      </c>
      <c r="F182" t="inlineStr">
        <is>
          <t>SÖDERMANLANDS LÄN</t>
        </is>
      </c>
      <c r="G182" t="inlineStr">
        <is>
          <t>NYKÖPING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46298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69598-2021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46298</v>
      </c>
      <c r="F184" t="inlineStr">
        <is>
          <t>SÖDERMANLANDS LÄN</t>
        </is>
      </c>
      <c r="G184" t="inlineStr">
        <is>
          <t>NYKÖPING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69252-2021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46298</v>
      </c>
      <c r="F185" t="inlineStr">
        <is>
          <t>SÖDERMANLANDS LÄN</t>
        </is>
      </c>
      <c r="G185" t="inlineStr">
        <is>
          <t>NYKÖPING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46298</v>
      </c>
      <c r="F186" t="inlineStr">
        <is>
          <t>SÖDERMANLANDS LÄN</t>
        </is>
      </c>
      <c r="G186" t="inlineStr">
        <is>
          <t>NYKÖPING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46298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46298</v>
      </c>
      <c r="F188" t="inlineStr">
        <is>
          <t>SÖDERMANLANDS LÄN</t>
        </is>
      </c>
      <c r="G188" t="inlineStr">
        <is>
          <t>NYKÖPING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67825-2021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44525</v>
      </c>
      <c r="E189" s="1" t="n">
        <v>46298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46298</v>
      </c>
      <c r="F190" t="inlineStr">
        <is>
          <t>SÖDERMANLANDS LÄN</t>
        </is>
      </c>
      <c r="G190" t="inlineStr">
        <is>
          <t>NYKÖPING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46298</v>
      </c>
      <c r="F191" t="inlineStr">
        <is>
          <t>SÖDERMANLANDS LÄN</t>
        </is>
      </c>
      <c r="G191" t="inlineStr">
        <is>
          <t>NYKÖPING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44709</v>
      </c>
      <c r="E192" s="1" t="n">
        <v>46298</v>
      </c>
      <c r="F192" t="inlineStr">
        <is>
          <t>SÖDERMANLANDS LÄN</t>
        </is>
      </c>
      <c r="G192" t="inlineStr">
        <is>
          <t>NYKÖPING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46298</v>
      </c>
      <c r="F193" t="inlineStr">
        <is>
          <t>SÖDERMANLANDS LÄN</t>
        </is>
      </c>
      <c r="G193" t="inlineStr">
        <is>
          <t>NYKÖPING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46298</v>
      </c>
      <c r="F194" t="inlineStr">
        <is>
          <t>SÖDERMANLANDS LÄN</t>
        </is>
      </c>
      <c r="G194" t="inlineStr">
        <is>
          <t>NYKÖPING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46298</v>
      </c>
      <c r="F195" t="inlineStr">
        <is>
          <t>SÖDERMANLANDS LÄN</t>
        </is>
      </c>
      <c r="G195" t="inlineStr">
        <is>
          <t>NYKÖPING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46298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46298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44627</v>
      </c>
      <c r="E198" s="1" t="n">
        <v>46298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Övriga Aktiebolag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46298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44491</v>
      </c>
      <c r="E200" s="1" t="n">
        <v>46298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Aktiebolag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46298</v>
      </c>
      <c r="F201" t="inlineStr">
        <is>
          <t>SÖDERMANLANDS LÄN</t>
        </is>
      </c>
      <c r="G201" t="inlineStr">
        <is>
          <t>NYKÖPING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44774</v>
      </c>
      <c r="E202" s="1" t="n">
        <v>46298</v>
      </c>
      <c r="F202" t="inlineStr">
        <is>
          <t>SÖDERMANLANDS LÄN</t>
        </is>
      </c>
      <c r="G202" t="inlineStr">
        <is>
          <t>NYKÖPING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46298</v>
      </c>
      <c r="F203" t="inlineStr">
        <is>
          <t>SÖDERMANLANDS LÄN</t>
        </is>
      </c>
      <c r="G203" t="inlineStr">
        <is>
          <t>NYKÖPING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46298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Övriga Aktiebolag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44865</v>
      </c>
      <c r="E205" s="1" t="n">
        <v>46298</v>
      </c>
      <c r="F205" t="inlineStr">
        <is>
          <t>SÖDERMANLANDS LÄN</t>
        </is>
      </c>
      <c r="G205" t="inlineStr">
        <is>
          <t>NYKÖPING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65109-2021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44515</v>
      </c>
      <c r="E206" s="1" t="n">
        <v>46298</v>
      </c>
      <c r="F206" t="inlineStr">
        <is>
          <t>SÖDERMANLANDS LÄN</t>
        </is>
      </c>
      <c r="G206" t="inlineStr">
        <is>
          <t>NYKÖPING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44509</v>
      </c>
      <c r="E207" s="1" t="n">
        <v>46298</v>
      </c>
      <c r="F207" t="inlineStr">
        <is>
          <t>SÖDERMANLANDS LÄN</t>
        </is>
      </c>
      <c r="G207" t="inlineStr">
        <is>
          <t>NYKÖPING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46298</v>
      </c>
      <c r="F208" t="inlineStr">
        <is>
          <t>SÖDERMANLANDS LÄN</t>
        </is>
      </c>
      <c r="G208" t="inlineStr">
        <is>
          <t>NYKÖPING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46298</v>
      </c>
      <c r="F209" t="inlineStr">
        <is>
          <t>SÖDERMANLANDS LÄN</t>
        </is>
      </c>
      <c r="G209" t="inlineStr">
        <is>
          <t>NYKÖPING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46298</v>
      </c>
      <c r="F210" t="inlineStr">
        <is>
          <t>SÖDERMANLANDS LÄN</t>
        </is>
      </c>
      <c r="G210" t="inlineStr">
        <is>
          <t>NYKÖPING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46298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Kommuner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44579</v>
      </c>
      <c r="E212" s="1" t="n">
        <v>46298</v>
      </c>
      <c r="F212" t="inlineStr">
        <is>
          <t>SÖDERMANLANDS LÄN</t>
        </is>
      </c>
      <c r="G212" t="inlineStr">
        <is>
          <t>NYKÖPING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45424</v>
      </c>
      <c r="E213" s="1" t="n">
        <v>46298</v>
      </c>
      <c r="F213" t="inlineStr">
        <is>
          <t>SÖDERMANLANDS LÄN</t>
        </is>
      </c>
      <c r="G213" t="inlineStr">
        <is>
          <t>NYKÖPING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46298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44837</v>
      </c>
      <c r="E215" s="1" t="n">
        <v>46298</v>
      </c>
      <c r="F215" t="inlineStr">
        <is>
          <t>SÖDERMANLANDS LÄN</t>
        </is>
      </c>
      <c r="G215" t="inlineStr">
        <is>
          <t>NYKÖPING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68500-2021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44529</v>
      </c>
      <c r="E216" s="1" t="n">
        <v>46298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Övriga Aktiebolag</t>
        </is>
      </c>
      <c r="I216" t="n">
        <v>13.1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44620</v>
      </c>
      <c r="E217" s="1" t="n">
        <v>46298</v>
      </c>
      <c r="F217" t="inlineStr">
        <is>
          <t>SÖDERMANLANDS LÄN</t>
        </is>
      </c>
      <c r="G217" t="inlineStr">
        <is>
          <t>NYKÖPING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45143</v>
      </c>
      <c r="E218" s="1" t="n">
        <v>46298</v>
      </c>
      <c r="F218" t="inlineStr">
        <is>
          <t>SÖDERMANLANDS LÄN</t>
        </is>
      </c>
      <c r="G218" t="inlineStr">
        <is>
          <t>NYKÖPING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45352</v>
      </c>
      <c r="E219" s="1" t="n">
        <v>46298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Kommuner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46298</v>
      </c>
      <c r="F220" t="inlineStr">
        <is>
          <t>SÖDERMANLANDS LÄN</t>
        </is>
      </c>
      <c r="G220" t="inlineStr">
        <is>
          <t>NYKÖPING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46298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45930-2022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44846</v>
      </c>
      <c r="E222" s="1" t="n">
        <v>46298</v>
      </c>
      <c r="F222" t="inlineStr">
        <is>
          <t>SÖDERMANLANDS LÄN</t>
        </is>
      </c>
      <c r="G222" t="inlineStr">
        <is>
          <t>NYKÖPING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46298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45258</v>
      </c>
      <c r="E224" s="1" t="n">
        <v>46298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46298</v>
      </c>
      <c r="F225" t="inlineStr">
        <is>
          <t>SÖDERMANLANDS LÄN</t>
        </is>
      </c>
      <c r="G225" t="inlineStr">
        <is>
          <t>NYKÖPING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46298</v>
      </c>
      <c r="F226" t="inlineStr">
        <is>
          <t>SÖDERMANLANDS LÄN</t>
        </is>
      </c>
      <c r="G226" t="inlineStr">
        <is>
          <t>NYKÖPING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45672</v>
      </c>
      <c r="E227" s="1" t="n">
        <v>46298</v>
      </c>
      <c r="F227" t="inlineStr">
        <is>
          <t>SÖDERMANLANDS LÄN</t>
        </is>
      </c>
      <c r="G227" t="inlineStr">
        <is>
          <t>NYKÖPING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46298</v>
      </c>
      <c r="F228" t="inlineStr">
        <is>
          <t>SÖDERMANLANDS LÄN</t>
        </is>
      </c>
      <c r="G228" t="inlineStr">
        <is>
          <t>NYKÖPING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45419</v>
      </c>
      <c r="E229" s="1" t="n">
        <v>46298</v>
      </c>
      <c r="F229" t="inlineStr">
        <is>
          <t>SÖDERMANLANDS LÄN</t>
        </is>
      </c>
      <c r="G229" t="inlineStr">
        <is>
          <t>NYKÖPING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44733</v>
      </c>
      <c r="E230" s="1" t="n">
        <v>46298</v>
      </c>
      <c r="F230" t="inlineStr">
        <is>
          <t>SÖDERMANLANDS LÄN</t>
        </is>
      </c>
      <c r="G230" t="inlineStr">
        <is>
          <t>NYKÖPING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46298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44977</v>
      </c>
      <c r="E232" s="1" t="n">
        <v>46298</v>
      </c>
      <c r="F232" t="inlineStr">
        <is>
          <t>SÖDERMANLANDS LÄN</t>
        </is>
      </c>
      <c r="G232" t="inlineStr">
        <is>
          <t>NYKÖPING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44191-2022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44839</v>
      </c>
      <c r="E233" s="1" t="n">
        <v>46298</v>
      </c>
      <c r="F233" t="inlineStr">
        <is>
          <t>SÖDERMANLANDS LÄN</t>
        </is>
      </c>
      <c r="G233" t="inlineStr">
        <is>
          <t>NYKÖPING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46298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46298</v>
      </c>
      <c r="F235" t="inlineStr">
        <is>
          <t>SÖDERMANLANDS LÄN</t>
        </is>
      </c>
      <c r="G235" t="inlineStr">
        <is>
          <t>NYKÖPING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46298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46298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45424</v>
      </c>
      <c r="E238" s="1" t="n">
        <v>46298</v>
      </c>
      <c r="F238" t="inlineStr">
        <is>
          <t>SÖDERMANLANDS LÄN</t>
        </is>
      </c>
      <c r="G238" t="inlineStr">
        <is>
          <t>NYKÖPING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46298</v>
      </c>
      <c r="F239" t="inlineStr">
        <is>
          <t>SÖDERMANLANDS LÄN</t>
        </is>
      </c>
      <c r="G239" t="inlineStr">
        <is>
          <t>NYKÖPING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46298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44990</v>
      </c>
      <c r="E241" s="1" t="n">
        <v>46298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Allmännings- och besparingsskogar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44968</v>
      </c>
      <c r="E242" s="1" t="n">
        <v>46298</v>
      </c>
      <c r="F242" t="inlineStr">
        <is>
          <t>SÖDERMANLANDS LÄN</t>
        </is>
      </c>
      <c r="G242" t="inlineStr">
        <is>
          <t>NYKÖPING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46298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46298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46298</v>
      </c>
      <c r="F245" t="inlineStr">
        <is>
          <t>SÖDERMANLANDS LÄN</t>
        </is>
      </c>
      <c r="G245" t="inlineStr">
        <is>
          <t>NYKÖPING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46298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46298</v>
      </c>
      <c r="F247" t="inlineStr">
        <is>
          <t>SÖDERMANLANDS LÄN</t>
        </is>
      </c>
      <c r="G247" t="inlineStr">
        <is>
          <t>NYKÖPING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45393</v>
      </c>
      <c r="E248" s="1" t="n">
        <v>46298</v>
      </c>
      <c r="F248" t="inlineStr">
        <is>
          <t>SÖDERMANLANDS LÄN</t>
        </is>
      </c>
      <c r="G248" t="inlineStr">
        <is>
          <t>NYKÖPING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46298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46298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45247</v>
      </c>
      <c r="E251" s="1" t="n">
        <v>46298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Övriga Aktiebolag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46298</v>
      </c>
      <c r="F252" t="inlineStr">
        <is>
          <t>SÖDERMANLANDS LÄN</t>
        </is>
      </c>
      <c r="G252" t="inlineStr">
        <is>
          <t>NYKÖPING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46298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68401-2021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46298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16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46298</v>
      </c>
      <c r="F255" t="inlineStr">
        <is>
          <t>SÖDERMANLANDS LÄN</t>
        </is>
      </c>
      <c r="G255" t="inlineStr">
        <is>
          <t>NYKÖPING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46298</v>
      </c>
      <c r="F256" t="inlineStr">
        <is>
          <t>SÖDERMANLANDS LÄN</t>
        </is>
      </c>
      <c r="G256" t="inlineStr">
        <is>
          <t>NYKÖPING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46298</v>
      </c>
      <c r="F257" t="inlineStr">
        <is>
          <t>SÖDERMANLANDS LÄN</t>
        </is>
      </c>
      <c r="G257" t="inlineStr">
        <is>
          <t>NYKÖPING</t>
        </is>
      </c>
      <c r="I257" t="n">
        <v>21.2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46298</v>
      </c>
      <c r="F258" t="inlineStr">
        <is>
          <t>SÖDERMANLANDS LÄN</t>
        </is>
      </c>
      <c r="G258" t="inlineStr">
        <is>
          <t>NYKÖPING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67736-2021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46298</v>
      </c>
      <c r="F259" t="inlineStr">
        <is>
          <t>SÖDERMANLANDS LÄN</t>
        </is>
      </c>
      <c r="G259" t="inlineStr">
        <is>
          <t>NYKÖPING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68401-2021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46298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Övriga Aktiebolag</t>
        </is>
      </c>
      <c r="I260" t="n">
        <v>16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46298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Kommuner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72117-2021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46298</v>
      </c>
      <c r="F262" t="inlineStr">
        <is>
          <t>SÖDERMANLANDS LÄN</t>
        </is>
      </c>
      <c r="G262" t="inlineStr">
        <is>
          <t>NYKÖPING</t>
        </is>
      </c>
      <c r="I262" t="n">
        <v>14.9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45540</v>
      </c>
      <c r="E263" s="1" t="n">
        <v>46298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46298</v>
      </c>
      <c r="F264" t="inlineStr">
        <is>
          <t>SÖDERMANLANDS LÄN</t>
        </is>
      </c>
      <c r="G264" t="inlineStr">
        <is>
          <t>NYKÖPING</t>
        </is>
      </c>
      <c r="I264" t="n">
        <v>15.2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41137-2022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44825</v>
      </c>
      <c r="E265" s="1" t="n">
        <v>46298</v>
      </c>
      <c r="F265" t="inlineStr">
        <is>
          <t>SÖDERMANLANDS LÄN</t>
        </is>
      </c>
      <c r="G265" t="inlineStr">
        <is>
          <t>NYKÖPING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6519-2023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44965</v>
      </c>
      <c r="E266" s="1" t="n">
        <v>46298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Kyrkan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46027</v>
      </c>
      <c r="E267" s="1" t="n">
        <v>46298</v>
      </c>
      <c r="F267" t="inlineStr">
        <is>
          <t>SÖDERMANLANDS LÄN</t>
        </is>
      </c>
      <c r="G267" t="inlineStr">
        <is>
          <t>NYKÖPING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45854</v>
      </c>
      <c r="E268" s="1" t="n">
        <v>46298</v>
      </c>
      <c r="F268" t="inlineStr">
        <is>
          <t>SÖDERMANLANDS LÄN</t>
        </is>
      </c>
      <c r="G268" t="inlineStr">
        <is>
          <t>NYKÖPING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46298</v>
      </c>
      <c r="F269" t="inlineStr">
        <is>
          <t>SÖDERMANLANDS LÄN</t>
        </is>
      </c>
      <c r="G269" t="inlineStr">
        <is>
          <t>NYKÖPING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46298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Kommuner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38149-2024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45545</v>
      </c>
      <c r="E271" s="1" t="n">
        <v>46298</v>
      </c>
      <c r="F271" t="inlineStr">
        <is>
          <t>SÖDERMANLANDS LÄN</t>
        </is>
      </c>
      <c r="G271" t="inlineStr">
        <is>
          <t>NYKÖPING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46298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45685</v>
      </c>
      <c r="E273" s="1" t="n">
        <v>46298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46298</v>
      </c>
      <c r="F274" t="inlineStr">
        <is>
          <t>SÖDERMANLANDS LÄN</t>
        </is>
      </c>
      <c r="G274" t="inlineStr">
        <is>
          <t>NYKÖPING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46298</v>
      </c>
      <c r="F275" t="inlineStr">
        <is>
          <t>SÖDERMANLANDS LÄN</t>
        </is>
      </c>
      <c r="G275" t="inlineStr">
        <is>
          <t>NYKÖPING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46298</v>
      </c>
      <c r="F276" t="inlineStr">
        <is>
          <t>SÖDERMANLANDS LÄN</t>
        </is>
      </c>
      <c r="G276" t="inlineStr">
        <is>
          <t>NYKÖPING</t>
        </is>
      </c>
      <c r="I276" t="n">
        <v>11.7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46298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46298</v>
      </c>
      <c r="F278" t="inlineStr">
        <is>
          <t>SÖDERMANLANDS LÄN</t>
        </is>
      </c>
      <c r="G278" t="inlineStr">
        <is>
          <t>NYKÖPING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48709-2022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44859</v>
      </c>
      <c r="E279" s="1" t="n">
        <v>46298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44879</v>
      </c>
      <c r="E280" s="1" t="n">
        <v>46298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45729</v>
      </c>
      <c r="E281" s="1" t="n">
        <v>46298</v>
      </c>
      <c r="F281" t="inlineStr">
        <is>
          <t>SÖDERMANLANDS LÄN</t>
        </is>
      </c>
      <c r="G281" t="inlineStr">
        <is>
          <t>NYKÖPING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46298</v>
      </c>
      <c r="F282" t="inlineStr">
        <is>
          <t>SÖDERMANLANDS LÄN</t>
        </is>
      </c>
      <c r="G282" t="inlineStr">
        <is>
          <t>NYKÖPING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46298</v>
      </c>
      <c r="F283" t="inlineStr">
        <is>
          <t>SÖDERMANLANDS LÄN</t>
        </is>
      </c>
      <c r="G283" t="inlineStr">
        <is>
          <t>NYKÖPING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46298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46298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46298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44649</v>
      </c>
      <c r="E287" s="1" t="n">
        <v>46298</v>
      </c>
      <c r="F287" t="inlineStr">
        <is>
          <t>SÖDERMANLANDS LÄN</t>
        </is>
      </c>
      <c r="G287" t="inlineStr">
        <is>
          <t>NYKÖPING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27975-2022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44744</v>
      </c>
      <c r="E288" s="1" t="n">
        <v>46298</v>
      </c>
      <c r="F288" t="inlineStr">
        <is>
          <t>SÖDERMANLANDS LÄN</t>
        </is>
      </c>
      <c r="G288" t="inlineStr">
        <is>
          <t>NYKÖPING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45315</v>
      </c>
      <c r="E289" s="1" t="n">
        <v>46298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45611</v>
      </c>
      <c r="E290" s="1" t="n">
        <v>46298</v>
      </c>
      <c r="F290" t="inlineStr">
        <is>
          <t>SÖDERMANLANDS LÄN</t>
        </is>
      </c>
      <c r="G290" t="inlineStr">
        <is>
          <t>NYKÖPING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46298</v>
      </c>
      <c r="F291" t="inlineStr">
        <is>
          <t>SÖDERMANLANDS LÄN</t>
        </is>
      </c>
      <c r="G291" t="inlineStr">
        <is>
          <t>NYKÖPING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44236-2025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46298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46298</v>
      </c>
      <c r="F293" t="inlineStr">
        <is>
          <t>SÖDERMANLANDS LÄN</t>
        </is>
      </c>
      <c r="G293" t="inlineStr">
        <is>
          <t>NYKÖPING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46298</v>
      </c>
      <c r="F294" t="inlineStr">
        <is>
          <t>SÖDERMANLANDS LÄN</t>
        </is>
      </c>
      <c r="G294" t="inlineStr">
        <is>
          <t>NYKÖPING</t>
        </is>
      </c>
      <c r="I294" t="n">
        <v>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46298</v>
      </c>
      <c r="F295" t="inlineStr">
        <is>
          <t>SÖDERMANLANDS LÄN</t>
        </is>
      </c>
      <c r="G295" t="inlineStr">
        <is>
          <t>NYKÖPING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46298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38846-2023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45163</v>
      </c>
      <c r="E297" s="1" t="n">
        <v>46298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46298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46298</v>
      </c>
      <c r="F299" t="inlineStr">
        <is>
          <t>SÖDERMANLANDS LÄN</t>
        </is>
      </c>
      <c r="G299" t="inlineStr">
        <is>
          <t>NYKÖPING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46298</v>
      </c>
      <c r="F300" t="inlineStr">
        <is>
          <t>SÖDERMANLANDS LÄN</t>
        </is>
      </c>
      <c r="G300" t="inlineStr">
        <is>
          <t>NYKÖPING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46298</v>
      </c>
      <c r="F301" t="inlineStr">
        <is>
          <t>SÖDERMANLANDS LÄN</t>
        </is>
      </c>
      <c r="G301" t="inlineStr">
        <is>
          <t>NYKÖPING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46298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45160</v>
      </c>
      <c r="E303" s="1" t="n">
        <v>46298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Kommuner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45919</v>
      </c>
      <c r="E304" s="1" t="n">
        <v>46298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16981-2023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46298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53335-2023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45229</v>
      </c>
      <c r="E306" s="1" t="n">
        <v>46298</v>
      </c>
      <c r="F306" t="inlineStr">
        <is>
          <t>SÖDERMANLANDS LÄN</t>
        </is>
      </c>
      <c r="G306" t="inlineStr">
        <is>
          <t>NYKÖPING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46298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44970</v>
      </c>
      <c r="E308" s="1" t="n">
        <v>46298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46298</v>
      </c>
      <c r="F309" t="inlineStr">
        <is>
          <t>SÖDERMANLANDS LÄN</t>
        </is>
      </c>
      <c r="G309" t="inlineStr">
        <is>
          <t>NYKÖPING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46298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45278</v>
      </c>
      <c r="E311" s="1" t="n">
        <v>46298</v>
      </c>
      <c r="F311" t="inlineStr">
        <is>
          <t>SÖDERMANLANDS LÄN</t>
        </is>
      </c>
      <c r="G311" t="inlineStr">
        <is>
          <t>NYKÖPING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46298</v>
      </c>
      <c r="F312" t="inlineStr">
        <is>
          <t>SÖDERMANLANDS LÄN</t>
        </is>
      </c>
      <c r="G312" t="inlineStr">
        <is>
          <t>NYKÖPING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45518</v>
      </c>
      <c r="E313" s="1" t="n">
        <v>46298</v>
      </c>
      <c r="F313" t="inlineStr">
        <is>
          <t>SÖDERMANLANDS LÄN</t>
        </is>
      </c>
      <c r="G313" t="inlineStr">
        <is>
          <t>NYKÖPING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46298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59159-2022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46298</v>
      </c>
      <c r="F315" t="inlineStr">
        <is>
          <t>SÖDERMANLANDS LÄN</t>
        </is>
      </c>
      <c r="G315" t="inlineStr">
        <is>
          <t>NYKÖPING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35467-2025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45855</v>
      </c>
      <c r="E316" s="1" t="n">
        <v>46298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45132</v>
      </c>
      <c r="E317" s="1" t="n">
        <v>46298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45161</v>
      </c>
      <c r="E318" s="1" t="n">
        <v>46298</v>
      </c>
      <c r="F318" t="inlineStr">
        <is>
          <t>SÖDERMANLANDS LÄN</t>
        </is>
      </c>
      <c r="G318" t="inlineStr">
        <is>
          <t>NYKÖPING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46298</v>
      </c>
      <c r="F319" t="inlineStr">
        <is>
          <t>SÖDERMANLANDS LÄN</t>
        </is>
      </c>
      <c r="G319" t="inlineStr">
        <is>
          <t>NYKÖPING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44830</v>
      </c>
      <c r="E320" s="1" t="n">
        <v>46298</v>
      </c>
      <c r="F320" t="inlineStr">
        <is>
          <t>SÖDERMANLANDS LÄN</t>
        </is>
      </c>
      <c r="G320" t="inlineStr">
        <is>
          <t>NYKÖPING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46298</v>
      </c>
      <c r="F321" t="inlineStr">
        <is>
          <t>SÖDERMANLANDS LÄN</t>
        </is>
      </c>
      <c r="G321" t="inlineStr">
        <is>
          <t>NYKÖPING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46298</v>
      </c>
      <c r="F322" t="inlineStr">
        <is>
          <t>SÖDERMANLANDS LÄN</t>
        </is>
      </c>
      <c r="G322" t="inlineStr">
        <is>
          <t>NYKÖPING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46298</v>
      </c>
      <c r="F323" t="inlineStr">
        <is>
          <t>SÖDERMANLANDS LÄN</t>
        </is>
      </c>
      <c r="G323" t="inlineStr">
        <is>
          <t>NYKÖPING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46298</v>
      </c>
      <c r="F324" t="inlineStr">
        <is>
          <t>SÖDERMANLANDS LÄN</t>
        </is>
      </c>
      <c r="G324" t="inlineStr">
        <is>
          <t>NYKÖPING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46298</v>
      </c>
      <c r="F325" t="inlineStr">
        <is>
          <t>SÖDERMANLANDS LÄN</t>
        </is>
      </c>
      <c r="G325" t="inlineStr">
        <is>
          <t>NYKÖPING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44976</v>
      </c>
      <c r="E326" s="1" t="n">
        <v>46298</v>
      </c>
      <c r="F326" t="inlineStr">
        <is>
          <t>SÖDERMANLANDS LÄN</t>
        </is>
      </c>
      <c r="G326" t="inlineStr">
        <is>
          <t>NYKÖPING</t>
        </is>
      </c>
      <c r="I326" t="n">
        <v>11.1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44867</v>
      </c>
      <c r="E327" s="1" t="n">
        <v>46298</v>
      </c>
      <c r="F327" t="inlineStr">
        <is>
          <t>SÖDERMANLANDS LÄN</t>
        </is>
      </c>
      <c r="G327" t="inlineStr">
        <is>
          <t>NYKÖPING</t>
        </is>
      </c>
      <c r="I327" t="n">
        <v>13.4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45672</v>
      </c>
      <c r="E328" s="1" t="n">
        <v>46298</v>
      </c>
      <c r="F328" t="inlineStr">
        <is>
          <t>SÖDERMANLANDS LÄN</t>
        </is>
      </c>
      <c r="G328" t="inlineStr">
        <is>
          <t>NYKÖPING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46298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Kommuner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49613-2025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46298</v>
      </c>
      <c r="F330" t="inlineStr">
        <is>
          <t>SÖDERMANLANDS LÄN</t>
        </is>
      </c>
      <c r="G330" t="inlineStr">
        <is>
          <t>NYKÖPING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18604-2023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45043</v>
      </c>
      <c r="E331" s="1" t="n">
        <v>46298</v>
      </c>
      <c r="F331" t="inlineStr">
        <is>
          <t>SÖDERMANLANDS LÄN</t>
        </is>
      </c>
      <c r="G331" t="inlineStr">
        <is>
          <t>NYKÖPING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45944</v>
      </c>
      <c r="E332" s="1" t="n">
        <v>46298</v>
      </c>
      <c r="F332" t="inlineStr">
        <is>
          <t>SÖDERMANLANDS LÄN</t>
        </is>
      </c>
      <c r="G332" t="inlineStr">
        <is>
          <t>NYKÖPING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46298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45329</v>
      </c>
      <c r="E334" s="1" t="n">
        <v>46298</v>
      </c>
      <c r="F334" t="inlineStr">
        <is>
          <t>SÖDERMANLANDS LÄN</t>
        </is>
      </c>
      <c r="G334" t="inlineStr">
        <is>
          <t>NYKÖPING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45359</v>
      </c>
      <c r="E335" s="1" t="n">
        <v>46298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46298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Kyrkan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45900</v>
      </c>
      <c r="E337" s="1" t="n">
        <v>46298</v>
      </c>
      <c r="F337" t="inlineStr">
        <is>
          <t>SÖDERMANLANDS LÄN</t>
        </is>
      </c>
      <c r="G337" t="inlineStr">
        <is>
          <t>NYKÖPING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45258</v>
      </c>
      <c r="E338" s="1" t="n">
        <v>46298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Övriga Aktiebolag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44510</v>
      </c>
      <c r="E339" s="1" t="n">
        <v>46298</v>
      </c>
      <c r="F339" t="inlineStr">
        <is>
          <t>SÖDERMANLANDS LÄN</t>
        </is>
      </c>
      <c r="G339" t="inlineStr">
        <is>
          <t>NYKÖPING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44678</v>
      </c>
      <c r="E340" s="1" t="n">
        <v>46298</v>
      </c>
      <c r="F340" t="inlineStr">
        <is>
          <t>SÖDERMANLANDS LÄN</t>
        </is>
      </c>
      <c r="G340" t="inlineStr">
        <is>
          <t>NYKÖPING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46298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46298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46298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46298</v>
      </c>
      <c r="F344" t="inlineStr">
        <is>
          <t>SÖDERMANLANDS LÄN</t>
        </is>
      </c>
      <c r="G344" t="inlineStr">
        <is>
          <t>NYKÖPING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45733</v>
      </c>
      <c r="E345" s="1" t="n">
        <v>46298</v>
      </c>
      <c r="F345" t="inlineStr">
        <is>
          <t>SÖDERMANLANDS LÄN</t>
        </is>
      </c>
      <c r="G345" t="inlineStr">
        <is>
          <t>NYKÖPING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46298</v>
      </c>
      <c r="F346" t="inlineStr">
        <is>
          <t>SÖDERMANLANDS LÄN</t>
        </is>
      </c>
      <c r="G346" t="inlineStr">
        <is>
          <t>NYKÖPING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46298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45733</v>
      </c>
      <c r="E348" s="1" t="n">
        <v>46298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45008</v>
      </c>
      <c r="E349" s="1" t="n">
        <v>46298</v>
      </c>
      <c r="F349" t="inlineStr">
        <is>
          <t>SÖDERMANLANDS LÄN</t>
        </is>
      </c>
      <c r="G349" t="inlineStr">
        <is>
          <t>NYKÖPING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44579</v>
      </c>
      <c r="E350" s="1" t="n">
        <v>46298</v>
      </c>
      <c r="F350" t="inlineStr">
        <is>
          <t>SÖDERMANLANDS LÄN</t>
        </is>
      </c>
      <c r="G350" t="inlineStr">
        <is>
          <t>NYKÖPING</t>
        </is>
      </c>
      <c r="I350" t="n">
        <v>10.8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45705</v>
      </c>
      <c r="E351" s="1" t="n">
        <v>46298</v>
      </c>
      <c r="F351" t="inlineStr">
        <is>
          <t>SÖDERMANLANDS LÄN</t>
        </is>
      </c>
      <c r="G351" t="inlineStr">
        <is>
          <t>NYKÖPING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43306-2023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46298</v>
      </c>
      <c r="F352" t="inlineStr">
        <is>
          <t>SÖDERMANLANDS LÄN</t>
        </is>
      </c>
      <c r="G352" t="inlineStr">
        <is>
          <t>NYKÖPING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45082</v>
      </c>
      <c r="E353" s="1" t="n">
        <v>46298</v>
      </c>
      <c r="F353" t="inlineStr">
        <is>
          <t>SÖDERMANLANDS LÄN</t>
        </is>
      </c>
      <c r="G353" t="inlineStr">
        <is>
          <t>NYKÖPING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46298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46298</v>
      </c>
      <c r="F355" t="inlineStr">
        <is>
          <t>SÖDERMANLANDS LÄN</t>
        </is>
      </c>
      <c r="G355" t="inlineStr">
        <is>
          <t>NYKÖPING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45817</v>
      </c>
      <c r="E356" s="1" t="n">
        <v>46298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46298</v>
      </c>
      <c r="F357" t="inlineStr">
        <is>
          <t>SÖDERMANLANDS LÄN</t>
        </is>
      </c>
      <c r="G357" t="inlineStr">
        <is>
          <t>NYKÖPING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46298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46298</v>
      </c>
      <c r="F359" t="inlineStr">
        <is>
          <t>SÖDERMANLANDS LÄN</t>
        </is>
      </c>
      <c r="G359" t="inlineStr">
        <is>
          <t>NYKÖPING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46298</v>
      </c>
      <c r="F360" t="inlineStr">
        <is>
          <t>SÖDERMANLANDS LÄN</t>
        </is>
      </c>
      <c r="G360" t="inlineStr">
        <is>
          <t>NYKÖPING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45970</v>
      </c>
      <c r="E361" s="1" t="n">
        <v>46298</v>
      </c>
      <c r="F361" t="inlineStr">
        <is>
          <t>SÖDERMANLANDS LÄN</t>
        </is>
      </c>
      <c r="G361" t="inlineStr">
        <is>
          <t>NYKÖPING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44620</v>
      </c>
      <c r="E362" s="1" t="n">
        <v>46298</v>
      </c>
      <c r="F362" t="inlineStr">
        <is>
          <t>SÖDERMANLANDS LÄN</t>
        </is>
      </c>
      <c r="G362" t="inlineStr">
        <is>
          <t>NYKÖPING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45001</v>
      </c>
      <c r="E363" s="1" t="n">
        <v>46298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Kyrkan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46298</v>
      </c>
      <c r="F364" t="inlineStr">
        <is>
          <t>SÖDERMANLANDS LÄN</t>
        </is>
      </c>
      <c r="G364" t="inlineStr">
        <is>
          <t>NYKÖPING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46298</v>
      </c>
      <c r="F365" t="inlineStr">
        <is>
          <t>SÖDERMANLANDS LÄN</t>
        </is>
      </c>
      <c r="G365" t="inlineStr">
        <is>
          <t>NYKÖPING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44811</v>
      </c>
      <c r="E366" s="1" t="n">
        <v>46298</v>
      </c>
      <c r="F366" t="inlineStr">
        <is>
          <t>SÖDERMANLANDS LÄN</t>
        </is>
      </c>
      <c r="G366" t="inlineStr">
        <is>
          <t>NYKÖPING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37911-2022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44810</v>
      </c>
      <c r="E367" s="1" t="n">
        <v>46298</v>
      </c>
      <c r="F367" t="inlineStr">
        <is>
          <t>SÖDERMANLANDS LÄN</t>
        </is>
      </c>
      <c r="G367" t="inlineStr">
        <is>
          <t>NYKÖPING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31392-2022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44774</v>
      </c>
      <c r="E368" s="1" t="n">
        <v>46298</v>
      </c>
      <c r="F368" t="inlineStr">
        <is>
          <t>SÖDERMANLANDS LÄN</t>
        </is>
      </c>
      <c r="G368" t="inlineStr">
        <is>
          <t>NYKÖPING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44817</v>
      </c>
      <c r="E369" s="1" t="n">
        <v>46298</v>
      </c>
      <c r="F369" t="inlineStr">
        <is>
          <t>SÖDERMANLANDS LÄN</t>
        </is>
      </c>
      <c r="G369" t="inlineStr">
        <is>
          <t>NYKÖPING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44830</v>
      </c>
      <c r="E370" s="1" t="n">
        <v>46298</v>
      </c>
      <c r="F370" t="inlineStr">
        <is>
          <t>SÖDERMANLANDS LÄN</t>
        </is>
      </c>
      <c r="G370" t="inlineStr">
        <is>
          <t>NYKÖPING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46298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6392-2023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44965</v>
      </c>
      <c r="E372" s="1" t="n">
        <v>46298</v>
      </c>
      <c r="F372" t="inlineStr">
        <is>
          <t>SÖDERMANLANDS LÄN</t>
        </is>
      </c>
      <c r="G372" t="inlineStr">
        <is>
          <t>NYKÖPING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46298</v>
      </c>
      <c r="F373" t="inlineStr">
        <is>
          <t>SÖDERMANLANDS LÄN</t>
        </is>
      </c>
      <c r="G373" t="inlineStr">
        <is>
          <t>NYKÖPING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45819</v>
      </c>
      <c r="E374" s="1" t="n">
        <v>46298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46298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46298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46298</v>
      </c>
      <c r="F377" t="inlineStr">
        <is>
          <t>SÖDERMANLANDS LÄN</t>
        </is>
      </c>
      <c r="G377" t="inlineStr">
        <is>
          <t>NYKÖPING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46298</v>
      </c>
      <c r="F378" t="inlineStr">
        <is>
          <t>SÖDERMANLANDS LÄN</t>
        </is>
      </c>
      <c r="G378" t="inlineStr">
        <is>
          <t>NYKÖPING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45743</v>
      </c>
      <c r="E379" s="1" t="n">
        <v>46298</v>
      </c>
      <c r="F379" t="inlineStr">
        <is>
          <t>SÖDERMANLANDS LÄN</t>
        </is>
      </c>
      <c r="G379" t="inlineStr">
        <is>
          <t>NYKÖPING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56268-2022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44890</v>
      </c>
      <c r="E380" s="1" t="n">
        <v>46298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Övriga Aktiebolag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46298</v>
      </c>
      <c r="F381" t="inlineStr">
        <is>
          <t>SÖDERMANLANDS LÄN</t>
        </is>
      </c>
      <c r="G381" t="inlineStr">
        <is>
          <t>NYKÖPING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46114</v>
      </c>
      <c r="E382" s="1" t="n">
        <v>46298</v>
      </c>
      <c r="F382" t="inlineStr">
        <is>
          <t>SÖDERMANLANDS LÄN</t>
        </is>
      </c>
      <c r="G382" t="inlineStr">
        <is>
          <t>NYKÖPING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43952-2022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46298</v>
      </c>
      <c r="F383" t="inlineStr">
        <is>
          <t>SÖDERMANLANDS LÄN</t>
        </is>
      </c>
      <c r="G383" t="inlineStr">
        <is>
          <t>NYKÖPING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44820-2022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44839</v>
      </c>
      <c r="E384" s="1" t="n">
        <v>46298</v>
      </c>
      <c r="F384" t="inlineStr">
        <is>
          <t>SÖDERMANLANDS LÄN</t>
        </is>
      </c>
      <c r="G384" t="inlineStr">
        <is>
          <t>NYKÖPING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44908-2022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44840</v>
      </c>
      <c r="E385" s="1" t="n">
        <v>46298</v>
      </c>
      <c r="F385" t="inlineStr">
        <is>
          <t>SÖDERMANLANDS LÄN</t>
        </is>
      </c>
      <c r="G385" t="inlineStr">
        <is>
          <t>NYKÖPING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46298</v>
      </c>
      <c r="F386" t="inlineStr">
        <is>
          <t>SÖDERMANLANDS LÄN</t>
        </is>
      </c>
      <c r="G386" t="inlineStr">
        <is>
          <t>NYKÖPING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46298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59998-2025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45993</v>
      </c>
      <c r="E388" s="1" t="n">
        <v>46298</v>
      </c>
      <c r="F388" t="inlineStr">
        <is>
          <t>SÖDERMANLANDS LÄN</t>
        </is>
      </c>
      <c r="G388" t="inlineStr">
        <is>
          <t>NYKÖPING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44965</v>
      </c>
      <c r="E389" s="1" t="n">
        <v>46298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Kyrkan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45365</v>
      </c>
      <c r="E390" s="1" t="n">
        <v>46298</v>
      </c>
      <c r="F390" t="inlineStr">
        <is>
          <t>SÖDERMANLANDS LÄN</t>
        </is>
      </c>
      <c r="G390" t="inlineStr">
        <is>
          <t>NYKÖPING</t>
        </is>
      </c>
      <c r="I390" t="n">
        <v>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59991-2025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46298</v>
      </c>
      <c r="F391" t="inlineStr">
        <is>
          <t>SÖDERMANLANDS LÄN</t>
        </is>
      </c>
      <c r="G391" t="inlineStr">
        <is>
          <t>NYKÖPING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46298</v>
      </c>
      <c r="F392" t="inlineStr">
        <is>
          <t>SÖDERMANLANDS LÄN</t>
        </is>
      </c>
      <c r="G392" t="inlineStr">
        <is>
          <t>NYKÖPING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46298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46298</v>
      </c>
      <c r="F394" t="inlineStr">
        <is>
          <t>SÖDERMANLANDS LÄN</t>
        </is>
      </c>
      <c r="G394" t="inlineStr">
        <is>
          <t>NYKÖPING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6976-2023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44967</v>
      </c>
      <c r="E395" s="1" t="n">
        <v>46298</v>
      </c>
      <c r="F395" t="inlineStr">
        <is>
          <t>SÖDERMANLANDS LÄN</t>
        </is>
      </c>
      <c r="G395" t="inlineStr">
        <is>
          <t>NYKÖPING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46298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Allmännings- och besparingsskogar</t>
        </is>
      </c>
      <c r="I396" t="n">
        <v>13.5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46298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Allmännings- och besparingsskogar</t>
        </is>
      </c>
      <c r="I397" t="n">
        <v>10.6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50158-2022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44865</v>
      </c>
      <c r="E398" s="1" t="n">
        <v>46298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46298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31034-2025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45831</v>
      </c>
      <c r="E400" s="1" t="n">
        <v>46298</v>
      </c>
      <c r="F400" t="inlineStr">
        <is>
          <t>SÖDERMANLANDS LÄN</t>
        </is>
      </c>
      <c r="G400" t="inlineStr">
        <is>
          <t>NYKÖPING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46298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44960</v>
      </c>
      <c r="E402" s="1" t="n">
        <v>46298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34218-2024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45524</v>
      </c>
      <c r="E403" s="1" t="n">
        <v>46298</v>
      </c>
      <c r="F403" t="inlineStr">
        <is>
          <t>SÖDERMANLANDS LÄN</t>
        </is>
      </c>
      <c r="G403" t="inlineStr">
        <is>
          <t>NYKÖPING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19807-2026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46135</v>
      </c>
      <c r="E404" s="1" t="n">
        <v>46298</v>
      </c>
      <c r="F404" t="inlineStr">
        <is>
          <t>SÖDERMANLANDS LÄN</t>
        </is>
      </c>
      <c r="G404" t="inlineStr">
        <is>
          <t>NYKÖPING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45559</v>
      </c>
      <c r="E405" s="1" t="n">
        <v>46298</v>
      </c>
      <c r="F405" t="inlineStr">
        <is>
          <t>SÖDERMANLANDS LÄN</t>
        </is>
      </c>
      <c r="G405" t="inlineStr">
        <is>
          <t>NYKÖPING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44853</v>
      </c>
      <c r="E406" s="1" t="n">
        <v>46298</v>
      </c>
      <c r="F406" t="inlineStr">
        <is>
          <t>SÖDERMANLANDS LÄN</t>
        </is>
      </c>
      <c r="G406" t="inlineStr">
        <is>
          <t>NYKÖPING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45834</v>
      </c>
      <c r="E407" s="1" t="n">
        <v>46298</v>
      </c>
      <c r="F407" t="inlineStr">
        <is>
          <t>SÖDERMANLANDS LÄN</t>
        </is>
      </c>
      <c r="G407" t="inlineStr">
        <is>
          <t>NYKÖPING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31922-2025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45834</v>
      </c>
      <c r="E408" s="1" t="n">
        <v>46298</v>
      </c>
      <c r="F408" t="inlineStr">
        <is>
          <t>SÖDERMANLANDS LÄN</t>
        </is>
      </c>
      <c r="G408" t="inlineStr">
        <is>
          <t>NYKÖPING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53738-2022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44880</v>
      </c>
      <c r="E409" s="1" t="n">
        <v>46298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Övriga Aktiebolag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39321-2023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45166</v>
      </c>
      <c r="E410" s="1" t="n">
        <v>46298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45356</v>
      </c>
      <c r="E411" s="1" t="n">
        <v>46298</v>
      </c>
      <c r="F411" t="inlineStr">
        <is>
          <t>SÖDERMANLANDS LÄN</t>
        </is>
      </c>
      <c r="G411" t="inlineStr">
        <is>
          <t>NYKÖPING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45096</v>
      </c>
      <c r="E412" s="1" t="n">
        <v>46298</v>
      </c>
      <c r="F412" t="inlineStr">
        <is>
          <t>SÖDERMANLANDS LÄN</t>
        </is>
      </c>
      <c r="G412" t="inlineStr">
        <is>
          <t>NYKÖPING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70092-2021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44536</v>
      </c>
      <c r="E413" s="1" t="n">
        <v>46298</v>
      </c>
      <c r="F413" t="inlineStr">
        <is>
          <t>SÖDERMANLANDS LÄN</t>
        </is>
      </c>
      <c r="G413" t="inlineStr">
        <is>
          <t>NYKÖPING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31923-2025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45834</v>
      </c>
      <c r="E414" s="1" t="n">
        <v>46298</v>
      </c>
      <c r="F414" t="inlineStr">
        <is>
          <t>SÖDERMANLANDS LÄN</t>
        </is>
      </c>
      <c r="G414" t="inlineStr">
        <is>
          <t>NYKÖPING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45834</v>
      </c>
      <c r="E415" s="1" t="n">
        <v>46298</v>
      </c>
      <c r="F415" t="inlineStr">
        <is>
          <t>SÖDERMANLANDS LÄN</t>
        </is>
      </c>
      <c r="G415" t="inlineStr">
        <is>
          <t>NYKÖPING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44767</v>
      </c>
      <c r="E416" s="1" t="n">
        <v>46298</v>
      </c>
      <c r="F416" t="inlineStr">
        <is>
          <t>SÖDERMANLANDS LÄN</t>
        </is>
      </c>
      <c r="G416" t="inlineStr">
        <is>
          <t>NYKÖPING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54065-2025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45964</v>
      </c>
      <c r="E417" s="1" t="n">
        <v>46298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43880-2023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45187</v>
      </c>
      <c r="E418" s="1" t="n">
        <v>46298</v>
      </c>
      <c r="F418" t="inlineStr">
        <is>
          <t>SÖDERMANLANDS LÄN</t>
        </is>
      </c>
      <c r="G418" t="inlineStr">
        <is>
          <t>NYKÖPING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16906-2022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44676</v>
      </c>
      <c r="E419" s="1" t="n">
        <v>46298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46298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18551-2024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45425</v>
      </c>
      <c r="E421" s="1" t="n">
        <v>46298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32836-2022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44784</v>
      </c>
      <c r="E422" s="1" t="n">
        <v>46298</v>
      </c>
      <c r="F422" t="inlineStr">
        <is>
          <t>SÖDERMANLANDS LÄN</t>
        </is>
      </c>
      <c r="G422" t="inlineStr">
        <is>
          <t>NYKÖPING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73877-2021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44553</v>
      </c>
      <c r="E423" s="1" t="n">
        <v>46298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44711</v>
      </c>
      <c r="E424" s="1" t="n">
        <v>46298</v>
      </c>
      <c r="F424" t="inlineStr">
        <is>
          <t>SÖDERMANLANDS LÄN</t>
        </is>
      </c>
      <c r="G424" t="inlineStr">
        <is>
          <t>NYKÖPING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45841</v>
      </c>
      <c r="E425" s="1" t="n">
        <v>46298</v>
      </c>
      <c r="F425" t="inlineStr">
        <is>
          <t>SÖDERMANLANDS LÄN</t>
        </is>
      </c>
      <c r="G425" t="inlineStr">
        <is>
          <t>NYKÖPING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46298</v>
      </c>
      <c r="F426" t="inlineStr">
        <is>
          <t>SÖDERMANLANDS LÄN</t>
        </is>
      </c>
      <c r="G426" t="inlineStr">
        <is>
          <t>NYKÖPING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46298</v>
      </c>
      <c r="F427" t="inlineStr">
        <is>
          <t>SÖDERMANLANDS LÄN</t>
        </is>
      </c>
      <c r="G427" t="inlineStr">
        <is>
          <t>NYKÖPING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44881</v>
      </c>
      <c r="E428" s="1" t="n">
        <v>46298</v>
      </c>
      <c r="F428" t="inlineStr">
        <is>
          <t>SÖDERMANLANDS LÄN</t>
        </is>
      </c>
      <c r="G428" t="inlineStr">
        <is>
          <t>NYKÖPING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41099-2022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44825</v>
      </c>
      <c r="E429" s="1" t="n">
        <v>46298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44988</v>
      </c>
      <c r="E430" s="1" t="n">
        <v>46298</v>
      </c>
      <c r="F430" t="inlineStr">
        <is>
          <t>SÖDERMANLANDS LÄN</t>
        </is>
      </c>
      <c r="G430" t="inlineStr">
        <is>
          <t>NYKÖPING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33764-2025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45842</v>
      </c>
      <c r="E431" s="1" t="n">
        <v>46298</v>
      </c>
      <c r="F431" t="inlineStr">
        <is>
          <t>SÖDERMANLANDS LÄN</t>
        </is>
      </c>
      <c r="G431" t="inlineStr">
        <is>
          <t>NYKÖPING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46298</v>
      </c>
      <c r="F432" t="inlineStr">
        <is>
          <t>SÖDERMANLANDS LÄN</t>
        </is>
      </c>
      <c r="G432" t="inlineStr">
        <is>
          <t>NYKÖPING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45842</v>
      </c>
      <c r="E433" s="1" t="n">
        <v>46298</v>
      </c>
      <c r="F433" t="inlineStr">
        <is>
          <t>SÖDERMANLANDS LÄN</t>
        </is>
      </c>
      <c r="G433" t="inlineStr">
        <is>
          <t>NYKÖPING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46298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45844</v>
      </c>
      <c r="E435" s="1" t="n">
        <v>46298</v>
      </c>
      <c r="F435" t="inlineStr">
        <is>
          <t>SÖDERMANLANDS LÄN</t>
        </is>
      </c>
      <c r="G435" t="inlineStr">
        <is>
          <t>NYKÖPING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45842</v>
      </c>
      <c r="E436" s="1" t="n">
        <v>46298</v>
      </c>
      <c r="F436" t="inlineStr">
        <is>
          <t>SÖDERMANLANDS LÄN</t>
        </is>
      </c>
      <c r="G436" t="inlineStr">
        <is>
          <t>NYKÖPING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46298</v>
      </c>
      <c r="F437" t="inlineStr">
        <is>
          <t>SÖDERMANLANDS LÄN</t>
        </is>
      </c>
      <c r="G437" t="inlineStr">
        <is>
          <t>NYKÖPING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45216</v>
      </c>
      <c r="E438" s="1" t="n">
        <v>46298</v>
      </c>
      <c r="F438" t="inlineStr">
        <is>
          <t>SÖDERMANLANDS LÄN</t>
        </is>
      </c>
      <c r="G438" t="inlineStr">
        <is>
          <t>NYKÖPING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44607</v>
      </c>
      <c r="E439" s="1" t="n">
        <v>46298</v>
      </c>
      <c r="F439" t="inlineStr">
        <is>
          <t>SÖDERMANLANDS LÄN</t>
        </is>
      </c>
      <c r="G439" t="inlineStr">
        <is>
          <t>NYKÖPING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28644-2025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45819</v>
      </c>
      <c r="E440" s="1" t="n">
        <v>46298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46298</v>
      </c>
      <c r="F441" t="inlineStr">
        <is>
          <t>SÖDERMANLANDS LÄN</t>
        </is>
      </c>
      <c r="G441" t="inlineStr">
        <is>
          <t>NYKÖPING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44995</v>
      </c>
      <c r="E442" s="1" t="n">
        <v>46298</v>
      </c>
      <c r="F442" t="inlineStr">
        <is>
          <t>SÖDERMANLANDS LÄN</t>
        </is>
      </c>
      <c r="G442" t="inlineStr">
        <is>
          <t>NYKÖPING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46298</v>
      </c>
      <c r="F443" t="inlineStr">
        <is>
          <t>SÖDERMANLANDS LÄN</t>
        </is>
      </c>
      <c r="G443" t="inlineStr">
        <is>
          <t>NYKÖPING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40635-2023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46298</v>
      </c>
      <c r="F444" t="inlineStr">
        <is>
          <t>SÖDERMANLANDS LÄN</t>
        </is>
      </c>
      <c r="G444" t="inlineStr">
        <is>
          <t>NYKÖPING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45826</v>
      </c>
      <c r="E445" s="1" t="n">
        <v>46298</v>
      </c>
      <c r="F445" t="inlineStr">
        <is>
          <t>SÖDERMANLANDS LÄN</t>
        </is>
      </c>
      <c r="G445" t="inlineStr">
        <is>
          <t>NYKÖPING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45737</v>
      </c>
      <c r="E446" s="1" t="n">
        <v>46298</v>
      </c>
      <c r="F446" t="inlineStr">
        <is>
          <t>SÖDERMANLANDS LÄN</t>
        </is>
      </c>
      <c r="G446" t="inlineStr">
        <is>
          <t>NYKÖPING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44634</v>
      </c>
      <c r="E447" s="1" t="n">
        <v>46298</v>
      </c>
      <c r="F447" t="inlineStr">
        <is>
          <t>SÖDERMANLANDS LÄN</t>
        </is>
      </c>
      <c r="G447" t="inlineStr">
        <is>
          <t>NYKÖPING</t>
        </is>
      </c>
      <c r="I447" t="n">
        <v>11.4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46139</v>
      </c>
      <c r="E448" s="1" t="n">
        <v>46298</v>
      </c>
      <c r="F448" t="inlineStr">
        <is>
          <t>SÖDERMANLANDS LÄN</t>
        </is>
      </c>
      <c r="G448" t="inlineStr">
        <is>
          <t>NYKÖPING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46298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Övriga Aktiebolag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22972-2023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45072</v>
      </c>
      <c r="E450" s="1" t="n">
        <v>46298</v>
      </c>
      <c r="F450" t="inlineStr">
        <is>
          <t>SÖDERMANLANDS LÄN</t>
        </is>
      </c>
      <c r="G450" t="inlineStr">
        <is>
          <t>NYKÖPING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49223-2022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44858</v>
      </c>
      <c r="E451" s="1" t="n">
        <v>46298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Övriga statliga verk och myndigheter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46298</v>
      </c>
      <c r="F452" t="inlineStr">
        <is>
          <t>SÖDERMANLANDS LÄN</t>
        </is>
      </c>
      <c r="G452" t="inlineStr">
        <is>
          <t>NYKÖPING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46298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Sveaskog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8006-2024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45350</v>
      </c>
      <c r="E454" s="1" t="n">
        <v>46298</v>
      </c>
      <c r="F454" t="inlineStr">
        <is>
          <t>SÖDERMANLANDS LÄN</t>
        </is>
      </c>
      <c r="G454" t="inlineStr">
        <is>
          <t>NYKÖPING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45092</v>
      </c>
      <c r="E455" s="1" t="n">
        <v>46298</v>
      </c>
      <c r="F455" t="inlineStr">
        <is>
          <t>SÖDERMANLANDS LÄN</t>
        </is>
      </c>
      <c r="G455" t="inlineStr">
        <is>
          <t>NYKÖPING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45729</v>
      </c>
      <c r="E456" s="1" t="n">
        <v>46298</v>
      </c>
      <c r="F456" t="inlineStr">
        <is>
          <t>SÖDERMANLANDS LÄN</t>
        </is>
      </c>
      <c r="G456" t="inlineStr">
        <is>
          <t>NYKÖPING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46298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45098</v>
      </c>
      <c r="E458" s="1" t="n">
        <v>46298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47390-2025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45930</v>
      </c>
      <c r="E459" s="1" t="n">
        <v>46298</v>
      </c>
      <c r="F459" t="inlineStr">
        <is>
          <t>SÖDERMANLANDS LÄN</t>
        </is>
      </c>
      <c r="G459" t="inlineStr">
        <is>
          <t>NYKÖPING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45027</v>
      </c>
      <c r="E460" s="1" t="n">
        <v>46298</v>
      </c>
      <c r="F460" t="inlineStr">
        <is>
          <t>SÖDERMANLANDS LÄN</t>
        </is>
      </c>
      <c r="G460" t="inlineStr">
        <is>
          <t>NYKÖPING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35732-2025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45860</v>
      </c>
      <c r="E461" s="1" t="n">
        <v>46298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45761</v>
      </c>
      <c r="E462" s="1" t="n">
        <v>46298</v>
      </c>
      <c r="F462" t="inlineStr">
        <is>
          <t>SÖDERMANLANDS LÄN</t>
        </is>
      </c>
      <c r="G462" t="inlineStr">
        <is>
          <t>NYKÖPING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45343</v>
      </c>
      <c r="E463" s="1" t="n">
        <v>46298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44943</v>
      </c>
      <c r="E464" s="1" t="n">
        <v>46298</v>
      </c>
      <c r="F464" t="inlineStr">
        <is>
          <t>SÖDERMANLANDS LÄN</t>
        </is>
      </c>
      <c r="G464" t="inlineStr">
        <is>
          <t>NYKÖPING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44943</v>
      </c>
      <c r="E465" s="1" t="n">
        <v>46298</v>
      </c>
      <c r="F465" t="inlineStr">
        <is>
          <t>SÖDERMANLANDS LÄN</t>
        </is>
      </c>
      <c r="G465" t="inlineStr">
        <is>
          <t>NYKÖPING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13963-2022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44650</v>
      </c>
      <c r="E466" s="1" t="n">
        <v>46298</v>
      </c>
      <c r="F466" t="inlineStr">
        <is>
          <t>SÖDERMANLANDS LÄN</t>
        </is>
      </c>
      <c r="G466" t="inlineStr">
        <is>
          <t>NYKÖPING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44740</v>
      </c>
      <c r="E467" s="1" t="n">
        <v>46298</v>
      </c>
      <c r="F467" t="inlineStr">
        <is>
          <t>SÖDERMANLANDS LÄN</t>
        </is>
      </c>
      <c r="G467" t="inlineStr">
        <is>
          <t>NYKÖPING</t>
        </is>
      </c>
      <c r="I467" t="n">
        <v>13.1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10211-2024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45364</v>
      </c>
      <c r="E468" s="1" t="n">
        <v>46298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16881-2024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45410</v>
      </c>
      <c r="E469" s="1" t="n">
        <v>46298</v>
      </c>
      <c r="F469" t="inlineStr">
        <is>
          <t>SÖDERMANLANDS LÄN</t>
        </is>
      </c>
      <c r="G469" t="inlineStr">
        <is>
          <t>NYKÖPING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46298</v>
      </c>
      <c r="F470" t="inlineStr">
        <is>
          <t>SÖDERMANLANDS LÄN</t>
        </is>
      </c>
      <c r="G470" t="inlineStr">
        <is>
          <t>NYKÖPING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46298</v>
      </c>
      <c r="F471" t="inlineStr">
        <is>
          <t>SÖDERMANLANDS LÄN</t>
        </is>
      </c>
      <c r="G471" t="inlineStr">
        <is>
          <t>NYKÖPING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44944</v>
      </c>
      <c r="E472" s="1" t="n">
        <v>46298</v>
      </c>
      <c r="F472" t="inlineStr">
        <is>
          <t>SÖDERMANLANDS LÄN</t>
        </is>
      </c>
      <c r="G472" t="inlineStr">
        <is>
          <t>NYKÖPING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44938</v>
      </c>
      <c r="E473" s="1" t="n">
        <v>46298</v>
      </c>
      <c r="F473" t="inlineStr">
        <is>
          <t>SÖDERMANLANDS LÄN</t>
        </is>
      </c>
      <c r="G473" t="inlineStr">
        <is>
          <t>NYKÖPING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46298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44783</v>
      </c>
      <c r="E475" s="1" t="n">
        <v>46298</v>
      </c>
      <c r="F475" t="inlineStr">
        <is>
          <t>SÖDERMANLANDS LÄN</t>
        </is>
      </c>
      <c r="G475" t="inlineStr">
        <is>
          <t>NYKÖPING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8573-2023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44977</v>
      </c>
      <c r="E476" s="1" t="n">
        <v>46298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43585-2022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44837</v>
      </c>
      <c r="E477" s="1" t="n">
        <v>46298</v>
      </c>
      <c r="F477" t="inlineStr">
        <is>
          <t>SÖDERMANLANDS LÄN</t>
        </is>
      </c>
      <c r="G477" t="inlineStr">
        <is>
          <t>NYKÖPING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46298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46298</v>
      </c>
      <c r="F479" t="inlineStr">
        <is>
          <t>SÖDERMANLANDS LÄN</t>
        </is>
      </c>
      <c r="G479" t="inlineStr">
        <is>
          <t>NYKÖPING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44998</v>
      </c>
      <c r="E480" s="1" t="n">
        <v>46298</v>
      </c>
      <c r="F480" t="inlineStr">
        <is>
          <t>SÖDERMANLANDS LÄN</t>
        </is>
      </c>
      <c r="G480" t="inlineStr">
        <is>
          <t>NYKÖPING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44837</v>
      </c>
      <c r="E481" s="1" t="n">
        <v>46298</v>
      </c>
      <c r="F481" t="inlineStr">
        <is>
          <t>SÖDERMANLANDS LÄN</t>
        </is>
      </c>
      <c r="G481" t="inlineStr">
        <is>
          <t>NYKÖPING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43657-2022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44837</v>
      </c>
      <c r="E482" s="1" t="n">
        <v>46298</v>
      </c>
      <c r="F482" t="inlineStr">
        <is>
          <t>SÖDERMANLANDS LÄN</t>
        </is>
      </c>
      <c r="G482" t="inlineStr">
        <is>
          <t>NYKÖPING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44988</v>
      </c>
      <c r="E483" s="1" t="n">
        <v>46298</v>
      </c>
      <c r="F483" t="inlineStr">
        <is>
          <t>SÖDERMANLANDS LÄN</t>
        </is>
      </c>
      <c r="G483" t="inlineStr">
        <is>
          <t>NYKÖPING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45202</v>
      </c>
      <c r="E484" s="1" t="n">
        <v>46298</v>
      </c>
      <c r="F484" t="inlineStr">
        <is>
          <t>SÖDERMANLANDS LÄN</t>
        </is>
      </c>
      <c r="G484" t="inlineStr">
        <is>
          <t>NYKÖPING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45729</v>
      </c>
      <c r="E485" s="1" t="n">
        <v>46298</v>
      </c>
      <c r="F485" t="inlineStr">
        <is>
          <t>SÖDERMANLANDS LÄN</t>
        </is>
      </c>
      <c r="G485" t="inlineStr">
        <is>
          <t>NYKÖPING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45721</v>
      </c>
      <c r="E486" s="1" t="n">
        <v>46298</v>
      </c>
      <c r="F486" t="inlineStr">
        <is>
          <t>SÖDERMANLANDS LÄN</t>
        </is>
      </c>
      <c r="G486" t="inlineStr">
        <is>
          <t>NYKÖPING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45224</v>
      </c>
      <c r="E487" s="1" t="n">
        <v>46298</v>
      </c>
      <c r="F487" t="inlineStr">
        <is>
          <t>SÖDERMANLANDS LÄN</t>
        </is>
      </c>
      <c r="G487" t="inlineStr">
        <is>
          <t>NYKÖPING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52374-2023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45224</v>
      </c>
      <c r="E488" s="1" t="n">
        <v>46298</v>
      </c>
      <c r="F488" t="inlineStr">
        <is>
          <t>SÖDERMANLANDS LÄN</t>
        </is>
      </c>
      <c r="G488" t="inlineStr">
        <is>
          <t>NYKÖPING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46298</v>
      </c>
      <c r="F489" t="inlineStr">
        <is>
          <t>SÖDERMANLANDS LÄN</t>
        </is>
      </c>
      <c r="G489" t="inlineStr">
        <is>
          <t>NYKÖPING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46145</v>
      </c>
      <c r="E490" s="1" t="n">
        <v>46298</v>
      </c>
      <c r="F490" t="inlineStr">
        <is>
          <t>SÖDERMANLANDS LÄN</t>
        </is>
      </c>
      <c r="G490" t="inlineStr">
        <is>
          <t>NYKÖPING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45349</v>
      </c>
      <c r="E491" s="1" t="n">
        <v>46298</v>
      </c>
      <c r="F491" t="inlineStr">
        <is>
          <t>SÖDERMANLANDS LÄN</t>
        </is>
      </c>
      <c r="G491" t="inlineStr">
        <is>
          <t>NYKÖPING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46145</v>
      </c>
      <c r="E492" s="1" t="n">
        <v>46298</v>
      </c>
      <c r="F492" t="inlineStr">
        <is>
          <t>SÖDERMANLANDS LÄN</t>
        </is>
      </c>
      <c r="G492" t="inlineStr">
        <is>
          <t>NYKÖPING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68041-2021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44525</v>
      </c>
      <c r="E493" s="1" t="n">
        <v>46298</v>
      </c>
      <c r="F493" t="inlineStr">
        <is>
          <t>SÖDERMANLANDS LÄN</t>
        </is>
      </c>
      <c r="G493" t="inlineStr">
        <is>
          <t>NYKÖPING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12826-2024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45384</v>
      </c>
      <c r="E494" s="1" t="n">
        <v>46298</v>
      </c>
      <c r="F494" t="inlineStr">
        <is>
          <t>SÖDERMANLANDS LÄN</t>
        </is>
      </c>
      <c r="G494" t="inlineStr">
        <is>
          <t>NYKÖPING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44957</v>
      </c>
      <c r="E495" s="1" t="n">
        <v>46298</v>
      </c>
      <c r="F495" t="inlineStr">
        <is>
          <t>SÖDERMANLANDS LÄN</t>
        </is>
      </c>
      <c r="G495" t="inlineStr">
        <is>
          <t>NYKÖPING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21672-2026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46149</v>
      </c>
      <c r="E496" s="1" t="n">
        <v>46298</v>
      </c>
      <c r="F496" t="inlineStr">
        <is>
          <t>SÖDERMANLANDS LÄN</t>
        </is>
      </c>
      <c r="G496" t="inlineStr">
        <is>
          <t>NYKÖPING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46298</v>
      </c>
      <c r="F497" t="inlineStr">
        <is>
          <t>SÖDERMANLANDS LÄN</t>
        </is>
      </c>
      <c r="G497" t="inlineStr">
        <is>
          <t>NYKÖPING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44578</v>
      </c>
      <c r="E498" s="1" t="n">
        <v>46298</v>
      </c>
      <c r="F498" t="inlineStr">
        <is>
          <t>SÖDERMANLANDS LÄN</t>
        </is>
      </c>
      <c r="G498" t="inlineStr">
        <is>
          <t>NYKÖPING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45743</v>
      </c>
      <c r="E499" s="1" t="n">
        <v>46298</v>
      </c>
      <c r="F499" t="inlineStr">
        <is>
          <t>SÖDERMANLANDS LÄN</t>
        </is>
      </c>
      <c r="G499" t="inlineStr">
        <is>
          <t>NYKÖPING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45112</v>
      </c>
      <c r="E500" s="1" t="n">
        <v>46298</v>
      </c>
      <c r="F500" t="inlineStr">
        <is>
          <t>SÖDERMANLANDS LÄN</t>
        </is>
      </c>
      <c r="G500" t="inlineStr">
        <is>
          <t>NYKÖPING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44936</v>
      </c>
      <c r="E501" s="1" t="n">
        <v>46298</v>
      </c>
      <c r="F501" t="inlineStr">
        <is>
          <t>SÖDERMANLANDS LÄN</t>
        </is>
      </c>
      <c r="G501" t="inlineStr">
        <is>
          <t>NYKÖPING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46298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55312-2021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44475</v>
      </c>
      <c r="E503" s="1" t="n">
        <v>46298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Sveaskog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44936</v>
      </c>
      <c r="E504" s="1" t="n">
        <v>46298</v>
      </c>
      <c r="F504" t="inlineStr">
        <is>
          <t>SÖDERMANLANDS LÄN</t>
        </is>
      </c>
      <c r="G504" t="inlineStr">
        <is>
          <t>NYKÖPING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45721</v>
      </c>
      <c r="E505" s="1" t="n">
        <v>46298</v>
      </c>
      <c r="F505" t="inlineStr">
        <is>
          <t>SÖDERMANLANDS LÄN</t>
        </is>
      </c>
      <c r="G505" t="inlineStr">
        <is>
          <t>NYKÖPING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22475-2026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46155</v>
      </c>
      <c r="E506" s="1" t="n">
        <v>46298</v>
      </c>
      <c r="F506" t="inlineStr">
        <is>
          <t>SÖDERMANLANDS LÄN</t>
        </is>
      </c>
      <c r="G506" t="inlineStr">
        <is>
          <t>NYKÖPING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8378-2024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45351</v>
      </c>
      <c r="E507" s="1" t="n">
        <v>46298</v>
      </c>
      <c r="F507" t="inlineStr">
        <is>
          <t>SÖDERMANLANDS LÄN</t>
        </is>
      </c>
      <c r="G507" t="inlineStr">
        <is>
          <t>NYKÖPING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49902-2025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46298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51556-2024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46298</v>
      </c>
      <c r="F509" t="inlineStr">
        <is>
          <t>SÖDERMANLANDS LÄN</t>
        </is>
      </c>
      <c r="G509" t="inlineStr">
        <is>
          <t>NYKÖPING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45329</v>
      </c>
      <c r="E510" s="1" t="n">
        <v>46298</v>
      </c>
      <c r="F510" t="inlineStr">
        <is>
          <t>SÖDERMANLANDS LÄN</t>
        </is>
      </c>
      <c r="G510" t="inlineStr">
        <is>
          <t>NYKÖPING</t>
        </is>
      </c>
      <c r="I510" t="n">
        <v>17.8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17315-2024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45414</v>
      </c>
      <c r="E511" s="1" t="n">
        <v>46298</v>
      </c>
      <c r="F511" t="inlineStr">
        <is>
          <t>SÖDERMANLANDS LÄN</t>
        </is>
      </c>
      <c r="G511" t="inlineStr">
        <is>
          <t>NYKÖPING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46298</v>
      </c>
      <c r="F512" t="inlineStr">
        <is>
          <t>SÖDERMANLANDS LÄN</t>
        </is>
      </c>
      <c r="G512" t="inlineStr">
        <is>
          <t>NYKÖPING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46298</v>
      </c>
      <c r="F513" t="inlineStr">
        <is>
          <t>SÖDERMANLANDS LÄN</t>
        </is>
      </c>
      <c r="G513" t="inlineStr">
        <is>
          <t>NYKÖPING</t>
        </is>
      </c>
      <c r="I513" t="n">
        <v>10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46084</v>
      </c>
      <c r="E514" s="1" t="n">
        <v>46298</v>
      </c>
      <c r="F514" t="inlineStr">
        <is>
          <t>SÖDERMANLANDS LÄN</t>
        </is>
      </c>
      <c r="G514" t="inlineStr">
        <is>
          <t>NYKÖPING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45978</v>
      </c>
      <c r="E515" s="1" t="n">
        <v>46298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9469-2022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44616</v>
      </c>
      <c r="E516" s="1" t="n">
        <v>46298</v>
      </c>
      <c r="F516" t="inlineStr">
        <is>
          <t>SÖDERMANLANDS LÄN</t>
        </is>
      </c>
      <c r="G516" t="inlineStr">
        <is>
          <t>NYKÖPING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23637-2026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46163</v>
      </c>
      <c r="E517" s="1" t="n">
        <v>46298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46298</v>
      </c>
      <c r="F518" t="inlineStr">
        <is>
          <t>SÖDERMANLANDS LÄN</t>
        </is>
      </c>
      <c r="G518" t="inlineStr">
        <is>
          <t>NYKÖPING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13455-2022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44645</v>
      </c>
      <c r="E519" s="1" t="n">
        <v>46298</v>
      </c>
      <c r="F519" t="inlineStr">
        <is>
          <t>SÖDERMANLANDS LÄN</t>
        </is>
      </c>
      <c r="G519" t="inlineStr">
        <is>
          <t>NYKÖPING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45630</v>
      </c>
      <c r="E520" s="1" t="n">
        <v>46298</v>
      </c>
      <c r="F520" t="inlineStr">
        <is>
          <t>SÖDERMANLANDS LÄN</t>
        </is>
      </c>
      <c r="G520" t="inlineStr">
        <is>
          <t>NYKÖPING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10622-2025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45721</v>
      </c>
      <c r="E521" s="1" t="n">
        <v>46298</v>
      </c>
      <c r="F521" t="inlineStr">
        <is>
          <t>SÖDERMANLANDS LÄN</t>
        </is>
      </c>
      <c r="G521" t="inlineStr">
        <is>
          <t>NYKÖPING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46298</v>
      </c>
      <c r="F522" t="inlineStr">
        <is>
          <t>SÖDERMANLANDS LÄN</t>
        </is>
      </c>
      <c r="G522" t="inlineStr">
        <is>
          <t>NYKÖPING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24152-2026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46298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Kyrkan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46298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Sveaskog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24631-2022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44727</v>
      </c>
      <c r="E525" s="1" t="n">
        <v>46298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12111-2026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46086</v>
      </c>
      <c r="E526" s="1" t="n">
        <v>46298</v>
      </c>
      <c r="F526" t="inlineStr">
        <is>
          <t>SÖDERMANLANDS LÄN</t>
        </is>
      </c>
      <c r="G526" t="inlineStr">
        <is>
          <t>NYKÖPING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46120</v>
      </c>
      <c r="E527" s="1" t="n">
        <v>46298</v>
      </c>
      <c r="F527" t="inlineStr">
        <is>
          <t>SÖDERMANLANDS LÄN</t>
        </is>
      </c>
      <c r="G527" t="inlineStr">
        <is>
          <t>NYKÖPING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72985-2021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44549</v>
      </c>
      <c r="E528" s="1" t="n">
        <v>46298</v>
      </c>
      <c r="F528" t="inlineStr">
        <is>
          <t>SÖDERMANLANDS LÄN</t>
        </is>
      </c>
      <c r="G528" t="inlineStr">
        <is>
          <t>NYKÖPING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24285-2026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46169</v>
      </c>
      <c r="E529" s="1" t="n">
        <v>46298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Kyrkan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16460-2023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45029</v>
      </c>
      <c r="E530" s="1" t="n">
        <v>46298</v>
      </c>
      <c r="F530" t="inlineStr">
        <is>
          <t>SÖDERMANLANDS LÄN</t>
        </is>
      </c>
      <c r="G530" t="inlineStr">
        <is>
          <t>NYKÖPING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45061</v>
      </c>
      <c r="E531" s="1" t="n">
        <v>46298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21062-2023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45061</v>
      </c>
      <c r="E532" s="1" t="n">
        <v>46298</v>
      </c>
      <c r="F532" t="inlineStr">
        <is>
          <t>SÖDERMANLANDS LÄN</t>
        </is>
      </c>
      <c r="G532" t="inlineStr">
        <is>
          <t>NYKÖPING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46298</v>
      </c>
      <c r="F533" t="inlineStr">
        <is>
          <t>SÖDERMANLANDS LÄN</t>
        </is>
      </c>
      <c r="G533" t="inlineStr">
        <is>
          <t>NYKÖPING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24829-2024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45461</v>
      </c>
      <c r="E534" s="1" t="n">
        <v>46298</v>
      </c>
      <c r="F534" t="inlineStr">
        <is>
          <t>SÖDERMANLANDS LÄN</t>
        </is>
      </c>
      <c r="G534" t="inlineStr">
        <is>
          <t>NYKÖPING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65923-2021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44517</v>
      </c>
      <c r="E535" s="1" t="n">
        <v>46298</v>
      </c>
      <c r="F535" t="inlineStr">
        <is>
          <t>SÖDERMANLANDS LÄN</t>
        </is>
      </c>
      <c r="G535" t="inlineStr">
        <is>
          <t>NYKÖPING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13967-2026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46098</v>
      </c>
      <c r="E536" s="1" t="n">
        <v>46298</v>
      </c>
      <c r="F536" t="inlineStr">
        <is>
          <t>SÖDERMANLANDS LÄN</t>
        </is>
      </c>
      <c r="G536" t="inlineStr">
        <is>
          <t>NYKÖPING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45343</v>
      </c>
      <c r="E537" s="1" t="n">
        <v>46298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6.8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45985</v>
      </c>
      <c r="E538" s="1" t="n">
        <v>46298</v>
      </c>
      <c r="F538" t="inlineStr">
        <is>
          <t>SÖDERMANLANDS LÄN</t>
        </is>
      </c>
      <c r="G538" t="inlineStr">
        <is>
          <t>NYKÖPING</t>
        </is>
      </c>
      <c r="I538" t="n">
        <v>9.699999999999999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46176</v>
      </c>
      <c r="E539" s="1" t="n">
        <v>46298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36163-2023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45149</v>
      </c>
      <c r="E540" s="1" t="n">
        <v>46298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11638-2024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45373</v>
      </c>
      <c r="E541" s="1" t="n">
        <v>46298</v>
      </c>
      <c r="F541" t="inlineStr">
        <is>
          <t>SÖDERMANLANDS LÄN</t>
        </is>
      </c>
      <c r="G541" t="inlineStr">
        <is>
          <t>NYKÖPING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17832-2024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45418</v>
      </c>
      <c r="E542" s="1" t="n">
        <v>46298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46298</v>
      </c>
      <c r="F543" t="inlineStr">
        <is>
          <t>SÖDERMANLANDS LÄN</t>
        </is>
      </c>
      <c r="G543" t="inlineStr">
        <is>
          <t>NYKÖPING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46298</v>
      </c>
      <c r="F544" t="inlineStr">
        <is>
          <t>SÖDERMANLANDS LÄN</t>
        </is>
      </c>
      <c r="G544" t="inlineStr">
        <is>
          <t>NYKÖPING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51243-2024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45603</v>
      </c>
      <c r="E545" s="1" t="n">
        <v>46298</v>
      </c>
      <c r="F545" t="inlineStr">
        <is>
          <t>SÖDERMANLANDS LÄN</t>
        </is>
      </c>
      <c r="G545" t="inlineStr">
        <is>
          <t>NYKÖPING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44582</v>
      </c>
      <c r="E546" s="1" t="n">
        <v>46298</v>
      </c>
      <c r="F546" t="inlineStr">
        <is>
          <t>SÖDERMANLANDS LÄN</t>
        </is>
      </c>
      <c r="G546" t="inlineStr">
        <is>
          <t>NYKÖPING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55506-2021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44475</v>
      </c>
      <c r="E547" s="1" t="n">
        <v>46298</v>
      </c>
      <c r="F547" t="inlineStr">
        <is>
          <t>SÖDERMANLANDS LÄN</t>
        </is>
      </c>
      <c r="G547" t="inlineStr">
        <is>
          <t>NYKÖPING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18827-2022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44690</v>
      </c>
      <c r="E548" s="1" t="n">
        <v>46298</v>
      </c>
      <c r="F548" t="inlineStr">
        <is>
          <t>SÖDERMANLANDS LÄN</t>
        </is>
      </c>
      <c r="G548" t="inlineStr">
        <is>
          <t>NYKÖPING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46298</v>
      </c>
      <c r="F549" t="inlineStr">
        <is>
          <t>SÖDERMANLANDS LÄN</t>
        </is>
      </c>
      <c r="G549" t="inlineStr">
        <is>
          <t>NYKÖPING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44579</v>
      </c>
      <c r="E550" s="1" t="n">
        <v>46298</v>
      </c>
      <c r="F550" t="inlineStr">
        <is>
          <t>SÖDERMANLANDS LÄN</t>
        </is>
      </c>
      <c r="G550" t="inlineStr">
        <is>
          <t>NYKÖPING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14930-2024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45398</v>
      </c>
      <c r="E551" s="1" t="n">
        <v>46298</v>
      </c>
      <c r="F551" t="inlineStr">
        <is>
          <t>SÖDERMANLANDS LÄN</t>
        </is>
      </c>
      <c r="G551" t="inlineStr">
        <is>
          <t>NYKÖPING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35019-2023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45143</v>
      </c>
      <c r="E552" s="1" t="n">
        <v>46298</v>
      </c>
      <c r="F552" t="inlineStr">
        <is>
          <t>SÖDERMANLANDS LÄN</t>
        </is>
      </c>
      <c r="G552" t="inlineStr">
        <is>
          <t>NYKÖPING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46183</v>
      </c>
      <c r="E553" s="1" t="n">
        <v>46298</v>
      </c>
      <c r="F553" t="inlineStr">
        <is>
          <t>SÖDERMANLANDS LÄN</t>
        </is>
      </c>
      <c r="G553" t="inlineStr">
        <is>
          <t>NYKÖPING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61618-2022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44916</v>
      </c>
      <c r="E554" s="1" t="n">
        <v>46298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46131</v>
      </c>
      <c r="E555" s="1" t="n">
        <v>46298</v>
      </c>
      <c r="F555" t="inlineStr">
        <is>
          <t>SÖDERMANLANDS LÄN</t>
        </is>
      </c>
      <c r="G555" t="inlineStr">
        <is>
          <t>NYKÖPING</t>
        </is>
      </c>
      <c r="I555" t="n">
        <v>12.4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46298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Sveaskog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45166</v>
      </c>
      <c r="E557" s="1" t="n">
        <v>46298</v>
      </c>
      <c r="F557" t="inlineStr">
        <is>
          <t>SÖDERMANLANDS LÄN</t>
        </is>
      </c>
      <c r="G557" t="inlineStr">
        <is>
          <t>NYKÖPING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46298</v>
      </c>
      <c r="F558" t="inlineStr">
        <is>
          <t>SÖDERMANLANDS LÄN</t>
        </is>
      </c>
      <c r="G558" t="inlineStr">
        <is>
          <t>NYKÖPING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26643-2026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46184</v>
      </c>
      <c r="E559" s="1" t="n">
        <v>46298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46298</v>
      </c>
      <c r="F560" t="inlineStr">
        <is>
          <t>SÖDERMANLANDS LÄN</t>
        </is>
      </c>
      <c r="G560" t="inlineStr">
        <is>
          <t>NYKÖPING</t>
        </is>
      </c>
      <c r="I560" t="n">
        <v>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46298</v>
      </c>
      <c r="F561" t="inlineStr">
        <is>
          <t>SÖDERMANLANDS LÄN</t>
        </is>
      </c>
      <c r="G561" t="inlineStr">
        <is>
          <t>NYKÖPING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46298</v>
      </c>
      <c r="F562" t="inlineStr">
        <is>
          <t>SÖDERMANLANDS LÄN</t>
        </is>
      </c>
      <c r="G562" t="inlineStr">
        <is>
          <t>NYKÖPING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7756-2024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45348</v>
      </c>
      <c r="E563" s="1" t="n">
        <v>46298</v>
      </c>
      <c r="F563" t="inlineStr">
        <is>
          <t>SÖDERMANLANDS LÄN</t>
        </is>
      </c>
      <c r="G563" t="inlineStr">
        <is>
          <t>NYKÖPING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46298</v>
      </c>
      <c r="F564" t="inlineStr">
        <is>
          <t>SÖDERMANLANDS LÄN</t>
        </is>
      </c>
      <c r="G564" t="inlineStr">
        <is>
          <t>NYKÖPING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46298</v>
      </c>
      <c r="F565" t="inlineStr">
        <is>
          <t>SÖDERMANLANDS LÄN</t>
        </is>
      </c>
      <c r="G565" t="inlineStr">
        <is>
          <t>NYKÖPING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45327</v>
      </c>
      <c r="E566" s="1" t="n">
        <v>46298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38155-2022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44812</v>
      </c>
      <c r="E567" s="1" t="n">
        <v>46298</v>
      </c>
      <c r="F567" t="inlineStr">
        <is>
          <t>SÖDERMANLANDS LÄN</t>
        </is>
      </c>
      <c r="G567" t="inlineStr">
        <is>
          <t>NYKÖPING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45279</v>
      </c>
      <c r="E568" s="1" t="n">
        <v>46298</v>
      </c>
      <c r="F568" t="inlineStr">
        <is>
          <t>SÖDERMANLANDS LÄN</t>
        </is>
      </c>
      <c r="G568" t="inlineStr">
        <is>
          <t>NYKÖPING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46298</v>
      </c>
      <c r="F569" t="inlineStr">
        <is>
          <t>SÖDERMANLANDS LÄN</t>
        </is>
      </c>
      <c r="G569" t="inlineStr">
        <is>
          <t>NYKÖPING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51558-2024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45604</v>
      </c>
      <c r="E570" s="1" t="n">
        <v>46298</v>
      </c>
      <c r="F570" t="inlineStr">
        <is>
          <t>SÖDERMANLANDS LÄN</t>
        </is>
      </c>
      <c r="G570" t="inlineStr">
        <is>
          <t>NYKÖPING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57621-2024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45630</v>
      </c>
      <c r="E571" s="1" t="n">
        <v>46298</v>
      </c>
      <c r="F571" t="inlineStr">
        <is>
          <t>SÖDERMANLANDS LÄN</t>
        </is>
      </c>
      <c r="G571" t="inlineStr">
        <is>
          <t>NYKÖPING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45798</v>
      </c>
      <c r="E572" s="1" t="n">
        <v>46298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46298</v>
      </c>
      <c r="F573" t="inlineStr">
        <is>
          <t>SÖDERMANLANDS LÄN</t>
        </is>
      </c>
      <c r="G573" t="inlineStr">
        <is>
          <t>NYKÖPING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44783</v>
      </c>
      <c r="E574" s="1" t="n">
        <v>46298</v>
      </c>
      <c r="F574" t="inlineStr">
        <is>
          <t>SÖDERMANLANDS LÄN</t>
        </is>
      </c>
      <c r="G574" t="inlineStr">
        <is>
          <t>NYKÖPING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48484-2022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44858</v>
      </c>
      <c r="E575" s="1" t="n">
        <v>46298</v>
      </c>
      <c r="F575" t="inlineStr">
        <is>
          <t>SÖDERMANLANDS LÄN</t>
        </is>
      </c>
      <c r="G575" t="inlineStr">
        <is>
          <t>NYKÖPING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46298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44942</v>
      </c>
      <c r="E577" s="1" t="n">
        <v>46298</v>
      </c>
      <c r="F577" t="inlineStr">
        <is>
          <t>SÖDERMANLANDS LÄN</t>
        </is>
      </c>
      <c r="G577" t="inlineStr">
        <is>
          <t>NYKÖPING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29485-2026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46298</v>
      </c>
      <c r="F578" t="inlineStr">
        <is>
          <t>SÖDERMANLANDS LÄN</t>
        </is>
      </c>
      <c r="G578" t="inlineStr">
        <is>
          <t>NYKÖPING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20327-2023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45056</v>
      </c>
      <c r="E579" s="1" t="n">
        <v>46298</v>
      </c>
      <c r="F579" t="inlineStr">
        <is>
          <t>SÖDERMANLANDS LÄN</t>
        </is>
      </c>
      <c r="G579" t="inlineStr">
        <is>
          <t>NYKÖPING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60634-2022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44911</v>
      </c>
      <c r="E580" s="1" t="n">
        <v>46298</v>
      </c>
      <c r="F580" t="inlineStr">
        <is>
          <t>SÖDERMANLANDS LÄN</t>
        </is>
      </c>
      <c r="G580" t="inlineStr">
        <is>
          <t>NYKÖPING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45005</v>
      </c>
      <c r="E581" s="1" t="n">
        <v>46298</v>
      </c>
      <c r="F581" t="inlineStr">
        <is>
          <t>SÖDERMANLANDS LÄN</t>
        </is>
      </c>
      <c r="G581" t="inlineStr">
        <is>
          <t>NYKÖPING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69244-2021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44530</v>
      </c>
      <c r="E582" s="1" t="n">
        <v>46298</v>
      </c>
      <c r="F582" t="inlineStr">
        <is>
          <t>SÖDERMANLANDS LÄN</t>
        </is>
      </c>
      <c r="G582" t="inlineStr">
        <is>
          <t>NYKÖPING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44959</v>
      </c>
      <c r="E583" s="1" t="n">
        <v>46298</v>
      </c>
      <c r="F583" t="inlineStr">
        <is>
          <t>SÖDERMANLANDS LÄN</t>
        </is>
      </c>
      <c r="G583" t="inlineStr">
        <is>
          <t>NYKÖPING</t>
        </is>
      </c>
      <c r="I583" t="n">
        <v>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45162</v>
      </c>
      <c r="E584" s="1" t="n">
        <v>46298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Kommuner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44938</v>
      </c>
      <c r="E585" s="1" t="n">
        <v>46298</v>
      </c>
      <c r="F585" t="inlineStr">
        <is>
          <t>SÖDERMANLANDS LÄN</t>
        </is>
      </c>
      <c r="G585" t="inlineStr">
        <is>
          <t>NYKÖPING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8688-2025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46298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45085</v>
      </c>
      <c r="E587" s="1" t="n">
        <v>46298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33863-2022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44790</v>
      </c>
      <c r="E588" s="1" t="n">
        <v>46298</v>
      </c>
      <c r="F588" t="inlineStr">
        <is>
          <t>SÖDERMANLANDS LÄN</t>
        </is>
      </c>
      <c r="G588" t="inlineStr">
        <is>
          <t>NYKÖPING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22176-2023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45069</v>
      </c>
      <c r="E589" s="1" t="n">
        <v>46298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27563-2024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45474</v>
      </c>
      <c r="E590" s="1" t="n">
        <v>46298</v>
      </c>
      <c r="F590" t="inlineStr">
        <is>
          <t>SÖDERMANLANDS LÄN</t>
        </is>
      </c>
      <c r="G590" t="inlineStr">
        <is>
          <t>NYKÖPING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56228-2024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45624</v>
      </c>
      <c r="E591" s="1" t="n">
        <v>46298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46298</v>
      </c>
      <c r="F592" t="inlineStr">
        <is>
          <t>SÖDERMANLANDS LÄN</t>
        </is>
      </c>
      <c r="G592" t="inlineStr">
        <is>
          <t>NYKÖPING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11753-2023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44992</v>
      </c>
      <c r="E593" s="1" t="n">
        <v>46298</v>
      </c>
      <c r="F593" t="inlineStr">
        <is>
          <t>SÖDERMANLANDS LÄN</t>
        </is>
      </c>
      <c r="G593" t="inlineStr">
        <is>
          <t>NYKÖPING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44798</v>
      </c>
      <c r="E594" s="1" t="n">
        <v>46298</v>
      </c>
      <c r="F594" t="inlineStr">
        <is>
          <t>SÖDERMANLANDS LÄN</t>
        </is>
      </c>
      <c r="G594" t="inlineStr">
        <is>
          <t>NYKÖPING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24798-2022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44728</v>
      </c>
      <c r="E595" s="1" t="n">
        <v>46298</v>
      </c>
      <c r="F595" t="inlineStr">
        <is>
          <t>SÖDERMANLANDS LÄN</t>
        </is>
      </c>
      <c r="G595" t="inlineStr">
        <is>
          <t>NYKÖPING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2598-2025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45674</v>
      </c>
      <c r="E596" s="1" t="n">
        <v>46298</v>
      </c>
      <c r="F596" t="inlineStr">
        <is>
          <t>SÖDERMANLANDS LÄN</t>
        </is>
      </c>
      <c r="G596" t="inlineStr">
        <is>
          <t>NYKÖPING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30695-2026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46211</v>
      </c>
      <c r="E597" s="1" t="n">
        <v>46298</v>
      </c>
      <c r="F597" t="inlineStr">
        <is>
          <t>SÖDERMANLANDS LÄN</t>
        </is>
      </c>
      <c r="G597" t="inlineStr">
        <is>
          <t>NYKÖPING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35532-2022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44799</v>
      </c>
      <c r="E598" s="1" t="n">
        <v>46298</v>
      </c>
      <c r="F598" t="inlineStr">
        <is>
          <t>SÖDERMANLANDS LÄN</t>
        </is>
      </c>
      <c r="G598" t="inlineStr">
        <is>
          <t>NYKÖPING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54024-2022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44881</v>
      </c>
      <c r="E599" s="1" t="n">
        <v>46298</v>
      </c>
      <c r="F599" t="inlineStr">
        <is>
          <t>SÖDERMANLANDS LÄN</t>
        </is>
      </c>
      <c r="G599" t="inlineStr">
        <is>
          <t>NYKÖPING</t>
        </is>
      </c>
      <c r="I599" t="n">
        <v>16.2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46298</v>
      </c>
      <c r="F600" t="inlineStr">
        <is>
          <t>SÖDERMANLANDS LÄN</t>
        </is>
      </c>
      <c r="G600" t="inlineStr">
        <is>
          <t>NYKÖPING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46298</v>
      </c>
      <c r="F601" t="inlineStr">
        <is>
          <t>SÖDERMANLANDS LÄN</t>
        </is>
      </c>
      <c r="G601" t="inlineStr">
        <is>
          <t>NYKÖPING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68024-2021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44525</v>
      </c>
      <c r="E602" s="1" t="n">
        <v>46298</v>
      </c>
      <c r="F602" t="inlineStr">
        <is>
          <t>SÖDERMANLANDS LÄN</t>
        </is>
      </c>
      <c r="G602" t="inlineStr">
        <is>
          <t>NYKÖPING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68030-2021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44525</v>
      </c>
      <c r="E603" s="1" t="n">
        <v>46298</v>
      </c>
      <c r="F603" t="inlineStr">
        <is>
          <t>SÖDERMANLANDS LÄN</t>
        </is>
      </c>
      <c r="G603" t="inlineStr">
        <is>
          <t>NYKÖPING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45926-2022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46298</v>
      </c>
      <c r="F604" t="inlineStr">
        <is>
          <t>SÖDERMANLANDS LÄN</t>
        </is>
      </c>
      <c r="G604" t="inlineStr">
        <is>
          <t>NYKÖPING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51699-2023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45222</v>
      </c>
      <c r="E605" s="1" t="n">
        <v>46298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44960</v>
      </c>
      <c r="E606" s="1" t="n">
        <v>46298</v>
      </c>
      <c r="F606" t="inlineStr">
        <is>
          <t>SÖDERMANLANDS LÄN</t>
        </is>
      </c>
      <c r="G606" t="inlineStr">
        <is>
          <t>NYKÖPING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44960</v>
      </c>
      <c r="E607" s="1" t="n">
        <v>46298</v>
      </c>
      <c r="F607" t="inlineStr">
        <is>
          <t>SÖDERMANLANDS LÄN</t>
        </is>
      </c>
      <c r="G607" t="inlineStr">
        <is>
          <t>NYKÖPING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44575</v>
      </c>
      <c r="E608" s="1" t="n">
        <v>46298</v>
      </c>
      <c r="F608" t="inlineStr">
        <is>
          <t>SÖDERMANLANDS LÄN</t>
        </is>
      </c>
      <c r="G608" t="inlineStr">
        <is>
          <t>NYKÖPING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38394-2024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45546</v>
      </c>
      <c r="E609" s="1" t="n">
        <v>46298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15397-2023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45019</v>
      </c>
      <c r="E610" s="1" t="n">
        <v>46298</v>
      </c>
      <c r="F610" t="inlineStr">
        <is>
          <t>SÖDERMANLANDS LÄN</t>
        </is>
      </c>
      <c r="G610" t="inlineStr">
        <is>
          <t>NYKÖPING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19763-2023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45051</v>
      </c>
      <c r="E611" s="1" t="n">
        <v>46298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45146</v>
      </c>
      <c r="E612" s="1" t="n">
        <v>46298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41288-2023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45174</v>
      </c>
      <c r="E613" s="1" t="n">
        <v>46298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1777-2024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45307</v>
      </c>
      <c r="E614" s="1" t="n">
        <v>46298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Kommuner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31469-2026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46222</v>
      </c>
      <c r="E615" s="1" t="n">
        <v>46298</v>
      </c>
      <c r="F615" t="inlineStr">
        <is>
          <t>SÖDERMANLANDS LÄN</t>
        </is>
      </c>
      <c r="G615" t="inlineStr">
        <is>
          <t>NYKÖPING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1745-2023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46298</v>
      </c>
      <c r="F616" t="inlineStr">
        <is>
          <t>SÖDERMANLANDS LÄN</t>
        </is>
      </c>
      <c r="G616" t="inlineStr">
        <is>
          <t>NYKÖPING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46298</v>
      </c>
      <c r="F617" t="inlineStr">
        <is>
          <t>SÖDERMANLANDS LÄN</t>
        </is>
      </c>
      <c r="G617" t="inlineStr">
        <is>
          <t>NYKÖPING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45330</v>
      </c>
      <c r="E618" s="1" t="n">
        <v>46298</v>
      </c>
      <c r="F618" t="inlineStr">
        <is>
          <t>SÖDERMANLANDS LÄN</t>
        </is>
      </c>
      <c r="G618" t="inlineStr">
        <is>
          <t>NYKÖPING</t>
        </is>
      </c>
      <c r="I618" t="n">
        <v>10.9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45075</v>
      </c>
      <c r="E619" s="1" t="n">
        <v>46298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24280-2022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44725</v>
      </c>
      <c r="E620" s="1" t="n">
        <v>46298</v>
      </c>
      <c r="F620" t="inlineStr">
        <is>
          <t>SÖDERMANLANDS LÄN</t>
        </is>
      </c>
      <c r="G620" t="inlineStr">
        <is>
          <t>NYKÖPING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7253-2022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44606</v>
      </c>
      <c r="E621" s="1" t="n">
        <v>46298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Allmännings- och besparingsskogar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18080-2026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46298</v>
      </c>
      <c r="F622" t="inlineStr">
        <is>
          <t>SÖDERMANLANDS LÄN</t>
        </is>
      </c>
      <c r="G622" t="inlineStr">
        <is>
          <t>NYKÖPING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67857-2021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44525</v>
      </c>
      <c r="E623" s="1" t="n">
        <v>46298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30860-2023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45110</v>
      </c>
      <c r="E624" s="1" t="n">
        <v>46298</v>
      </c>
      <c r="F624" t="inlineStr">
        <is>
          <t>SÖDERMANLANDS LÄN</t>
        </is>
      </c>
      <c r="G624" t="inlineStr">
        <is>
          <t>NYKÖPING</t>
        </is>
      </c>
      <c r="I624" t="n">
        <v>11.5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12812-2025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45733</v>
      </c>
      <c r="E625" s="1" t="n">
        <v>46298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46228</v>
      </c>
      <c r="E626" s="1" t="n">
        <v>46298</v>
      </c>
      <c r="F626" t="inlineStr">
        <is>
          <t>SÖDERMANLANDS LÄN</t>
        </is>
      </c>
      <c r="G626" t="inlineStr">
        <is>
          <t>NYKÖPING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1915-2022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44575</v>
      </c>
      <c r="E627" s="1" t="n">
        <v>46298</v>
      </c>
      <c r="F627" t="inlineStr">
        <is>
          <t>SÖDERMANLANDS LÄN</t>
        </is>
      </c>
      <c r="G627" t="inlineStr">
        <is>
          <t>NYKÖPING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53569-2022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44879</v>
      </c>
      <c r="E628" s="1" t="n">
        <v>46298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Övriga Aktiebolag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27206-2023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45096</v>
      </c>
      <c r="E629" s="1" t="n">
        <v>46298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Övriga Aktiebolag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5107-2023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44958</v>
      </c>
      <c r="E630" s="1" t="n">
        <v>46298</v>
      </c>
      <c r="F630" t="inlineStr">
        <is>
          <t>SÖDERMANLANDS LÄN</t>
        </is>
      </c>
      <c r="G630" t="inlineStr">
        <is>
          <t>NYKÖPING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44946</v>
      </c>
      <c r="E631" s="1" t="n">
        <v>46298</v>
      </c>
      <c r="F631" t="inlineStr">
        <is>
          <t>SÖDERMANLANDS LÄN</t>
        </is>
      </c>
      <c r="G631" t="inlineStr">
        <is>
          <t>NYKÖPING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45166</v>
      </c>
      <c r="E632" s="1" t="n">
        <v>46298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59733-2021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44494</v>
      </c>
      <c r="E633" s="1" t="n">
        <v>46298</v>
      </c>
      <c r="F633" t="inlineStr">
        <is>
          <t>SÖDERMANLANDS LÄN</t>
        </is>
      </c>
      <c r="G633" t="inlineStr">
        <is>
          <t>NYKÖPING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46234</v>
      </c>
      <c r="E634" s="1" t="n">
        <v>46298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45110</v>
      </c>
      <c r="E635" s="1" t="n">
        <v>46298</v>
      </c>
      <c r="F635" t="inlineStr">
        <is>
          <t>SÖDERMANLANDS LÄN</t>
        </is>
      </c>
      <c r="G635" t="inlineStr">
        <is>
          <t>NYKÖPING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33126-2023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45114</v>
      </c>
      <c r="E636" s="1" t="n">
        <v>46298</v>
      </c>
      <c r="F636" t="inlineStr">
        <is>
          <t>SÖDERMANLANDS LÄN</t>
        </is>
      </c>
      <c r="G636" t="inlineStr">
        <is>
          <t>NYKÖPING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32295-2026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46237</v>
      </c>
      <c r="E637" s="1" t="n">
        <v>46298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Sveaskog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41222-2023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45170</v>
      </c>
      <c r="E638" s="1" t="n">
        <v>46298</v>
      </c>
      <c r="F638" t="inlineStr">
        <is>
          <t>SÖDERMANLANDS LÄN</t>
        </is>
      </c>
      <c r="G638" t="inlineStr">
        <is>
          <t>NYKÖPING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58281-2022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44901</v>
      </c>
      <c r="E639" s="1" t="n">
        <v>46298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46280</v>
      </c>
      <c r="E640" s="1" t="n">
        <v>46298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45762</v>
      </c>
      <c r="E641" s="1" t="n">
        <v>46298</v>
      </c>
      <c r="F641" t="inlineStr">
        <is>
          <t>SÖDERMANLANDS LÄN</t>
        </is>
      </c>
      <c r="G641" t="inlineStr">
        <is>
          <t>NYKÖPING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13858-2022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44649</v>
      </c>
      <c r="E642" s="1" t="n">
        <v>46298</v>
      </c>
      <c r="F642" t="inlineStr">
        <is>
          <t>SÖDERMANLANDS LÄN</t>
        </is>
      </c>
      <c r="G642" t="inlineStr">
        <is>
          <t>NYKÖPING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2668-2023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44944</v>
      </c>
      <c r="E643" s="1" t="n">
        <v>46298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33653-2024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45520</v>
      </c>
      <c r="E644" s="1" t="n">
        <v>46298</v>
      </c>
      <c r="F644" t="inlineStr">
        <is>
          <t>SÖDERMANLANDS LÄN</t>
        </is>
      </c>
      <c r="G644" t="inlineStr">
        <is>
          <t>NYKÖPING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61007-2021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44497</v>
      </c>
      <c r="E645" s="1" t="n">
        <v>46298</v>
      </c>
      <c r="F645" t="inlineStr">
        <is>
          <t>SÖDERMANLANDS LÄN</t>
        </is>
      </c>
      <c r="G645" t="inlineStr">
        <is>
          <t>NYKÖPING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32499-2026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46239</v>
      </c>
      <c r="E646" s="1" t="n">
        <v>46298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Sveaskog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46298</v>
      </c>
      <c r="F647" t="inlineStr">
        <is>
          <t>SÖDERMANLANDS LÄN</t>
        </is>
      </c>
      <c r="G647" t="inlineStr">
        <is>
          <t>NYKÖPING</t>
        </is>
      </c>
      <c r="I647" t="n">
        <v>13.9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60512-2021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44496</v>
      </c>
      <c r="E648" s="1" t="n">
        <v>46298</v>
      </c>
      <c r="F648" t="inlineStr">
        <is>
          <t>SÖDERMANLANDS LÄN</t>
        </is>
      </c>
      <c r="G648" t="inlineStr">
        <is>
          <t>NYKÖPING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31424-2022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44774</v>
      </c>
      <c r="E649" s="1" t="n">
        <v>46298</v>
      </c>
      <c r="F649" t="inlineStr">
        <is>
          <t>SÖDERMANLANDS LÄN</t>
        </is>
      </c>
      <c r="G649" t="inlineStr">
        <is>
          <t>NYKÖPING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42368-2024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45564</v>
      </c>
      <c r="E650" s="1" t="n">
        <v>46298</v>
      </c>
      <c r="F650" t="inlineStr">
        <is>
          <t>SÖDERMANLANDS LÄN</t>
        </is>
      </c>
      <c r="G650" t="inlineStr">
        <is>
          <t>NYKÖPING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32584-2026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46240</v>
      </c>
      <c r="E651" s="1" t="n">
        <v>46298</v>
      </c>
      <c r="F651" t="inlineStr">
        <is>
          <t>SÖDERMANLANDS LÄN</t>
        </is>
      </c>
      <c r="G651" t="inlineStr">
        <is>
          <t>NYKÖPING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23207-2024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45452</v>
      </c>
      <c r="E652" s="1" t="n">
        <v>46298</v>
      </c>
      <c r="F652" t="inlineStr">
        <is>
          <t>SÖDERMANLANDS LÄN</t>
        </is>
      </c>
      <c r="G652" t="inlineStr">
        <is>
          <t>NYKÖPING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46283</v>
      </c>
      <c r="E653" s="1" t="n">
        <v>46298</v>
      </c>
      <c r="F653" t="inlineStr">
        <is>
          <t>SÖDERMANLANDS LÄN</t>
        </is>
      </c>
      <c r="G653" t="inlineStr">
        <is>
          <t>NYKÖPING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45685</v>
      </c>
      <c r="E654" s="1" t="n">
        <v>46298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4124-2025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45685</v>
      </c>
      <c r="E655" s="1" t="n">
        <v>46298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46244</v>
      </c>
      <c r="E656" s="1" t="n">
        <v>46298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Sveaskog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21480-2024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45441</v>
      </c>
      <c r="E657" s="1" t="n">
        <v>46298</v>
      </c>
      <c r="F657" t="inlineStr">
        <is>
          <t>SÖDERMANLANDS LÄN</t>
        </is>
      </c>
      <c r="G657" t="inlineStr">
        <is>
          <t>NYKÖPING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45537</v>
      </c>
      <c r="E658" s="1" t="n">
        <v>46298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Kommuner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1407-2025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45667</v>
      </c>
      <c r="E659" s="1" t="n">
        <v>46298</v>
      </c>
      <c r="F659" t="inlineStr">
        <is>
          <t>SÖDERMANLANDS LÄN</t>
        </is>
      </c>
      <c r="G659" t="inlineStr">
        <is>
          <t>NYKÖPING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32837-2022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44784</v>
      </c>
      <c r="E660" s="1" t="n">
        <v>46298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46287</v>
      </c>
      <c r="E661" s="1" t="n">
        <v>46298</v>
      </c>
      <c r="F661" t="inlineStr">
        <is>
          <t>SÖDERMANLANDS LÄN</t>
        </is>
      </c>
      <c r="G661" t="inlineStr">
        <is>
          <t>NYKÖPING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27894-2023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45098</v>
      </c>
      <c r="E662" s="1" t="n">
        <v>46298</v>
      </c>
      <c r="F662" t="inlineStr">
        <is>
          <t>SÖDERMANLANDS LÄN</t>
        </is>
      </c>
      <c r="G662" t="inlineStr">
        <is>
          <t>NYKÖPING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17247-2025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45756</v>
      </c>
      <c r="E663" s="1" t="n">
        <v>46298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18918-2023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45044</v>
      </c>
      <c r="E664" s="1" t="n">
        <v>46298</v>
      </c>
      <c r="F664" t="inlineStr">
        <is>
          <t>SÖDERMANLANDS LÄN</t>
        </is>
      </c>
      <c r="G664" t="inlineStr">
        <is>
          <t>NYKÖPING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18926-2023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45044</v>
      </c>
      <c r="E665" s="1" t="n">
        <v>46298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33095-2026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46245</v>
      </c>
      <c r="E666" s="1" t="n">
        <v>46298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13027-2024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45385</v>
      </c>
      <c r="E667" s="1" t="n">
        <v>46298</v>
      </c>
      <c r="F667" t="inlineStr">
        <is>
          <t>SÖDERMANLANDS LÄN</t>
        </is>
      </c>
      <c r="G667" t="inlineStr">
        <is>
          <t>NYKÖPING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21142-2023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46298</v>
      </c>
      <c r="F668" t="inlineStr">
        <is>
          <t>SÖDERMANLANDS LÄN</t>
        </is>
      </c>
      <c r="G668" t="inlineStr">
        <is>
          <t>NYKÖPING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65231-2023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45289</v>
      </c>
      <c r="E669" s="1" t="n">
        <v>46298</v>
      </c>
      <c r="F669" t="inlineStr">
        <is>
          <t>SÖDERMANLANDS LÄN</t>
        </is>
      </c>
      <c r="G669" t="inlineStr">
        <is>
          <t>NYKÖPING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70749-2021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44536</v>
      </c>
      <c r="E670" s="1" t="n">
        <v>46298</v>
      </c>
      <c r="F670" t="inlineStr">
        <is>
          <t>SÖDERMANLANDS LÄN</t>
        </is>
      </c>
      <c r="G670" t="inlineStr">
        <is>
          <t>NYKÖPING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31868-2023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45107</v>
      </c>
      <c r="E671" s="1" t="n">
        <v>46298</v>
      </c>
      <c r="F671" t="inlineStr">
        <is>
          <t>SÖDERMANLANDS LÄN</t>
        </is>
      </c>
      <c r="G671" t="inlineStr">
        <is>
          <t>NYKÖPING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51530-2022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46298</v>
      </c>
      <c r="F672" t="inlineStr">
        <is>
          <t>SÖDERMANLANDS LÄN</t>
        </is>
      </c>
      <c r="G672" t="inlineStr">
        <is>
          <t>NYKÖPING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72679-2021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44546</v>
      </c>
      <c r="E673" s="1" t="n">
        <v>46298</v>
      </c>
      <c r="F673" t="inlineStr">
        <is>
          <t>SÖDERMANLANDS LÄN</t>
        </is>
      </c>
      <c r="G673" t="inlineStr">
        <is>
          <t>NYKÖPING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46245</v>
      </c>
      <c r="E674" s="1" t="n">
        <v>46298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46298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46293</v>
      </c>
      <c r="E676" s="1" t="n">
        <v>46298</v>
      </c>
      <c r="F676" t="inlineStr">
        <is>
          <t>SÖDERMANLANDS LÄN</t>
        </is>
      </c>
      <c r="G676" t="inlineStr">
        <is>
          <t>NYKÖPING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33494-2026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46247</v>
      </c>
      <c r="E677" s="1" t="n">
        <v>46298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56491-2022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44893</v>
      </c>
      <c r="E678" s="1" t="n">
        <v>46298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Övriga Aktiebolag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46298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45350</v>
      </c>
      <c r="E680" s="1" t="n">
        <v>46298</v>
      </c>
      <c r="F680" t="inlineStr">
        <is>
          <t>SÖDERMANLANDS LÄN</t>
        </is>
      </c>
      <c r="G680" t="inlineStr">
        <is>
          <t>NYKÖPING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8340-2023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44976</v>
      </c>
      <c r="E681" s="1" t="n">
        <v>46298</v>
      </c>
      <c r="F681" t="inlineStr">
        <is>
          <t>SÖDERMANLANDS LÄN</t>
        </is>
      </c>
      <c r="G681" t="inlineStr">
        <is>
          <t>NYKÖPING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50688-2025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45945</v>
      </c>
      <c r="E682" s="1" t="n">
        <v>46298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Kyrkan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50698-2024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45602</v>
      </c>
      <c r="E683" s="1" t="n">
        <v>46298</v>
      </c>
      <c r="F683" t="inlineStr">
        <is>
          <t>SÖDERMANLANDS LÄN</t>
        </is>
      </c>
      <c r="G683" t="inlineStr">
        <is>
          <t>NYKÖPING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46298</v>
      </c>
      <c r="F684" t="inlineStr">
        <is>
          <t>SÖDERMANLANDS LÄN</t>
        </is>
      </c>
      <c r="G684" t="inlineStr">
        <is>
          <t>NYKÖPING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3353-2022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44585</v>
      </c>
      <c r="E685" s="1" t="n">
        <v>46298</v>
      </c>
      <c r="F685" t="inlineStr">
        <is>
          <t>SÖDERMANLANDS LÄN</t>
        </is>
      </c>
      <c r="G685" t="inlineStr">
        <is>
          <t>NYKÖPING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46293</v>
      </c>
      <c r="E686" s="1" t="n">
        <v>46298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Kyrkan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45098</v>
      </c>
      <c r="E687" s="1" t="n">
        <v>46298</v>
      </c>
      <c r="F687" t="inlineStr">
        <is>
          <t>SÖDERMANLANDS LÄN</t>
        </is>
      </c>
      <c r="G687" t="inlineStr">
        <is>
          <t>NYKÖPING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46298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46293</v>
      </c>
      <c r="E689" s="1" t="n">
        <v>46298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Kyrkan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40145-2026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46293</v>
      </c>
      <c r="E690" s="1" t="n">
        <v>46298</v>
      </c>
      <c r="F690" t="inlineStr">
        <is>
          <t>SÖDERMANLANDS LÄN</t>
        </is>
      </c>
      <c r="G690" t="inlineStr">
        <is>
          <t>NYKÖPING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5521-2023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44960</v>
      </c>
      <c r="E691" s="1" t="n">
        <v>46298</v>
      </c>
      <c r="F691" t="inlineStr">
        <is>
          <t>SÖDERMANLANDS LÄN</t>
        </is>
      </c>
      <c r="G691" t="inlineStr">
        <is>
          <t>NYKÖPING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10981-2024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45370</v>
      </c>
      <c r="E692" s="1" t="n">
        <v>46298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Kommuner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30198-2022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44757</v>
      </c>
      <c r="E693" s="1" t="n">
        <v>46298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42525-2023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45181</v>
      </c>
      <c r="E694" s="1" t="n">
        <v>46298</v>
      </c>
      <c r="F694" t="inlineStr">
        <is>
          <t>SÖDERMANLANDS LÄN</t>
        </is>
      </c>
      <c r="G694" t="inlineStr">
        <is>
          <t>NYKÖPING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4877-2024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45329</v>
      </c>
      <c r="E695" s="1" t="n">
        <v>46298</v>
      </c>
      <c r="F695" t="inlineStr">
        <is>
          <t>SÖDERMANLANDS LÄN</t>
        </is>
      </c>
      <c r="G695" t="inlineStr">
        <is>
          <t>NYKÖPING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52551-2023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45218</v>
      </c>
      <c r="E696" s="1" t="n">
        <v>46298</v>
      </c>
      <c r="F696" t="inlineStr">
        <is>
          <t>SÖDERMANLANDS LÄN</t>
        </is>
      </c>
      <c r="G696" t="inlineStr">
        <is>
          <t>NYKÖPING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34049-2026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46252</v>
      </c>
      <c r="E697" s="1" t="n">
        <v>46298</v>
      </c>
      <c r="F697" t="inlineStr">
        <is>
          <t>SÖDERMANLANDS LÄN</t>
        </is>
      </c>
      <c r="G697" t="inlineStr">
        <is>
          <t>NYKÖPING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34169-2026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46253</v>
      </c>
      <c r="E698" s="1" t="n">
        <v>46298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Kyrkan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51259-2024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45603</v>
      </c>
      <c r="E699" s="1" t="n">
        <v>46298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Sveaskog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8324-2024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45350</v>
      </c>
      <c r="E700" s="1" t="n">
        <v>46298</v>
      </c>
      <c r="F700" t="inlineStr">
        <is>
          <t>SÖDERMANLANDS LÄN</t>
        </is>
      </c>
      <c r="G700" t="inlineStr">
        <is>
          <t>NYKÖPING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44949</v>
      </c>
      <c r="E701" s="1" t="n">
        <v>46298</v>
      </c>
      <c r="F701" t="inlineStr">
        <is>
          <t>SÖDERMANLANDS LÄN</t>
        </is>
      </c>
      <c r="G701" t="inlineStr">
        <is>
          <t>NYKÖPING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56322-2023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45243</v>
      </c>
      <c r="E702" s="1" t="n">
        <v>46298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Kommuner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32875-2022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44784</v>
      </c>
      <c r="E703" s="1" t="n">
        <v>46298</v>
      </c>
      <c r="F703" t="inlineStr">
        <is>
          <t>SÖDERMANLANDS LÄN</t>
        </is>
      </c>
      <c r="G703" t="inlineStr">
        <is>
          <t>NYKÖPING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72666-2021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44546</v>
      </c>
      <c r="E704" s="1" t="n">
        <v>46298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34161-2026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46253</v>
      </c>
      <c r="E705" s="1" t="n">
        <v>46298</v>
      </c>
      <c r="F705" t="inlineStr">
        <is>
          <t>SÖDERMANLANDS LÄN</t>
        </is>
      </c>
      <c r="G705" t="inlineStr">
        <is>
          <t>NYKÖPING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46298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44812</v>
      </c>
      <c r="E707" s="1" t="n">
        <v>46298</v>
      </c>
      <c r="F707" t="inlineStr">
        <is>
          <t>SÖDERMANLANDS LÄN</t>
        </is>
      </c>
      <c r="G707" t="inlineStr">
        <is>
          <t>NYKÖPING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55983-2021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44477</v>
      </c>
      <c r="E708" s="1" t="n">
        <v>46298</v>
      </c>
      <c r="F708" t="inlineStr">
        <is>
          <t>SÖDERMANLANDS LÄN</t>
        </is>
      </c>
      <c r="G708" t="inlineStr">
        <is>
          <t>NYKÖPING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44575</v>
      </c>
      <c r="E709" s="1" t="n">
        <v>46298</v>
      </c>
      <c r="F709" t="inlineStr">
        <is>
          <t>SÖDERMANLANDS LÄN</t>
        </is>
      </c>
      <c r="G709" t="inlineStr">
        <is>
          <t>NYKÖPING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33669-2023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45132</v>
      </c>
      <c r="E710" s="1" t="n">
        <v>46298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2513-2022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44579</v>
      </c>
      <c r="E711" s="1" t="n">
        <v>46298</v>
      </c>
      <c r="F711" t="inlineStr">
        <is>
          <t>SÖDERMANLANDS LÄN</t>
        </is>
      </c>
      <c r="G711" t="inlineStr">
        <is>
          <t>NYKÖPING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52258-2023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45224</v>
      </c>
      <c r="E712" s="1" t="n">
        <v>46298</v>
      </c>
      <c r="F712" t="inlineStr">
        <is>
          <t>SÖDERMANLANDS LÄN</t>
        </is>
      </c>
      <c r="G712" t="inlineStr">
        <is>
          <t>NYKÖPING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21257-2023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45062</v>
      </c>
      <c r="E713" s="1" t="n">
        <v>46298</v>
      </c>
      <c r="F713" t="inlineStr">
        <is>
          <t>SÖDERMANLANDS LÄN</t>
        </is>
      </c>
      <c r="G713" t="inlineStr">
        <is>
          <t>NYKÖPING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1558-2024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45306</v>
      </c>
      <c r="E714" s="1" t="n">
        <v>46298</v>
      </c>
      <c r="F714" t="inlineStr">
        <is>
          <t>SÖDERMANLANDS LÄN</t>
        </is>
      </c>
      <c r="G714" t="inlineStr">
        <is>
          <t>NYKÖPING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60210-2022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44910</v>
      </c>
      <c r="E715" s="1" t="n">
        <v>46298</v>
      </c>
      <c r="F715" t="inlineStr">
        <is>
          <t>SÖDERMANLANDS LÄN</t>
        </is>
      </c>
      <c r="G715" t="inlineStr">
        <is>
          <t>NYKÖPING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51410-2022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44869</v>
      </c>
      <c r="E716" s="1" t="n">
        <v>46298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45261</v>
      </c>
      <c r="E717" s="1" t="n">
        <v>46298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1804-2023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44938</v>
      </c>
      <c r="E718" s="1" t="n">
        <v>46298</v>
      </c>
      <c r="F718" t="inlineStr">
        <is>
          <t>SÖDERMANLANDS LÄN</t>
        </is>
      </c>
      <c r="G718" t="inlineStr">
        <is>
          <t>NYKÖPING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14848-2024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45398</v>
      </c>
      <c r="E719" s="1" t="n">
        <v>46298</v>
      </c>
      <c r="F719" t="inlineStr">
        <is>
          <t>SÖDERMANLANDS LÄN</t>
        </is>
      </c>
      <c r="G719" t="inlineStr">
        <is>
          <t>NYKÖPING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2041-2022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44575</v>
      </c>
      <c r="E720" s="1" t="n">
        <v>46298</v>
      </c>
      <c r="F720" t="inlineStr">
        <is>
          <t>SÖDERMANLANDS LÄN</t>
        </is>
      </c>
      <c r="G720" t="inlineStr">
        <is>
          <t>NYKÖPING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57028-2024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45628</v>
      </c>
      <c r="E721" s="1" t="n">
        <v>46298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45062</v>
      </c>
      <c r="E722" s="1" t="n">
        <v>46298</v>
      </c>
      <c r="F722" t="inlineStr">
        <is>
          <t>SÖDERMANLANDS LÄN</t>
        </is>
      </c>
      <c r="G722" t="inlineStr">
        <is>
          <t>NYKÖPING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2255-2024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45310</v>
      </c>
      <c r="E723" s="1" t="n">
        <v>46298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14370-2022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44652</v>
      </c>
      <c r="E724" s="1" t="n">
        <v>46298</v>
      </c>
      <c r="F724" t="inlineStr">
        <is>
          <t>SÖDERMANLANDS LÄN</t>
        </is>
      </c>
      <c r="G724" t="inlineStr">
        <is>
          <t>NYKÖPING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3571-2023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44950</v>
      </c>
      <c r="E725" s="1" t="n">
        <v>46298</v>
      </c>
      <c r="F725" t="inlineStr">
        <is>
          <t>SÖDERMANLANDS LÄN</t>
        </is>
      </c>
      <c r="G725" t="inlineStr">
        <is>
          <t>NYKÖPING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8407-2023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44977</v>
      </c>
      <c r="E726" s="1" t="n">
        <v>46298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Övriga Aktiebolag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926-2023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44932</v>
      </c>
      <c r="E727" s="1" t="n">
        <v>46298</v>
      </c>
      <c r="F727" t="inlineStr">
        <is>
          <t>SÖDERMANLANDS LÄN</t>
        </is>
      </c>
      <c r="G727" t="inlineStr">
        <is>
          <t>NYKÖPING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929-2023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44932</v>
      </c>
      <c r="E728" s="1" t="n">
        <v>46298</v>
      </c>
      <c r="F728" t="inlineStr">
        <is>
          <t>SÖDERMANLANDS LÄN</t>
        </is>
      </c>
      <c r="G728" t="inlineStr">
        <is>
          <t>NYKÖPING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41241-2023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45173</v>
      </c>
      <c r="E729" s="1" t="n">
        <v>46298</v>
      </c>
      <c r="F729" t="inlineStr">
        <is>
          <t>SÖDERMANLANDS LÄN</t>
        </is>
      </c>
      <c r="G729" t="inlineStr">
        <is>
          <t>NYKÖPING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53800-2022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44880</v>
      </c>
      <c r="E730" s="1" t="n">
        <v>46298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Övriga Aktiebolag</t>
        </is>
      </c>
      <c r="I730" t="n">
        <v>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18123-2023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45040</v>
      </c>
      <c r="E731" s="1" t="n">
        <v>46298</v>
      </c>
      <c r="F731" t="inlineStr">
        <is>
          <t>SÖDERMANLANDS LÄN</t>
        </is>
      </c>
      <c r="G731" t="inlineStr">
        <is>
          <t>NYKÖPING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24197-2022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44725</v>
      </c>
      <c r="E732" s="1" t="n">
        <v>46298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32928-2022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44784</v>
      </c>
      <c r="E733" s="1" t="n">
        <v>46298</v>
      </c>
      <c r="F733" t="inlineStr">
        <is>
          <t>SÖDERMANLANDS LÄN</t>
        </is>
      </c>
      <c r="G733" t="inlineStr">
        <is>
          <t>NYKÖPING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16457-2023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45029</v>
      </c>
      <c r="E734" s="1" t="n">
        <v>46298</v>
      </c>
      <c r="F734" t="inlineStr">
        <is>
          <t>SÖDERMANLANDS LÄN</t>
        </is>
      </c>
      <c r="G734" t="inlineStr">
        <is>
          <t>NYKÖPING</t>
        </is>
      </c>
      <c r="I734" t="n">
        <v>0.1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65174-2023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45288</v>
      </c>
      <c r="E735" s="1" t="n">
        <v>46298</v>
      </c>
      <c r="F735" t="inlineStr">
        <is>
          <t>SÖDERMANLANDS LÄN</t>
        </is>
      </c>
      <c r="G735" t="inlineStr">
        <is>
          <t>NYKÖPING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49223-2022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44858</v>
      </c>
      <c r="E736" s="1" t="n">
        <v>46298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statliga verk och myndigheter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7036-2023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44968</v>
      </c>
      <c r="E737" s="1" t="n">
        <v>46298</v>
      </c>
      <c r="F737" t="inlineStr">
        <is>
          <t>SÖDERMANLANDS LÄN</t>
        </is>
      </c>
      <c r="G737" t="inlineStr">
        <is>
          <t>NYKÖPING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38054-2023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45160</v>
      </c>
      <c r="E738" s="1" t="n">
        <v>46298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Kommuner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38063-2023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45160</v>
      </c>
      <c r="E739" s="1" t="n">
        <v>46298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Kommuner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4479-2025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45686</v>
      </c>
      <c r="E740" s="1" t="n">
        <v>46298</v>
      </c>
      <c r="F740" t="inlineStr">
        <is>
          <t>SÖDERMANLANDS LÄN</t>
        </is>
      </c>
      <c r="G740" t="inlineStr">
        <is>
          <t>NYKÖPING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11554-2025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45727</v>
      </c>
      <c r="E741" s="1" t="n">
        <v>46298</v>
      </c>
      <c r="F741" t="inlineStr">
        <is>
          <t>SÖDERMANLANDS LÄN</t>
        </is>
      </c>
      <c r="G741" t="inlineStr">
        <is>
          <t>NYKÖPING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10287-2024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45365</v>
      </c>
      <c r="E742" s="1" t="n">
        <v>46298</v>
      </c>
      <c r="F742" t="inlineStr">
        <is>
          <t>SÖDERMANLANDS LÄN</t>
        </is>
      </c>
      <c r="G742" t="inlineStr">
        <is>
          <t>NYKÖPING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45306</v>
      </c>
      <c r="E743" s="1" t="n">
        <v>46298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Kommuner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65172-2023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45288</v>
      </c>
      <c r="E744" s="1" t="n">
        <v>46298</v>
      </c>
      <c r="F744" t="inlineStr">
        <is>
          <t>SÖDERMANLANDS LÄN</t>
        </is>
      </c>
      <c r="G744" t="inlineStr">
        <is>
          <t>NYKÖPING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38922-2024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45547</v>
      </c>
      <c r="E745" s="1" t="n">
        <v>46298</v>
      </c>
      <c r="F745" t="inlineStr">
        <is>
          <t>SÖDERMANLANDS LÄN</t>
        </is>
      </c>
      <c r="G745" t="inlineStr">
        <is>
          <t>NYKÖPING</t>
        </is>
      </c>
      <c r="I745" t="n">
        <v>10.3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11908-2023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44995</v>
      </c>
      <c r="E746" s="1" t="n">
        <v>46298</v>
      </c>
      <c r="F746" t="inlineStr">
        <is>
          <t>SÖDERMANLANDS LÄN</t>
        </is>
      </c>
      <c r="G746" t="inlineStr">
        <is>
          <t>NYKÖPING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2939-2022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44581</v>
      </c>
      <c r="E747" s="1" t="n">
        <v>46298</v>
      </c>
      <c r="F747" t="inlineStr">
        <is>
          <t>SÖDERMANLANDS LÄN</t>
        </is>
      </c>
      <c r="G747" t="inlineStr">
        <is>
          <t>NYKÖPING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36000-2023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45148</v>
      </c>
      <c r="E748" s="1" t="n">
        <v>46298</v>
      </c>
      <c r="F748" t="inlineStr">
        <is>
          <t>SÖDERMANLANDS LÄN</t>
        </is>
      </c>
      <c r="G748" t="inlineStr">
        <is>
          <t>NYKÖPING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8787-2025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45712</v>
      </c>
      <c r="E749" s="1" t="n">
        <v>46298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24285-2022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44725</v>
      </c>
      <c r="E750" s="1" t="n">
        <v>46298</v>
      </c>
      <c r="F750" t="inlineStr">
        <is>
          <t>SÖDERMANLANDS LÄN</t>
        </is>
      </c>
      <c r="G750" t="inlineStr">
        <is>
          <t>NYKÖPING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44966</v>
      </c>
      <c r="E751" s="1" t="n">
        <v>46298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Övriga Aktiebolag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71555-2021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44540</v>
      </c>
      <c r="E752" s="1" t="n">
        <v>46298</v>
      </c>
      <c r="F752" t="inlineStr">
        <is>
          <t>SÖDERMANLANDS LÄN</t>
        </is>
      </c>
      <c r="G752" t="inlineStr">
        <is>
          <t>NYKÖPING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17372-2023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45034</v>
      </c>
      <c r="E753" s="1" t="n">
        <v>46298</v>
      </c>
      <c r="F753" t="inlineStr">
        <is>
          <t>SÖDERMANLANDS LÄN</t>
        </is>
      </c>
      <c r="G753" t="inlineStr">
        <is>
          <t>NYKÖPING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42251-2022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44830</v>
      </c>
      <c r="E754" s="1" t="n">
        <v>46298</v>
      </c>
      <c r="F754" t="inlineStr">
        <is>
          <t>SÖDERMANLANDS LÄN</t>
        </is>
      </c>
      <c r="G754" t="inlineStr">
        <is>
          <t>NYKÖPING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36714-2023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45153</v>
      </c>
      <c r="E755" s="1" t="n">
        <v>46298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Kommuner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58857-2021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44489</v>
      </c>
      <c r="E756" s="1" t="n">
        <v>46298</v>
      </c>
      <c r="F756" t="inlineStr">
        <is>
          <t>SÖDERMANLANDS LÄN</t>
        </is>
      </c>
      <c r="G756" t="inlineStr">
        <is>
          <t>NYKÖPING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20482-2025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45775</v>
      </c>
      <c r="E757" s="1" t="n">
        <v>46298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44824-2023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45190</v>
      </c>
      <c r="E758" s="1" t="n">
        <v>46298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7045-2023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44968</v>
      </c>
      <c r="E759" s="1" t="n">
        <v>46298</v>
      </c>
      <c r="F759" t="inlineStr">
        <is>
          <t>SÖDERMANLANDS LÄN</t>
        </is>
      </c>
      <c r="G759" t="inlineStr">
        <is>
          <t>NYKÖPING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45635</v>
      </c>
      <c r="E760" s="1" t="n">
        <v>46298</v>
      </c>
      <c r="F760" t="inlineStr">
        <is>
          <t>SÖDERMANLANDS LÄN</t>
        </is>
      </c>
      <c r="G760" t="inlineStr">
        <is>
          <t>NYKÖPING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34203-2024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45524</v>
      </c>
      <c r="E761" s="1" t="n">
        <v>46298</v>
      </c>
      <c r="F761" t="inlineStr">
        <is>
          <t>SÖDERMANLANDS LÄN</t>
        </is>
      </c>
      <c r="G761" t="inlineStr">
        <is>
          <t>NYKÖPING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1999-2020</t>
        </is>
      </c>
      <c r="B762" t="inlineStr">
        <is>
          <t>samrådsanmälan</t>
        </is>
      </c>
      <c r="C762" t="inlineStr">
        <is>
          <t>Åtgärd i nyckelbiotop</t>
        </is>
      </c>
      <c r="D762" s="1" t="n">
        <v>44092</v>
      </c>
      <c r="E762" s="1" t="n">
        <v>46298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Kommuner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1573-2020</t>
        </is>
      </c>
      <c r="B763" t="inlineStr">
        <is>
          <t>samrådsanmälan</t>
        </is>
      </c>
      <c r="C763" t="inlineStr">
        <is>
          <t>Åtgärd i nyckelbiotop</t>
        </is>
      </c>
      <c r="D763" s="1" t="n">
        <v>44013</v>
      </c>
      <c r="E763" s="1" t="n">
        <v>46298</v>
      </c>
      <c r="F763" t="inlineStr">
        <is>
          <t>SÖDERMANLANDS LÄN</t>
        </is>
      </c>
      <c r="G763" t="inlineStr">
        <is>
          <t>NYKÖPING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3783-2023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45223</v>
      </c>
      <c r="E764" s="1" t="n">
        <v>46298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Sveaskog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2311-2022</t>
        </is>
      </c>
      <c r="B765" t="inlineStr">
        <is>
          <t>samrådsanmälan</t>
        </is>
      </c>
      <c r="C765" t="inlineStr">
        <is>
          <t>Åtgärd i nyckelbiotop</t>
        </is>
      </c>
      <c r="D765" s="1" t="n">
        <v>44684</v>
      </c>
      <c r="E765" s="1" t="n">
        <v>46298</v>
      </c>
      <c r="F765" t="inlineStr">
        <is>
          <t>SÖDERMANLANDS LÄN</t>
        </is>
      </c>
      <c r="G765" t="inlineStr">
        <is>
          <t>NYKÖPING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220-2023</t>
        </is>
      </c>
      <c r="B766" t="inlineStr">
        <is>
          <t>samrådsanmälan</t>
        </is>
      </c>
      <c r="C766" t="inlineStr">
        <is>
          <t>Stubbskörd</t>
        </is>
      </c>
      <c r="D766" s="1" t="n">
        <v>44949</v>
      </c>
      <c r="E766" s="1" t="n">
        <v>46298</v>
      </c>
      <c r="F766" t="inlineStr">
        <is>
          <t>SÖDERMANLANDS LÄN</t>
        </is>
      </c>
      <c r="G766" t="inlineStr">
        <is>
          <t>NYKÖPING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3579-2022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44735</v>
      </c>
      <c r="E767" s="1" t="n">
        <v>46298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Sveaskog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1224-2023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45029</v>
      </c>
      <c r="E768" s="1" t="n">
        <v>46298</v>
      </c>
      <c r="F768" t="inlineStr">
        <is>
          <t>SÖDERMANLANDS LÄN</t>
        </is>
      </c>
      <c r="G768" t="inlineStr">
        <is>
          <t>NYKÖPING</t>
        </is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633-2025</t>
        </is>
      </c>
      <c r="B769" t="inlineStr">
        <is>
          <t>samrådsanmälan</t>
        </is>
      </c>
      <c r="C769" t="inlineStr">
        <is>
          <t>Skogsgödsling</t>
        </is>
      </c>
      <c r="D769" s="1" t="n">
        <v>45714</v>
      </c>
      <c r="E769" s="1" t="n">
        <v>46298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39.6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3071-2024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45517</v>
      </c>
      <c r="E770" s="1" t="n">
        <v>46298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Sveaskog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2818-2025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45939</v>
      </c>
      <c r="E771" s="1" t="n">
        <v>46298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Sveaskog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641-2026</t>
        </is>
      </c>
      <c r="B772" t="inlineStr">
        <is>
          <t>samrådsanmälan</t>
        </is>
      </c>
      <c r="C772" t="inlineStr">
        <is>
          <t>Skogsgödsling</t>
        </is>
      </c>
      <c r="D772" s="1" t="n">
        <v>46090</v>
      </c>
      <c r="E772" s="1" t="n">
        <v>46298</v>
      </c>
      <c r="F772" t="inlineStr">
        <is>
          <t>SÖDERMANLANDS LÄN</t>
        </is>
      </c>
      <c r="G772" t="inlineStr">
        <is>
          <t>NYKÖPING</t>
        </is>
      </c>
      <c r="I772" t="n">
        <v>46.2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>
      <c r="A773" t="inlineStr">
        <is>
          <t>S 248-2026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46050</v>
      </c>
      <c r="E773" s="1" t="n">
        <v>46298</v>
      </c>
      <c r="F773" t="inlineStr">
        <is>
          <t>SÖDERMANLANDS LÄN</t>
        </is>
      </c>
      <c r="G773" t="inlineStr">
        <is>
          <t>NYKÖPING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2026-10-03T02:01:53Z</dcterms:created>
  <dcterms:modified xmlns:dcterms="http://purl.org/dc/terms/" xmlns:xsi="http://www.w3.org/2001/XMLSchema-instance" xsi:type="dcterms:W3CDTF">2026-10-03T02:01:54Z</dcterms:modified>
</cp:coreProperties>
</file>