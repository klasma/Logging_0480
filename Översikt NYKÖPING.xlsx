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46305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71887-2021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44543</v>
      </c>
      <c r="E6" s="1" t="n">
        <v>46305</v>
      </c>
      <c r="F6" t="inlineStr">
        <is>
          <t>SÖDERMANLANDS LÄN</t>
        </is>
      </c>
      <c r="G6" t="inlineStr">
        <is>
          <t>NYKÖPING</t>
        </is>
      </c>
      <c r="I6" t="n">
        <v>4.2</v>
      </c>
      <c r="J6" t="n">
        <v>2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9</v>
      </c>
      <c r="T6" t="n">
        <v>12</v>
      </c>
      <c r="U6" t="n">
        <v>0</v>
      </c>
      <c r="V6" s="2" t="inlineStr">
        <is>
          <t>Kandelabersvamp
Blomkålssvamp
Granbarkgnagare
Jättesvampmal
Stubbspretmossa
Trådticka
Vågbandad barkbock
Blåsippa
Gullviva</t>
        </is>
      </c>
      <c r="W6">
        <f>HYPERLINK("https://klasma.github.io/Logging_0480/artfynd/A 71887-2021 artfynd.xlsx", "A 71887-2021")</f>
        <v/>
      </c>
      <c r="X6">
        <f>HYPERLINK("https://klasma.github.io/Logging_0480/kartor/A 71887-2021 karta.png", "A 71887-2021")</f>
        <v/>
      </c>
      <c r="Y6">
        <f>HYPERLINK("https://klasma.github.io/Logging_0480/kartor_geotiff/A 71887-2021 georefererad karta.tif", "A 71887-2021")</f>
        <v/>
      </c>
      <c r="AA6">
        <f>HYPERLINK("https://klasma.github.io/Logging_0480/klagomål/A 71887-2021 FSC-klagomål.docx", "A 71887-2021")</f>
        <v/>
      </c>
      <c r="AB6">
        <f>HYPERLINK("https://klasma.github.io/Logging_0480/klagomålsmail/A 71887-2021 FSC-klagomål mail.docx", "A 71887-2021")</f>
        <v/>
      </c>
      <c r="AC6">
        <f>HYPERLINK("https://klasma.github.io/Logging_0480/tillsyn/A 71887-2021 tillsynsbegäran.docx", "A 71887-2021")</f>
        <v/>
      </c>
      <c r="AD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46305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46305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46305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46305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46305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5855-2024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45335</v>
      </c>
      <c r="E12" s="1" t="n">
        <v>46305</v>
      </c>
      <c r="F12" t="inlineStr">
        <is>
          <t>SÖDERMANLANDS LÄN</t>
        </is>
      </c>
      <c r="G12" t="inlineStr">
        <is>
          <t>NYKÖPING</t>
        </is>
      </c>
      <c r="H12" t="inlineStr">
        <is>
          <t>Sveaskog</t>
        </is>
      </c>
      <c r="I12" t="n">
        <v>3.3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10</v>
      </c>
      <c r="U12" t="n">
        <v>0</v>
      </c>
      <c r="V12" s="2" t="inlineStr">
        <is>
          <t>Berggräsfjäril
Jungfrulin
Svinrot
Mindre vattensalamander
Fläcknycklar
Revlummer</t>
        </is>
      </c>
      <c r="W12">
        <f>HYPERLINK("https://klasma.github.io/Logging_0480/artfynd/A 5855-2024 artfynd.xlsx", "A 5855-2024")</f>
        <v/>
      </c>
      <c r="X12">
        <f>HYPERLINK("https://klasma.github.io/Logging_0480/kartor/A 5855-2024 karta.png", "A 5855-2024")</f>
        <v/>
      </c>
      <c r="Y12">
        <f>HYPERLINK("https://klasma.github.io/Logging_0480/kartor_geotiff/A 5855-2024 georefererad karta.tif", "A 5855-2024")</f>
        <v/>
      </c>
      <c r="AA12">
        <f>HYPERLINK("https://klasma.github.io/Logging_0480/klagomål/A 5855-2024 FSC-klagomål.docx", "A 5855-2024")</f>
        <v/>
      </c>
      <c r="AB12">
        <f>HYPERLINK("https://klasma.github.io/Logging_0480/klagomålsmail/A 5855-2024 FSC-klagomål mail.docx", "A 5855-2024")</f>
        <v/>
      </c>
      <c r="AC12">
        <f>HYPERLINK("https://klasma.github.io/Logging_0480/tillsyn/A 5855-2024 tillsynsbegäran.docx", "A 5855-2024")</f>
        <v/>
      </c>
      <c r="AD12">
        <f>HYPERLINK("https://klasma.github.io/Logging_0480/tillsynsmail/A 5855-2024 tillsynsbegäran mail.docx", "A 5855-2024")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46305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46305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46305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46305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46305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46305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46305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46305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46305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46305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46305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33265-2024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45518</v>
      </c>
      <c r="E24" s="1" t="n">
        <v>46305</v>
      </c>
      <c r="F24" t="inlineStr">
        <is>
          <t>SÖDERMANLANDS LÄN</t>
        </is>
      </c>
      <c r="G24" t="inlineStr">
        <is>
          <t>NYKÖPING</t>
        </is>
      </c>
      <c r="I24" t="n">
        <v>7.8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7</v>
      </c>
      <c r="U24" t="n">
        <v>7</v>
      </c>
      <c r="V24" s="2" t="inlineStr">
        <is>
          <t>Knärot
Fjällig taggsvamp s.str.
Granbarkgnagare
Blåsippa</t>
        </is>
      </c>
      <c r="W24">
        <f>HYPERLINK("https://klasma.github.io/Logging_0480/artfynd/A 33265-2024 artfynd.xlsx", "A 33265-2024")</f>
        <v/>
      </c>
      <c r="X24">
        <f>HYPERLINK("https://klasma.github.io/Logging_0480/kartor/A 33265-2024 karta.png", "A 33265-2024")</f>
        <v/>
      </c>
      <c r="Y24">
        <f>HYPERLINK("https://klasma.github.io/Logging_0480/kartor_geotiff/A 33265-2024 georefererad karta.tif", "A 33265-2024")</f>
        <v/>
      </c>
      <c r="Z24">
        <f>HYPERLINK("https://klasma.github.io/Logging_0480/knärot/A 33265-2024 karta knärot.png", "A 33265-2024")</f>
        <v/>
      </c>
      <c r="AA24">
        <f>HYPERLINK("https://klasma.github.io/Logging_0480/klagomål/A 33265-2024 FSC-klagomål.docx", "A 33265-2024")</f>
        <v/>
      </c>
      <c r="AB24">
        <f>HYPERLINK("https://klasma.github.io/Logging_0480/klagomålsmail/A 33265-2024 FSC-klagomål mail.docx", "A 33265-2024")</f>
        <v/>
      </c>
      <c r="AC24">
        <f>HYPERLINK("https://klasma.github.io/Logging_0480/tillsyn/A 33265-2024 tillsynsbegäran.docx", "A 33265-2024")</f>
        <v/>
      </c>
      <c r="AD24">
        <f>HYPERLINK("https://klasma.github.io/Logging_0480/tillsynsmail/A 33265-2024 tillsynsbegäran mail.docx", "A 33265-2024")</f>
        <v/>
      </c>
    </row>
    <row r="25" ht="15" customHeight="1">
      <c r="A25" t="inlineStr">
        <is>
          <t>A 5869-2024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45335</v>
      </c>
      <c r="E25" s="1" t="n">
        <v>46305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Gulsparv
Havsörn
Fläcknycklar
Revlummer</t>
        </is>
      </c>
      <c r="W25">
        <f>HYPERLINK("https://klasma.github.io/Logging_0480/artfynd/A 5869-2024 artfynd.xlsx", "A 5869-2024")</f>
        <v/>
      </c>
      <c r="X25">
        <f>HYPERLINK("https://klasma.github.io/Logging_0480/kartor/A 5869-2024 karta.png", "A 5869-2024")</f>
        <v/>
      </c>
      <c r="Y25">
        <f>HYPERLINK("https://klasma.github.io/Logging_0480/kartor_geotiff/A 5869-2024 georefererad karta.tif", "A 5869-2024")</f>
        <v/>
      </c>
      <c r="AA25">
        <f>HYPERLINK("https://klasma.github.io/Logging_0480/klagomål/A 5869-2024 FSC-klagomål.docx", "A 5869-2024")</f>
        <v/>
      </c>
      <c r="AB25">
        <f>HYPERLINK("https://klasma.github.io/Logging_0480/klagomålsmail/A 5869-2024 FSC-klagomål mail.docx", "A 5869-2024")</f>
        <v/>
      </c>
      <c r="AC25">
        <f>HYPERLINK("https://klasma.github.io/Logging_0480/tillsyn/A 5869-2024 tillsynsbegäran.docx", "A 5869-2024")</f>
        <v/>
      </c>
      <c r="AD25">
        <f>HYPERLINK("https://klasma.github.io/Logging_0480/tillsynsmail/A 5869-2024 tillsynsbegäran mail.docx", "A 5869-2024")</f>
        <v/>
      </c>
      <c r="AE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46305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46305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46305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46305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46305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46305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46305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11640-2022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44631</v>
      </c>
      <c r="E33" s="1" t="n">
        <v>46305</v>
      </c>
      <c r="F33" t="inlineStr">
        <is>
          <t>SÖDERMANLANDS LÄN</t>
        </is>
      </c>
      <c r="G33" t="inlineStr">
        <is>
          <t>NYKÖPING</t>
        </is>
      </c>
      <c r="H33" t="inlineStr">
        <is>
          <t>Kyrkan</t>
        </is>
      </c>
      <c r="I33" t="n">
        <v>7.6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Fjällig taggsvamp s.str.
Granbarkgnagare
Grovticka</t>
        </is>
      </c>
      <c r="W33">
        <f>HYPERLINK("https://klasma.github.io/Logging_0480/artfynd/A 11640-2022 artfynd.xlsx", "A 11640-2022")</f>
        <v/>
      </c>
      <c r="X33">
        <f>HYPERLINK("https://klasma.github.io/Logging_0480/kartor/A 11640-2022 karta.png", "A 11640-2022")</f>
        <v/>
      </c>
      <c r="Y33">
        <f>HYPERLINK("https://klasma.github.io/Logging_0480/kartor_geotiff/A 11640-2022 georefererad karta.tif", "A 11640-2022")</f>
        <v/>
      </c>
      <c r="AA33">
        <f>HYPERLINK("https://klasma.github.io/Logging_0480/klagomål/A 11640-2022 FSC-klagomål.docx", "A 11640-2022")</f>
        <v/>
      </c>
      <c r="AB33">
        <f>HYPERLINK("https://klasma.github.io/Logging_0480/klagomålsmail/A 11640-2022 FSC-klagomål mail.docx", "A 11640-2022")</f>
        <v/>
      </c>
      <c r="AC33">
        <f>HYPERLINK("https://klasma.github.io/Logging_0480/tillsyn/A 11640-2022 tillsynsbegäran.docx", "A 11640-2022")</f>
        <v/>
      </c>
      <c r="AD33">
        <f>HYPERLINK("https://klasma.github.io/Logging_0480/tillsynsmail/A 11640-2022 tillsynsbegäran mail.docx", "A 11640-2022")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46305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38203-2022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46305</v>
      </c>
      <c r="F35" t="inlineStr">
        <is>
          <t>SÖDERMANLANDS LÄN</t>
        </is>
      </c>
      <c r="G35" t="inlineStr">
        <is>
          <t>NYKÖPING</t>
        </is>
      </c>
      <c r="I35" t="n">
        <v>1.9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Gulsparv
Kösa
Linmåra/småsnärjmåra</t>
        </is>
      </c>
      <c r="W35">
        <f>HYPERLINK("https://klasma.github.io/Logging_0480/artfynd/A 38203-2022 artfynd.xlsx", "A 38203-2022")</f>
        <v/>
      </c>
      <c r="X35">
        <f>HYPERLINK("https://klasma.github.io/Logging_0480/kartor/A 38203-2022 karta.png", "A 38203-2022")</f>
        <v/>
      </c>
      <c r="Y35">
        <f>HYPERLINK("https://klasma.github.io/Logging_0480/kartor_geotiff/A 38203-2022 georefererad karta.tif", "A 38203-2022")</f>
        <v/>
      </c>
      <c r="AA35">
        <f>HYPERLINK("https://klasma.github.io/Logging_0480/klagomål/A 38203-2022 FSC-klagomål.docx", "A 38203-2022")</f>
        <v/>
      </c>
      <c r="AB35">
        <f>HYPERLINK("https://klasma.github.io/Logging_0480/klagomålsmail/A 38203-2022 FSC-klagomål mail.docx", "A 38203-2022")</f>
        <v/>
      </c>
      <c r="AC35">
        <f>HYPERLINK("https://klasma.github.io/Logging_0480/tillsyn/A 38203-2022 tillsynsbegäran.docx", "A 38203-2022")</f>
        <v/>
      </c>
      <c r="AD35">
        <f>HYPERLINK("https://klasma.github.io/Logging_0480/tillsynsmail/A 38203-2022 tillsynsbegäran mail.docx", "A 38203-2022")</f>
        <v/>
      </c>
      <c r="AE35">
        <f>HYPERLINK("https://klasma.github.io/Logging_0480/fåglar/A 38203-2022 prioriterade fågelarter.docx", "A 38203-2022")</f>
        <v/>
      </c>
    </row>
    <row r="36" ht="15" customHeight="1">
      <c r="A36" t="inlineStr">
        <is>
          <t>A 53573-2022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46305</v>
      </c>
      <c r="F36" t="inlineStr">
        <is>
          <t>SÖDERMANLANDS LÄN</t>
        </is>
      </c>
      <c r="G36" t="inlineStr">
        <is>
          <t>NYKÖPING</t>
        </is>
      </c>
      <c r="H36" t="inlineStr">
        <is>
          <t>Övriga Aktiebolag</t>
        </is>
      </c>
      <c r="I36" t="n">
        <v>9.199999999999999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Dofttaggsvamp
Fjällig taggsvamp s.str.
Sotvaxskivling</t>
        </is>
      </c>
      <c r="W36">
        <f>HYPERLINK("https://klasma.github.io/Logging_0480/artfynd/A 53573-2022 artfynd.xlsx", "A 53573-2022")</f>
        <v/>
      </c>
      <c r="X36">
        <f>HYPERLINK("https://klasma.github.io/Logging_0480/kartor/A 53573-2022 karta.png", "A 53573-2022")</f>
        <v/>
      </c>
      <c r="Y36">
        <f>HYPERLINK("https://klasma.github.io/Logging_0480/kartor_geotiff/A 53573-2022 georefererad karta.tif", "A 53573-2022")</f>
        <v/>
      </c>
      <c r="AA36">
        <f>HYPERLINK("https://klasma.github.io/Logging_0480/klagomål/A 53573-2022 FSC-klagomål.docx", "A 53573-2022")</f>
        <v/>
      </c>
      <c r="AB36">
        <f>HYPERLINK("https://klasma.github.io/Logging_0480/klagomålsmail/A 53573-2022 FSC-klagomål mail.docx", "A 53573-2022")</f>
        <v/>
      </c>
      <c r="AC36">
        <f>HYPERLINK("https://klasma.github.io/Logging_0480/tillsyn/A 53573-2022 tillsynsbegäran.docx", "A 53573-2022")</f>
        <v/>
      </c>
      <c r="AD36">
        <f>HYPERLINK("https://klasma.github.io/Logging_0480/tillsynsmail/A 53573-2022 tillsynsbegäran mail.docx", "A 53573-2022")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46305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22417-2023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45070</v>
      </c>
      <c r="E38" s="1" t="n">
        <v>46305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Backstarr
Sjöhjortron
Vanlig snok</t>
        </is>
      </c>
      <c r="W38">
        <f>HYPERLINK("https://klasma.github.io/Logging_0480/artfynd/A 22417-2023 artfynd.xlsx", "A 22417-2023")</f>
        <v/>
      </c>
      <c r="X38">
        <f>HYPERLINK("https://klasma.github.io/Logging_0480/kartor/A 22417-2023 karta.png", "A 22417-2023")</f>
        <v/>
      </c>
      <c r="Y38">
        <f>HYPERLINK("https://klasma.github.io/Logging_0480/kartor_geotiff/A 22417-2023 georefererad karta.tif", "A 22417-2023")</f>
        <v/>
      </c>
      <c r="AA38">
        <f>HYPERLINK("https://klasma.github.io/Logging_0480/klagomål/A 22417-2023 FSC-klagomål.docx", "A 22417-2023")</f>
        <v/>
      </c>
      <c r="AB38">
        <f>HYPERLINK("https://klasma.github.io/Logging_0480/klagomålsmail/A 22417-2023 FSC-klagomål mail.docx", "A 22417-2023")</f>
        <v/>
      </c>
      <c r="AC38">
        <f>HYPERLINK("https://klasma.github.io/Logging_0480/tillsyn/A 22417-2023 tillsynsbegäran.docx", "A 22417-2023")</f>
        <v/>
      </c>
      <c r="AD38">
        <f>HYPERLINK("https://klasma.github.io/Logging_0480/tillsynsmail/A 22417-2023 tillsynsbegäran mail.docx", "A 22417-2023")</f>
        <v/>
      </c>
    </row>
    <row r="39" ht="15" customHeight="1">
      <c r="A39" t="inlineStr">
        <is>
          <t>A 54498-2023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45226</v>
      </c>
      <c r="E39" s="1" t="n">
        <v>46305</v>
      </c>
      <c r="F39" t="inlineStr">
        <is>
          <t>SÖDERMANLANDS LÄN</t>
        </is>
      </c>
      <c r="G39" t="inlineStr">
        <is>
          <t>NYKÖPING</t>
        </is>
      </c>
      <c r="I39" t="n">
        <v>4.7</v>
      </c>
      <c r="J39" t="n">
        <v>3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1</v>
      </c>
      <c r="V39" s="2" t="inlineStr">
        <is>
          <t>Brun glada
Trana
Utter</t>
        </is>
      </c>
      <c r="W39">
        <f>HYPERLINK("https://klasma.github.io/Logging_0480/artfynd/A 54498-2023 artfynd.xlsx", "A 54498-2023")</f>
        <v/>
      </c>
      <c r="X39">
        <f>HYPERLINK("https://klasma.github.io/Logging_0480/kartor/A 54498-2023 karta.png", "A 54498-2023")</f>
        <v/>
      </c>
      <c r="Y39">
        <f>HYPERLINK("https://klasma.github.io/Logging_0480/kartor_geotiff/A 54498-2023 georefererad karta.tif", "A 54498-2023")</f>
        <v/>
      </c>
      <c r="AA39">
        <f>HYPERLINK("https://klasma.github.io/Logging_0480/klagomål/A 54498-2023 FSC-klagomål.docx", "A 54498-2023")</f>
        <v/>
      </c>
      <c r="AB39">
        <f>HYPERLINK("https://klasma.github.io/Logging_0480/klagomålsmail/A 54498-2023 FSC-klagomål mail.docx", "A 54498-2023")</f>
        <v/>
      </c>
      <c r="AC39">
        <f>HYPERLINK("https://klasma.github.io/Logging_0480/tillsyn/A 54498-2023 tillsynsbegäran.docx", "A 54498-2023")</f>
        <v/>
      </c>
      <c r="AD39">
        <f>HYPERLINK("https://klasma.github.io/Logging_0480/tillsynsmail/A 54498-2023 tillsynsbegäran mail.docx", "A 54498-2023")</f>
        <v/>
      </c>
      <c r="AE39">
        <f>HYPERLINK("https://klasma.github.io/Logging_0480/fåglar/A 54498-2023 prioriterade fågelarter.docx", "A 54498-2023")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46305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46305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56560-2022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44893</v>
      </c>
      <c r="E42" s="1" t="n">
        <v>46305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1.1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Fjällvråk
Kråka</t>
        </is>
      </c>
      <c r="W42">
        <f>HYPERLINK("https://klasma.github.io/Logging_0480/artfynd/A 56560-2022 artfynd.xlsx", "A 56560-2022")</f>
        <v/>
      </c>
      <c r="X42">
        <f>HYPERLINK("https://klasma.github.io/Logging_0480/kartor/A 56560-2022 karta.png", "A 56560-2022")</f>
        <v/>
      </c>
      <c r="Y42">
        <f>HYPERLINK("https://klasma.github.io/Logging_0480/kartor_geotiff/A 56560-2022 georefererad karta.tif", "A 56560-2022")</f>
        <v/>
      </c>
      <c r="AA42">
        <f>HYPERLINK("https://klasma.github.io/Logging_0480/klagomål/A 56560-2022 FSC-klagomål.docx", "A 56560-2022")</f>
        <v/>
      </c>
      <c r="AB42">
        <f>HYPERLINK("https://klasma.github.io/Logging_0480/klagomålsmail/A 56560-2022 FSC-klagomål mail.docx", "A 56560-2022")</f>
        <v/>
      </c>
      <c r="AC42">
        <f>HYPERLINK("https://klasma.github.io/Logging_0480/tillsyn/A 56560-2022 tillsynsbegäran.docx", "A 56560-2022")</f>
        <v/>
      </c>
      <c r="AD42">
        <f>HYPERLINK("https://klasma.github.io/Logging_0480/tillsynsmail/A 56560-2022 tillsynsbegäran mail.docx", "A 56560-2022")</f>
        <v/>
      </c>
      <c r="AE42">
        <f>HYPERLINK("https://klasma.github.io/Logging_0480/fåglar/A 56560-2022 prioriterade fågelarter.docx", "A 56560-2022")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46305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46305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56420-2021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44480</v>
      </c>
      <c r="E45" s="1" t="n">
        <v>46305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2.8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Björktrast
Kungsörn</t>
        </is>
      </c>
      <c r="W45">
        <f>HYPERLINK("https://klasma.github.io/Logging_0480/artfynd/A 56420-2021 artfynd.xlsx", "A 56420-2021")</f>
        <v/>
      </c>
      <c r="X45">
        <f>HYPERLINK("https://klasma.github.io/Logging_0480/kartor/A 56420-2021 karta.png", "A 56420-2021")</f>
        <v/>
      </c>
      <c r="Y45">
        <f>HYPERLINK("https://klasma.github.io/Logging_0480/kartor_geotiff/A 56420-2021 georefererad karta.tif", "A 56420-2021")</f>
        <v/>
      </c>
      <c r="AA45">
        <f>HYPERLINK("https://klasma.github.io/Logging_0480/klagomål/A 56420-2021 FSC-klagomål.docx", "A 56420-2021")</f>
        <v/>
      </c>
      <c r="AB45">
        <f>HYPERLINK("https://klasma.github.io/Logging_0480/klagomålsmail/A 56420-2021 FSC-klagomål mail.docx", "A 56420-2021")</f>
        <v/>
      </c>
      <c r="AC45">
        <f>HYPERLINK("https://klasma.github.io/Logging_0480/tillsyn/A 56420-2021 tillsynsbegäran.docx", "A 56420-2021")</f>
        <v/>
      </c>
      <c r="AD45">
        <f>HYPERLINK("https://klasma.github.io/Logging_0480/tillsynsmail/A 56420-2021 tillsynsbegäran mail.docx", "A 56420-2021")</f>
        <v/>
      </c>
      <c r="AE45">
        <f>HYPERLINK("https://klasma.github.io/Logging_0480/fåglar/A 56420-2021 prioriterade fågelarter.docx", "A 56420-2021")</f>
        <v/>
      </c>
    </row>
    <row r="46" ht="15" customHeight="1">
      <c r="A46" t="inlineStr">
        <is>
          <t>A 60518-2022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44904</v>
      </c>
      <c r="E46" s="1" t="n">
        <v>46305</v>
      </c>
      <c r="F46" t="inlineStr">
        <is>
          <t>SÖDERMANLANDS LÄN</t>
        </is>
      </c>
      <c r="G46" t="inlineStr">
        <is>
          <t>NYKÖPING</t>
        </is>
      </c>
      <c r="I46" t="n">
        <v>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Gullklöver
Gullviva</t>
        </is>
      </c>
      <c r="W46">
        <f>HYPERLINK("https://klasma.github.io/Logging_0480/artfynd/A 60518-2022 artfynd.xlsx", "A 60518-2022")</f>
        <v/>
      </c>
      <c r="X46">
        <f>HYPERLINK("https://klasma.github.io/Logging_0480/kartor/A 60518-2022 karta.png", "A 60518-2022")</f>
        <v/>
      </c>
      <c r="Y46">
        <f>HYPERLINK("https://klasma.github.io/Logging_0480/kartor_geotiff/A 60518-2022 georefererad karta.tif", "A 60518-2022")</f>
        <v/>
      </c>
      <c r="AA46">
        <f>HYPERLINK("https://klasma.github.io/Logging_0480/klagomål/A 60518-2022 FSC-klagomål.docx", "A 60518-2022")</f>
        <v/>
      </c>
      <c r="AB46">
        <f>HYPERLINK("https://klasma.github.io/Logging_0480/klagomålsmail/A 60518-2022 FSC-klagomål mail.docx", "A 60518-2022")</f>
        <v/>
      </c>
      <c r="AC46">
        <f>HYPERLINK("https://klasma.github.io/Logging_0480/tillsyn/A 60518-2022 tillsynsbegäran.docx", "A 60518-2022")</f>
        <v/>
      </c>
      <c r="AD46">
        <f>HYPERLINK("https://klasma.github.io/Logging_0480/tillsynsmail/A 60518-2022 tillsynsbegäran mail.docx", "A 60518-2022")</f>
        <v/>
      </c>
    </row>
    <row r="47" ht="15" customHeight="1">
      <c r="A47" t="inlineStr">
        <is>
          <t>A 38923-2024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46305</v>
      </c>
      <c r="F47" t="inlineStr">
        <is>
          <t>SÖDERMANLANDS LÄN</t>
        </is>
      </c>
      <c r="G47" t="inlineStr">
        <is>
          <t>NYKÖPING</t>
        </is>
      </c>
      <c r="I47" t="n">
        <v>18.9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1</v>
      </c>
      <c r="V47" s="2" t="inlineStr">
        <is>
          <t>Tallticka
Blodticka</t>
        </is>
      </c>
      <c r="W47">
        <f>HYPERLINK("https://klasma.github.io/Logging_0480/artfynd/A 38923-2024 artfynd.xlsx", "A 38923-2024")</f>
        <v/>
      </c>
      <c r="X47">
        <f>HYPERLINK("https://klasma.github.io/Logging_0480/kartor/A 38923-2024 karta.png", "A 38923-2024")</f>
        <v/>
      </c>
      <c r="Y47">
        <f>HYPERLINK("https://klasma.github.io/Logging_0480/kartor_geotiff/A 38923-2024 georefererad karta.tif", "A 38923-2024")</f>
        <v/>
      </c>
      <c r="AA47">
        <f>HYPERLINK("https://klasma.github.io/Logging_0480/klagomål/A 38923-2024 FSC-klagomål.docx", "A 38923-2024")</f>
        <v/>
      </c>
      <c r="AB47">
        <f>HYPERLINK("https://klasma.github.io/Logging_0480/klagomålsmail/A 38923-2024 FSC-klagomål mail.docx", "A 38923-2024")</f>
        <v/>
      </c>
      <c r="AC47">
        <f>HYPERLINK("https://klasma.github.io/Logging_0480/tillsyn/A 38923-2024 tillsynsbegäran.docx", "A 38923-2024")</f>
        <v/>
      </c>
      <c r="AD47">
        <f>HYPERLINK("https://klasma.github.io/Logging_0480/tillsynsmail/A 38923-2024 tillsynsbegäran mail.docx", "A 38923-2024")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46305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46305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34310-2022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44792</v>
      </c>
      <c r="E50" s="1" t="n">
        <v>46305</v>
      </c>
      <c r="F50" t="inlineStr">
        <is>
          <t>SÖDERMANLANDS LÄN</t>
        </is>
      </c>
      <c r="G50" t="inlineStr">
        <is>
          <t>NYKÖPING</t>
        </is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0</v>
      </c>
      <c r="V50" s="2" t="inlineStr">
        <is>
          <t>Bombmurkla
Grönpyrola</t>
        </is>
      </c>
      <c r="W50">
        <f>HYPERLINK("https://klasma.github.io/Logging_0480/artfynd/A 34310-2022 artfynd.xlsx", "A 34310-2022")</f>
        <v/>
      </c>
      <c r="X50">
        <f>HYPERLINK("https://klasma.github.io/Logging_0480/kartor/A 34310-2022 karta.png", "A 34310-2022")</f>
        <v/>
      </c>
      <c r="Y50">
        <f>HYPERLINK("https://klasma.github.io/Logging_0480/kartor_geotiff/A 34310-2022 georefererad karta.tif", "A 34310-2022")</f>
        <v/>
      </c>
      <c r="AA50">
        <f>HYPERLINK("https://klasma.github.io/Logging_0480/klagomål/A 34310-2022 FSC-klagomål.docx", "A 34310-2022")</f>
        <v/>
      </c>
      <c r="AB50">
        <f>HYPERLINK("https://klasma.github.io/Logging_0480/klagomålsmail/A 34310-2022 FSC-klagomål mail.docx", "A 34310-2022")</f>
        <v/>
      </c>
      <c r="AC50">
        <f>HYPERLINK("https://klasma.github.io/Logging_0480/tillsyn/A 34310-2022 tillsynsbegäran.docx", "A 34310-2022")</f>
        <v/>
      </c>
      <c r="AD50">
        <f>HYPERLINK("https://klasma.github.io/Logging_0480/tillsynsmail/A 34310-2022 tillsynsbegäran mail.docx", "A 34310-2022")</f>
        <v/>
      </c>
    </row>
    <row r="51" ht="15" customHeight="1">
      <c r="A51" t="inlineStr">
        <is>
          <t>A 29766-2022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46305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Broskvaxing
Kungsfågel</t>
        </is>
      </c>
      <c r="W51">
        <f>HYPERLINK("https://klasma.github.io/Logging_0480/artfynd/A 29766-2022 artfynd.xlsx", "A 29766-2022")</f>
        <v/>
      </c>
      <c r="X51">
        <f>HYPERLINK("https://klasma.github.io/Logging_0480/kartor/A 29766-2022 karta.png", "A 29766-2022")</f>
        <v/>
      </c>
      <c r="Y51">
        <f>HYPERLINK("https://klasma.github.io/Logging_0480/kartor_geotiff/A 29766-2022 georefererad karta.tif", "A 29766-2022")</f>
        <v/>
      </c>
      <c r="AA51">
        <f>HYPERLINK("https://klasma.github.io/Logging_0480/klagomål/A 29766-2022 FSC-klagomål.docx", "A 29766-2022")</f>
        <v/>
      </c>
      <c r="AB51">
        <f>HYPERLINK("https://klasma.github.io/Logging_0480/klagomålsmail/A 29766-2022 FSC-klagomål mail.docx", "A 29766-2022")</f>
        <v/>
      </c>
      <c r="AC51">
        <f>HYPERLINK("https://klasma.github.io/Logging_0480/tillsyn/A 29766-2022 tillsynsbegäran.docx", "A 29766-2022")</f>
        <v/>
      </c>
      <c r="AD51">
        <f>HYPERLINK("https://klasma.github.io/Logging_0480/tillsynsmail/A 29766-2022 tillsynsbegäran mail.docx", "A 29766-2022")</f>
        <v/>
      </c>
    </row>
    <row r="52" ht="15" customHeight="1">
      <c r="A52" t="inlineStr">
        <is>
          <t>A 48153-2023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45205</v>
      </c>
      <c r="E52" s="1" t="n">
        <v>46305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Nötkråka
Havsörn</t>
        </is>
      </c>
      <c r="W52">
        <f>HYPERLINK("https://klasma.github.io/Logging_0480/artfynd/A 48153-2023 artfynd.xlsx", "A 48153-2023")</f>
        <v/>
      </c>
      <c r="X52">
        <f>HYPERLINK("https://klasma.github.io/Logging_0480/kartor/A 48153-2023 karta.png", "A 48153-2023")</f>
        <v/>
      </c>
      <c r="Y52">
        <f>HYPERLINK("https://klasma.github.io/Logging_0480/kartor_geotiff/A 48153-2023 georefererad karta.tif", "A 48153-2023")</f>
        <v/>
      </c>
      <c r="AA52">
        <f>HYPERLINK("https://klasma.github.io/Logging_0480/klagomål/A 48153-2023 FSC-klagomål.docx", "A 48153-2023")</f>
        <v/>
      </c>
      <c r="AB52">
        <f>HYPERLINK("https://klasma.github.io/Logging_0480/klagomålsmail/A 48153-2023 FSC-klagomål mail.docx", "A 48153-2023")</f>
        <v/>
      </c>
      <c r="AC52">
        <f>HYPERLINK("https://klasma.github.io/Logging_0480/tillsyn/A 48153-2023 tillsynsbegäran.docx", "A 48153-2023")</f>
        <v/>
      </c>
      <c r="AD52">
        <f>HYPERLINK("https://klasma.github.io/Logging_0480/tillsynsmail/A 48153-2023 tillsynsbegäran mail.docx", "A 48153-2023")</f>
        <v/>
      </c>
      <c r="AE52">
        <f>HYPERLINK("https://klasma.github.io/Logging_0480/fåglar/A 48153-2023 prioriterade fågelarter.docx", "A 48153-2023")</f>
        <v/>
      </c>
    </row>
    <row r="53" ht="15" customHeight="1">
      <c r="A53" t="inlineStr">
        <is>
          <t>A 58167-2025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45982</v>
      </c>
      <c r="E53" s="1" t="n">
        <v>46305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Grönpyrola
Mattlummer</t>
        </is>
      </c>
      <c r="W53">
        <f>HYPERLINK("https://klasma.github.io/Logging_0480/artfynd/A 58167-2025 artfynd.xlsx", "A 58167-2025")</f>
        <v/>
      </c>
      <c r="X53">
        <f>HYPERLINK("https://klasma.github.io/Logging_0480/kartor/A 58167-2025 karta.png", "A 58167-2025")</f>
        <v/>
      </c>
      <c r="Y53">
        <f>HYPERLINK("https://klasma.github.io/Logging_0480/kartor_geotiff/A 58167-2025 georefererad karta.tif", "A 58167-2025")</f>
        <v/>
      </c>
      <c r="AA53">
        <f>HYPERLINK("https://klasma.github.io/Logging_0480/klagomål/A 58167-2025 FSC-klagomål.docx", "A 58167-2025")</f>
        <v/>
      </c>
      <c r="AB53">
        <f>HYPERLINK("https://klasma.github.io/Logging_0480/klagomålsmail/A 58167-2025 FSC-klagomål mail.docx", "A 58167-2025")</f>
        <v/>
      </c>
      <c r="AC53">
        <f>HYPERLINK("https://klasma.github.io/Logging_0480/tillsyn/A 58167-2025 tillsynsbegäran.docx", "A 58167-2025")</f>
        <v/>
      </c>
      <c r="AD53">
        <f>HYPERLINK("https://klasma.github.io/Logging_0480/tillsynsmail/A 58167-2025 tillsynsbegäran mail.docx", "A 58167-2025")</f>
        <v/>
      </c>
    </row>
    <row r="54" ht="15" customHeight="1">
      <c r="A54" t="inlineStr">
        <is>
          <t>A 16078-2023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45027</v>
      </c>
      <c r="E54" s="1" t="n">
        <v>46305</v>
      </c>
      <c r="F54" t="inlineStr">
        <is>
          <t>SÖDERMANLANDS LÄN</t>
        </is>
      </c>
      <c r="G54" t="inlineStr">
        <is>
          <t>NYKÖPING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Rödlånke
Fläcknycklar</t>
        </is>
      </c>
      <c r="W54">
        <f>HYPERLINK("https://klasma.github.io/Logging_0480/artfynd/A 16078-2023 artfynd.xlsx", "A 16078-2023")</f>
        <v/>
      </c>
      <c r="X54">
        <f>HYPERLINK("https://klasma.github.io/Logging_0480/kartor/A 16078-2023 karta.png", "A 16078-2023")</f>
        <v/>
      </c>
      <c r="Y54">
        <f>HYPERLINK("https://klasma.github.io/Logging_0480/kartor_geotiff/A 16078-2023 georefererad karta.tif", "A 16078-2023")</f>
        <v/>
      </c>
      <c r="AA54">
        <f>HYPERLINK("https://klasma.github.io/Logging_0480/klagomål/A 16078-2023 FSC-klagomål.docx", "A 16078-2023")</f>
        <v/>
      </c>
      <c r="AB54">
        <f>HYPERLINK("https://klasma.github.io/Logging_0480/klagomålsmail/A 16078-2023 FSC-klagomål mail.docx", "A 16078-2023")</f>
        <v/>
      </c>
      <c r="AC54">
        <f>HYPERLINK("https://klasma.github.io/Logging_0480/tillsyn/A 16078-2023 tillsynsbegäran.docx", "A 16078-2023")</f>
        <v/>
      </c>
      <c r="AD54">
        <f>HYPERLINK("https://klasma.github.io/Logging_0480/tillsynsmail/A 16078-2023 tillsynsbegäran mail.docx", "A 16078-2023")</f>
        <v/>
      </c>
    </row>
    <row r="55" ht="15" customHeight="1">
      <c r="A55" t="inlineStr">
        <is>
          <t>A 14862-2026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46305</v>
      </c>
      <c r="F55" t="inlineStr">
        <is>
          <t>SÖDERMANLANDS LÄN</t>
        </is>
      </c>
      <c r="G55" t="inlineStr">
        <is>
          <t>NYKÖPING</t>
        </is>
      </c>
      <c r="I55" t="n">
        <v>10.8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Dropptaggsvamp
Blåbär</t>
        </is>
      </c>
      <c r="W55">
        <f>HYPERLINK("https://klasma.github.io/Logging_0480/artfynd/A 14862-2026 artfynd.xlsx", "A 14862-2026")</f>
        <v/>
      </c>
      <c r="X55">
        <f>HYPERLINK("https://klasma.github.io/Logging_0480/kartor/A 14862-2026 karta.png", "A 14862-2026")</f>
        <v/>
      </c>
      <c r="Y55">
        <f>HYPERLINK("https://klasma.github.io/Logging_0480/kartor_geotiff/A 14862-2026 georefererad karta.tif", "A 14862-2026")</f>
        <v/>
      </c>
      <c r="AA55">
        <f>HYPERLINK("https://klasma.github.io/Logging_0480/klagomål/A 14862-2026 FSC-klagomål.docx", "A 14862-2026")</f>
        <v/>
      </c>
      <c r="AB55">
        <f>HYPERLINK("https://klasma.github.io/Logging_0480/klagomålsmail/A 14862-2026 FSC-klagomål mail.docx", "A 14862-2026")</f>
        <v/>
      </c>
      <c r="AC55">
        <f>HYPERLINK("https://klasma.github.io/Logging_0480/tillsyn/A 14862-2026 tillsynsbegäran.docx", "A 14862-2026")</f>
        <v/>
      </c>
      <c r="AD55">
        <f>HYPERLINK("https://klasma.github.io/Logging_0480/tillsynsmail/A 14862-2026 tillsynsbegäran mail.docx", "A 14862-2026")</f>
        <v/>
      </c>
    </row>
    <row r="56" ht="15" customHeight="1">
      <c r="A56" t="inlineStr">
        <is>
          <t>A 60460-2022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44911</v>
      </c>
      <c r="E56" s="1" t="n">
        <v>46305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1.7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Barkticka
Blåsippa</t>
        </is>
      </c>
      <c r="W56">
        <f>HYPERLINK("https://klasma.github.io/Logging_0480/artfynd/A 60460-2022 artfynd.xlsx", "A 60460-2022")</f>
        <v/>
      </c>
      <c r="X56">
        <f>HYPERLINK("https://klasma.github.io/Logging_0480/kartor/A 60460-2022 karta.png", "A 60460-2022")</f>
        <v/>
      </c>
      <c r="Y56">
        <f>HYPERLINK("https://klasma.github.io/Logging_0480/kartor_geotiff/A 60460-2022 georefererad karta.tif", "A 60460-2022")</f>
        <v/>
      </c>
      <c r="AA56">
        <f>HYPERLINK("https://klasma.github.io/Logging_0480/klagomål/A 60460-2022 FSC-klagomål.docx", "A 60460-2022")</f>
        <v/>
      </c>
      <c r="AB56">
        <f>HYPERLINK("https://klasma.github.io/Logging_0480/klagomålsmail/A 60460-2022 FSC-klagomål mail.docx", "A 60460-2022")</f>
        <v/>
      </c>
      <c r="AC56">
        <f>HYPERLINK("https://klasma.github.io/Logging_0480/tillsyn/A 60460-2022 tillsynsbegäran.docx", "A 60460-2022")</f>
        <v/>
      </c>
      <c r="AD56">
        <f>HYPERLINK("https://klasma.github.io/Logging_0480/tillsynsmail/A 60460-2022 tillsynsbegäran mail.docx", "A 60460-2022")</f>
        <v/>
      </c>
    </row>
    <row r="57" ht="15" customHeight="1">
      <c r="A57" t="inlineStr">
        <is>
          <t>A 6276-2026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46305</v>
      </c>
      <c r="F57" t="inlineStr">
        <is>
          <t>SÖDERMANLANDS LÄN</t>
        </is>
      </c>
      <c r="G57" t="inlineStr">
        <is>
          <t>NYKÖPING</t>
        </is>
      </c>
      <c r="I57" t="n">
        <v>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Duvhök
Granbarkgnagare</t>
        </is>
      </c>
      <c r="W57">
        <f>HYPERLINK("https://klasma.github.io/Logging_0480/artfynd/A 6276-2026 artfynd.xlsx", "A 6276-2026")</f>
        <v/>
      </c>
      <c r="X57">
        <f>HYPERLINK("https://klasma.github.io/Logging_0480/kartor/A 6276-2026 karta.png", "A 6276-2026")</f>
        <v/>
      </c>
      <c r="Y57">
        <f>HYPERLINK("https://klasma.github.io/Logging_0480/kartor_geotiff/A 6276-2026 georefererad karta.tif", "A 6276-2026")</f>
        <v/>
      </c>
      <c r="AA57">
        <f>HYPERLINK("https://klasma.github.io/Logging_0480/klagomål/A 6276-2026 FSC-klagomål.docx", "A 6276-2026")</f>
        <v/>
      </c>
      <c r="AB57">
        <f>HYPERLINK("https://klasma.github.io/Logging_0480/klagomålsmail/A 6276-2026 FSC-klagomål mail.docx", "A 6276-2026")</f>
        <v/>
      </c>
      <c r="AC57">
        <f>HYPERLINK("https://klasma.github.io/Logging_0480/tillsyn/A 6276-2026 tillsynsbegäran.docx", "A 6276-2026")</f>
        <v/>
      </c>
      <c r="AD57">
        <f>HYPERLINK("https://klasma.github.io/Logging_0480/tillsynsmail/A 6276-2026 tillsynsbegäran mail.docx", "A 6276-2026")</f>
        <v/>
      </c>
      <c r="AE57">
        <f>HYPERLINK("https://klasma.github.io/Logging_0480/fåglar/A 6276-2026 prioriterade fågelarter.docx", "A 6276-2026")</f>
        <v/>
      </c>
    </row>
    <row r="58" ht="15" customHeight="1">
      <c r="A58" t="inlineStr">
        <is>
          <t>A 5385-2026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46305</v>
      </c>
      <c r="F58" t="inlineStr">
        <is>
          <t>SÖDERMANLANDS LÄN</t>
        </is>
      </c>
      <c r="G58" t="inlineStr">
        <is>
          <t>NYKÖPING</t>
        </is>
      </c>
      <c r="I58" t="n">
        <v>3.5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Spillkråka
Tallört (aggregat)</t>
        </is>
      </c>
      <c r="W58">
        <f>HYPERLINK("https://klasma.github.io/Logging_0480/artfynd/A 5385-2026 artfynd.xlsx", "A 5385-2026")</f>
        <v/>
      </c>
      <c r="X58">
        <f>HYPERLINK("https://klasma.github.io/Logging_0480/kartor/A 5385-2026 karta.png", "A 5385-2026")</f>
        <v/>
      </c>
      <c r="Y58">
        <f>HYPERLINK("https://klasma.github.io/Logging_0480/kartor_geotiff/A 5385-2026 georefererad karta.tif", "A 5385-2026")</f>
        <v/>
      </c>
      <c r="AA58">
        <f>HYPERLINK("https://klasma.github.io/Logging_0480/klagomål/A 5385-2026 FSC-klagomål.docx", "A 5385-2026")</f>
        <v/>
      </c>
      <c r="AB58">
        <f>HYPERLINK("https://klasma.github.io/Logging_0480/klagomålsmail/A 5385-2026 FSC-klagomål mail.docx", "A 5385-2026")</f>
        <v/>
      </c>
      <c r="AC58">
        <f>HYPERLINK("https://klasma.github.io/Logging_0480/tillsyn/A 5385-2026 tillsynsbegäran.docx", "A 5385-2026")</f>
        <v/>
      </c>
      <c r="AD58">
        <f>HYPERLINK("https://klasma.github.io/Logging_0480/tillsynsmail/A 5385-2026 tillsynsbegäran mail.docx", "A 5385-2026")</f>
        <v/>
      </c>
      <c r="AE58">
        <f>HYPERLINK("https://klasma.github.io/Logging_0480/fåglar/A 5385-2026 prioriterade fågelarter.docx", "A 5385-2026")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46305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46305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46305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46305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46305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S 5250-2022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44825</v>
      </c>
      <c r="E64" s="1" t="n">
        <v>46305</v>
      </c>
      <c r="F64" t="inlineStr">
        <is>
          <t>SÖDERMANLANDS LÄN</t>
        </is>
      </c>
      <c r="G64" t="inlineStr">
        <is>
          <t>NYKÖPING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Ask
Grön sköldmossa</t>
        </is>
      </c>
      <c r="W64">
        <f>HYPERLINK("https://klasma.github.io/Logging_0480/artfynd/S 5250-2022 artfynd.xlsx", "S 5250-2022")</f>
        <v/>
      </c>
      <c r="X64">
        <f>HYPERLINK("https://klasma.github.io/Logging_0480/kartor/S 5250-2022 karta.png", "S 5250-2022")</f>
        <v/>
      </c>
      <c r="Y64">
        <f>HYPERLINK("https://klasma.github.io/Logging_0480/kartor_geotiff/S 5250-2022 georefererad karta.tif", "S 5250-2022")</f>
        <v/>
      </c>
      <c r="AA64">
        <f>HYPERLINK("https://klasma.github.io/Logging_0480/klagomål/S 5250-2022 FSC-klagomål.docx", "S 5250-2022")</f>
        <v/>
      </c>
      <c r="AB64">
        <f>HYPERLINK("https://klasma.github.io/Logging_0480/klagomålsmail/S 5250-2022 FSC-klagomål mail.docx", "S 5250-2022")</f>
        <v/>
      </c>
      <c r="AC64">
        <f>HYPERLINK("https://klasma.github.io/Logging_0480/tillsyn/S 5250-2022 tillsynsbegäran.docx", "S 5250-2022")</f>
        <v/>
      </c>
      <c r="AD64">
        <f>HYPERLINK("https://klasma.github.io/Logging_0480/tillsynsmail/S 5250-2022 tillsynsbegäran mail.docx", "S 5250-2022")</f>
        <v/>
      </c>
    </row>
    <row r="65" ht="15" customHeight="1">
      <c r="A65" t="inlineStr">
        <is>
          <t>A 52095-2022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46305</v>
      </c>
      <c r="F65" t="inlineStr">
        <is>
          <t>SÖDERMANLANDS LÄN</t>
        </is>
      </c>
      <c r="G65" t="inlineStr">
        <is>
          <t>NYKÖPING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Drillsnäppa</t>
        </is>
      </c>
      <c r="W65">
        <f>HYPERLINK("https://klasma.github.io/Logging_0480/artfynd/A 52095-2022 artfynd.xlsx", "A 52095-2022")</f>
        <v/>
      </c>
      <c r="X65">
        <f>HYPERLINK("https://klasma.github.io/Logging_0480/kartor/A 52095-2022 karta.png", "A 52095-2022")</f>
        <v/>
      </c>
      <c r="Y65">
        <f>HYPERLINK("https://klasma.github.io/Logging_0480/kartor_geotiff/A 52095-2022 georefererad karta.tif", "A 52095-2022")</f>
        <v/>
      </c>
      <c r="AA65">
        <f>HYPERLINK("https://klasma.github.io/Logging_0480/klagomål/A 52095-2022 FSC-klagomål.docx", "A 52095-2022")</f>
        <v/>
      </c>
      <c r="AB65">
        <f>HYPERLINK("https://klasma.github.io/Logging_0480/klagomålsmail/A 52095-2022 FSC-klagomål mail.docx", "A 52095-2022")</f>
        <v/>
      </c>
      <c r="AC65">
        <f>HYPERLINK("https://klasma.github.io/Logging_0480/tillsyn/A 52095-2022 tillsynsbegäran.docx", "A 52095-2022")</f>
        <v/>
      </c>
      <c r="AD65">
        <f>HYPERLINK("https://klasma.github.io/Logging_0480/tillsynsmail/A 52095-2022 tillsynsbegäran mail.docx", "A 52095-2022")</f>
        <v/>
      </c>
      <c r="AE65">
        <f>HYPERLINK("https://klasma.github.io/Logging_0480/fåglar/A 52095-2022 prioriterade fågelarter.docx", "A 52095-2022")</f>
        <v/>
      </c>
    </row>
    <row r="66" ht="15" customHeight="1">
      <c r="A66" t="inlineStr">
        <is>
          <t>A 67817-2021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46305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Svedjenäva</t>
        </is>
      </c>
      <c r="W66">
        <f>HYPERLINK("https://klasma.github.io/Logging_0480/artfynd/A 67817-2021 artfynd.xlsx", "A 67817-2021")</f>
        <v/>
      </c>
      <c r="X66">
        <f>HYPERLINK("https://klasma.github.io/Logging_0480/kartor/A 67817-2021 karta.png", "A 67817-2021")</f>
        <v/>
      </c>
      <c r="Y66">
        <f>HYPERLINK("https://klasma.github.io/Logging_0480/kartor_geotiff/A 67817-2021 georefererad karta.tif", "A 67817-2021")</f>
        <v/>
      </c>
      <c r="AA66">
        <f>HYPERLINK("https://klasma.github.io/Logging_0480/klagomål/A 67817-2021 FSC-klagomål.docx", "A 67817-2021")</f>
        <v/>
      </c>
      <c r="AB66">
        <f>HYPERLINK("https://klasma.github.io/Logging_0480/klagomålsmail/A 67817-2021 FSC-klagomål mail.docx", "A 67817-2021")</f>
        <v/>
      </c>
      <c r="AC66">
        <f>HYPERLINK("https://klasma.github.io/Logging_0480/tillsyn/A 67817-2021 tillsynsbegäran.docx", "A 67817-2021")</f>
        <v/>
      </c>
      <c r="AD66">
        <f>HYPERLINK("https://klasma.github.io/Logging_0480/tillsynsmail/A 67817-2021 tillsynsbegäran mail.docx", "A 67817-2021")</f>
        <v/>
      </c>
    </row>
    <row r="67" ht="15" customHeight="1">
      <c r="A67" t="inlineStr">
        <is>
          <t>A 58396-2021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46305</v>
      </c>
      <c r="F67" t="inlineStr">
        <is>
          <t>SÖDERMANLANDS LÄN</t>
        </is>
      </c>
      <c r="G67" t="inlineStr">
        <is>
          <t>NYKÖPING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HYPERLINK("https://klasma.github.io/Logging_0480/artfynd/A 58396-2021 artfynd.xlsx", "A 58396-2021")</f>
        <v/>
      </c>
      <c r="X67">
        <f>HYPERLINK("https://klasma.github.io/Logging_0480/kartor/A 58396-2021 karta.png", "A 58396-2021")</f>
        <v/>
      </c>
      <c r="Y67">
        <f>HYPERLINK("https://klasma.github.io/Logging_0480/kartor_geotiff/A 58396-2021 georefererad karta.tif", "A 58396-2021")</f>
        <v/>
      </c>
      <c r="AA67">
        <f>HYPERLINK("https://klasma.github.io/Logging_0480/klagomål/A 58396-2021 FSC-klagomål.docx", "A 58396-2021")</f>
        <v/>
      </c>
      <c r="AB67">
        <f>HYPERLINK("https://klasma.github.io/Logging_0480/klagomålsmail/A 58396-2021 FSC-klagomål mail.docx", "A 58396-2021")</f>
        <v/>
      </c>
      <c r="AC67">
        <f>HYPERLINK("https://klasma.github.io/Logging_0480/tillsyn/A 58396-2021 tillsynsbegäran.docx", "A 58396-2021")</f>
        <v/>
      </c>
      <c r="AD67">
        <f>HYPERLINK("https://klasma.github.io/Logging_0480/tillsynsmail/A 58396-2021 tillsynsbegäran mail.docx", "A 58396-2021")</f>
        <v/>
      </c>
      <c r="AE67">
        <f>HYPERLINK("https://klasma.github.io/Logging_0480/fåglar/A 58396-2021 prioriterade fågelarter.docx", "A 58396-2021")</f>
        <v/>
      </c>
    </row>
    <row r="68" ht="15" customHeight="1">
      <c r="A68" t="inlineStr">
        <is>
          <t>A 22990-2022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46305</v>
      </c>
      <c r="F68" t="inlineStr">
        <is>
          <t>SÖDERMANLANDS LÄN</t>
        </is>
      </c>
      <c r="G68" t="inlineStr">
        <is>
          <t>NYKÖPING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Jungfrulin</t>
        </is>
      </c>
      <c r="W68">
        <f>HYPERLINK("https://klasma.github.io/Logging_0480/artfynd/A 22990-2022 artfynd.xlsx", "A 22990-2022")</f>
        <v/>
      </c>
      <c r="X68">
        <f>HYPERLINK("https://klasma.github.io/Logging_0480/kartor/A 22990-2022 karta.png", "A 22990-2022")</f>
        <v/>
      </c>
      <c r="Y68">
        <f>HYPERLINK("https://klasma.github.io/Logging_0480/kartor_geotiff/A 22990-2022 georefererad karta.tif", "A 22990-2022")</f>
        <v/>
      </c>
      <c r="AA68">
        <f>HYPERLINK("https://klasma.github.io/Logging_0480/klagomål/A 22990-2022 FSC-klagomål.docx", "A 22990-2022")</f>
        <v/>
      </c>
      <c r="AB68">
        <f>HYPERLINK("https://klasma.github.io/Logging_0480/klagomålsmail/A 22990-2022 FSC-klagomål mail.docx", "A 22990-2022")</f>
        <v/>
      </c>
      <c r="AC68">
        <f>HYPERLINK("https://klasma.github.io/Logging_0480/tillsyn/A 22990-2022 tillsynsbegäran.docx", "A 22990-2022")</f>
        <v/>
      </c>
      <c r="AD68">
        <f>HYPERLINK("https://klasma.github.io/Logging_0480/tillsynsmail/A 22990-2022 tillsynsbegäran mail.docx", "A 22990-2022")</f>
        <v/>
      </c>
    </row>
    <row r="69" ht="15" customHeight="1">
      <c r="A69" t="inlineStr">
        <is>
          <t>A 18500-2024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45424</v>
      </c>
      <c r="E69" s="1" t="n">
        <v>46305</v>
      </c>
      <c r="F69" t="inlineStr">
        <is>
          <t>SÖDERMANLANDS LÄN</t>
        </is>
      </c>
      <c r="G69" t="inlineStr">
        <is>
          <t>NYKÖPING</t>
        </is>
      </c>
      <c r="I69" t="n">
        <v>2.4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Tornseglare</t>
        </is>
      </c>
      <c r="W69">
        <f>HYPERLINK("https://klasma.github.io/Logging_0480/artfynd/A 18500-2024 artfynd.xlsx", "A 18500-2024")</f>
        <v/>
      </c>
      <c r="X69">
        <f>HYPERLINK("https://klasma.github.io/Logging_0480/kartor/A 18500-2024 karta.png", "A 18500-2024")</f>
        <v/>
      </c>
      <c r="Y69">
        <f>HYPERLINK("https://klasma.github.io/Logging_0480/kartor_geotiff/A 18500-2024 georefererad karta.tif", "A 18500-2024")</f>
        <v/>
      </c>
      <c r="AA69">
        <f>HYPERLINK("https://klasma.github.io/Logging_0480/klagomål/A 18500-2024 FSC-klagomål.docx", "A 18500-2024")</f>
        <v/>
      </c>
      <c r="AB69">
        <f>HYPERLINK("https://klasma.github.io/Logging_0480/klagomålsmail/A 18500-2024 FSC-klagomål mail.docx", "A 18500-2024")</f>
        <v/>
      </c>
      <c r="AC69">
        <f>HYPERLINK("https://klasma.github.io/Logging_0480/tillsyn/A 18500-2024 tillsynsbegäran.docx", "A 18500-2024")</f>
        <v/>
      </c>
      <c r="AD69">
        <f>HYPERLINK("https://klasma.github.io/Logging_0480/tillsynsmail/A 18500-2024 tillsynsbegäran mail.docx", "A 18500-2024")</f>
        <v/>
      </c>
      <c r="AE69">
        <f>HYPERLINK("https://klasma.github.io/Logging_0480/fåglar/A 18500-2024 prioriterade fågelarter.docx", "A 18500-2024")</f>
        <v/>
      </c>
    </row>
    <row r="70" ht="15" customHeight="1">
      <c r="A70" t="inlineStr">
        <is>
          <t>A 20425-2024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45435</v>
      </c>
      <c r="E70" s="1" t="n">
        <v>46305</v>
      </c>
      <c r="F70" t="inlineStr">
        <is>
          <t>SÖDERMANLANDS LÄN</t>
        </is>
      </c>
      <c r="G70" t="inlineStr">
        <is>
          <t>NYKÖPING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Skogsalm</t>
        </is>
      </c>
      <c r="W70">
        <f>HYPERLINK("https://klasma.github.io/Logging_0480/artfynd/A 20425-2024 artfynd.xlsx", "A 20425-2024")</f>
        <v/>
      </c>
      <c r="X70">
        <f>HYPERLINK("https://klasma.github.io/Logging_0480/kartor/A 20425-2024 karta.png", "A 20425-2024")</f>
        <v/>
      </c>
      <c r="Y70">
        <f>HYPERLINK("https://klasma.github.io/Logging_0480/kartor_geotiff/A 20425-2024 georefererad karta.tif", "A 20425-2024")</f>
        <v/>
      </c>
      <c r="AA70">
        <f>HYPERLINK("https://klasma.github.io/Logging_0480/klagomål/A 20425-2024 FSC-klagomål.docx", "A 20425-2024")</f>
        <v/>
      </c>
      <c r="AB70">
        <f>HYPERLINK("https://klasma.github.io/Logging_0480/klagomålsmail/A 20425-2024 FSC-klagomål mail.docx", "A 20425-2024")</f>
        <v/>
      </c>
      <c r="AC70">
        <f>HYPERLINK("https://klasma.github.io/Logging_0480/tillsyn/A 20425-2024 tillsynsbegäran.docx", "A 20425-2024")</f>
        <v/>
      </c>
      <c r="AD70">
        <f>HYPERLINK("https://klasma.github.io/Logging_0480/tillsynsmail/A 20425-2024 tillsynsbegäran mail.docx", "A 20425-2024")</f>
        <v/>
      </c>
    </row>
    <row r="71" ht="15" customHeight="1">
      <c r="A71" t="inlineStr">
        <is>
          <t>A 20325-2023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46305</v>
      </c>
      <c r="F71" t="inlineStr">
        <is>
          <t>SÖDERMANLANDS LÄN</t>
        </is>
      </c>
      <c r="G71" t="inlineStr">
        <is>
          <t>NYKÖPING</t>
        </is>
      </c>
      <c r="I71" t="n">
        <v>0.2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Kamjordstjärna</t>
        </is>
      </c>
      <c r="W71">
        <f>HYPERLINK("https://klasma.github.io/Logging_0480/artfynd/A 20325-2023 artfynd.xlsx", "A 20325-2023")</f>
        <v/>
      </c>
      <c r="X71">
        <f>HYPERLINK("https://klasma.github.io/Logging_0480/kartor/A 20325-2023 karta.png", "A 20325-2023")</f>
        <v/>
      </c>
      <c r="Y71">
        <f>HYPERLINK("https://klasma.github.io/Logging_0480/kartor_geotiff/A 20325-2023 georefererad karta.tif", "A 20325-2023")</f>
        <v/>
      </c>
      <c r="AA71">
        <f>HYPERLINK("https://klasma.github.io/Logging_0480/klagomål/A 20325-2023 FSC-klagomål.docx", "A 20325-2023")</f>
        <v/>
      </c>
      <c r="AB71">
        <f>HYPERLINK("https://klasma.github.io/Logging_0480/klagomålsmail/A 20325-2023 FSC-klagomål mail.docx", "A 20325-2023")</f>
        <v/>
      </c>
      <c r="AC71">
        <f>HYPERLINK("https://klasma.github.io/Logging_0480/tillsyn/A 20325-2023 tillsynsbegäran.docx", "A 20325-2023")</f>
        <v/>
      </c>
      <c r="AD71">
        <f>HYPERLINK("https://klasma.github.io/Logging_0480/tillsynsmail/A 20325-2023 tillsynsbegäran mail.docx", "A 20325-2023")</f>
        <v/>
      </c>
    </row>
    <row r="72" ht="15" customHeight="1">
      <c r="A72" t="inlineStr">
        <is>
          <t>A 5509-2023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46305</v>
      </c>
      <c r="F72" t="inlineStr">
        <is>
          <t>SÖDERMANLANDS LÄN</t>
        </is>
      </c>
      <c r="G72" t="inlineStr">
        <is>
          <t>NYKÖPING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HYPERLINK("https://klasma.github.io/Logging_0480/artfynd/A 5509-2023 artfynd.xlsx", "A 5509-2023")</f>
        <v/>
      </c>
      <c r="X72">
        <f>HYPERLINK("https://klasma.github.io/Logging_0480/kartor/A 5509-2023 karta.png", "A 5509-2023")</f>
        <v/>
      </c>
      <c r="Y72">
        <f>HYPERLINK("https://klasma.github.io/Logging_0480/kartor_geotiff/A 5509-2023 georefererad karta.tif", "A 5509-2023")</f>
        <v/>
      </c>
      <c r="AA72">
        <f>HYPERLINK("https://klasma.github.io/Logging_0480/klagomål/A 5509-2023 FSC-klagomål.docx", "A 5509-2023")</f>
        <v/>
      </c>
      <c r="AB72">
        <f>HYPERLINK("https://klasma.github.io/Logging_0480/klagomålsmail/A 5509-2023 FSC-klagomål mail.docx", "A 5509-2023")</f>
        <v/>
      </c>
      <c r="AC72">
        <f>HYPERLINK("https://klasma.github.io/Logging_0480/tillsyn/A 5509-2023 tillsynsbegäran.docx", "A 5509-2023")</f>
        <v/>
      </c>
      <c r="AD72">
        <f>HYPERLINK("https://klasma.github.io/Logging_0480/tillsynsmail/A 5509-2023 tillsynsbegäran mail.docx", "A 5509-2023")</f>
        <v/>
      </c>
    </row>
    <row r="73" ht="15" customHeight="1">
      <c r="A73" t="inlineStr">
        <is>
          <t>A 59329-2023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45252</v>
      </c>
      <c r="E73" s="1" t="n">
        <v>46305</v>
      </c>
      <c r="F73" t="inlineStr">
        <is>
          <t>SÖDERMANLANDS LÄN</t>
        </is>
      </c>
      <c r="G73" t="inlineStr">
        <is>
          <t>NYKÖPING</t>
        </is>
      </c>
      <c r="I73" t="n">
        <v>22.1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59329-2023 artfynd.xlsx", "A 59329-2023")</f>
        <v/>
      </c>
      <c r="X73">
        <f>HYPERLINK("https://klasma.github.io/Logging_0480/kartor/A 59329-2023 karta.png", "A 59329-2023")</f>
        <v/>
      </c>
      <c r="Y73">
        <f>HYPERLINK("https://klasma.github.io/Logging_0480/kartor_geotiff/A 59329-2023 georefererad karta.tif", "A 59329-2023")</f>
        <v/>
      </c>
      <c r="AA73">
        <f>HYPERLINK("https://klasma.github.io/Logging_0480/klagomål/A 59329-2023 FSC-klagomål.docx", "A 59329-2023")</f>
        <v/>
      </c>
      <c r="AB73">
        <f>HYPERLINK("https://klasma.github.io/Logging_0480/klagomålsmail/A 59329-2023 FSC-klagomål mail.docx", "A 59329-2023")</f>
        <v/>
      </c>
      <c r="AC73">
        <f>HYPERLINK("https://klasma.github.io/Logging_0480/tillsyn/A 59329-2023 tillsynsbegäran.docx", "A 59329-2023")</f>
        <v/>
      </c>
      <c r="AD73">
        <f>HYPERLINK("https://klasma.github.io/Logging_0480/tillsynsmail/A 59329-2023 tillsynsbegäran mail.docx", "A 59329-2023")</f>
        <v/>
      </c>
    </row>
    <row r="74" ht="15" customHeight="1">
      <c r="A74" t="inlineStr">
        <is>
          <t>A 28542-2023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46305</v>
      </c>
      <c r="F74" t="inlineStr">
        <is>
          <t>SÖDERMANLANDS LÄN</t>
        </is>
      </c>
      <c r="G74" t="inlineStr">
        <is>
          <t>NYKÖPING</t>
        </is>
      </c>
      <c r="I74" t="n">
        <v>2.8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HYPERLINK("https://klasma.github.io/Logging_0480/artfynd/A 28542-2023 artfynd.xlsx", "A 28542-2023")</f>
        <v/>
      </c>
      <c r="X74">
        <f>HYPERLINK("https://klasma.github.io/Logging_0480/kartor/A 28542-2023 karta.png", "A 28542-2023")</f>
        <v/>
      </c>
      <c r="Y74">
        <f>HYPERLINK("https://klasma.github.io/Logging_0480/kartor_geotiff/A 28542-2023 georefererad karta.tif", "A 28542-2023")</f>
        <v/>
      </c>
      <c r="Z74">
        <f>HYPERLINK("https://klasma.github.io/Logging_0480/knärot/A 28542-2023 karta knärot.png", "A 28542-2023")</f>
        <v/>
      </c>
      <c r="AA74">
        <f>HYPERLINK("https://klasma.github.io/Logging_0480/klagomål/A 28542-2023 FSC-klagomål.docx", "A 28542-2023")</f>
        <v/>
      </c>
      <c r="AB74">
        <f>HYPERLINK("https://klasma.github.io/Logging_0480/klagomålsmail/A 28542-2023 FSC-klagomål mail.docx", "A 28542-2023")</f>
        <v/>
      </c>
      <c r="AC74">
        <f>HYPERLINK("https://klasma.github.io/Logging_0480/tillsyn/A 28542-2023 tillsynsbegäran.docx", "A 28542-2023")</f>
        <v/>
      </c>
      <c r="AD74">
        <f>HYPERLINK("https://klasma.github.io/Logging_0480/tillsynsmail/A 28542-2023 tillsynsbegäran mail.docx", "A 28542-2023")</f>
        <v/>
      </c>
    </row>
    <row r="75" ht="15" customHeight="1">
      <c r="A75" t="inlineStr">
        <is>
          <t>A 13038-2024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46305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Knärot</t>
        </is>
      </c>
      <c r="W75">
        <f>HYPERLINK("https://klasma.github.io/Logging_0480/artfynd/A 13038-2024 artfynd.xlsx", "A 13038-2024")</f>
        <v/>
      </c>
      <c r="X75">
        <f>HYPERLINK("https://klasma.github.io/Logging_0480/kartor/A 13038-2024 karta.png", "A 13038-2024")</f>
        <v/>
      </c>
      <c r="Y75">
        <f>HYPERLINK("https://klasma.github.io/Logging_0480/kartor_geotiff/A 13038-2024 georefererad karta.tif", "A 13038-2024")</f>
        <v/>
      </c>
      <c r="Z75">
        <f>HYPERLINK("https://klasma.github.io/Logging_0480/knärot/A 13038-2024 karta knärot.png", "A 13038-2024")</f>
        <v/>
      </c>
      <c r="AA75">
        <f>HYPERLINK("https://klasma.github.io/Logging_0480/klagomål/A 13038-2024 FSC-klagomål.docx", "A 13038-2024")</f>
        <v/>
      </c>
      <c r="AB75">
        <f>HYPERLINK("https://klasma.github.io/Logging_0480/klagomålsmail/A 13038-2024 FSC-klagomål mail.docx", "A 13038-2024")</f>
        <v/>
      </c>
      <c r="AC75">
        <f>HYPERLINK("https://klasma.github.io/Logging_0480/tillsyn/A 13038-2024 tillsynsbegäran.docx", "A 13038-2024")</f>
        <v/>
      </c>
      <c r="AD75">
        <f>HYPERLINK("https://klasma.github.io/Logging_0480/tillsynsmail/A 13038-2024 tillsynsbegäran mail.docx", "A 13038-2024")</f>
        <v/>
      </c>
    </row>
    <row r="76" ht="15" customHeight="1">
      <c r="A76" t="inlineStr">
        <is>
          <t>A 1105-2023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44935</v>
      </c>
      <c r="E76" s="1" t="n">
        <v>46305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Skuggblåslav</t>
        </is>
      </c>
      <c r="W76">
        <f>HYPERLINK("https://klasma.github.io/Logging_0480/artfynd/A 1105-2023 artfynd.xlsx", "A 1105-2023")</f>
        <v/>
      </c>
      <c r="X76">
        <f>HYPERLINK("https://klasma.github.io/Logging_0480/kartor/A 1105-2023 karta.png", "A 1105-2023")</f>
        <v/>
      </c>
      <c r="Y76">
        <f>HYPERLINK("https://klasma.github.io/Logging_0480/kartor_geotiff/A 1105-2023 georefererad karta.tif", "A 1105-2023")</f>
        <v/>
      </c>
      <c r="AA76">
        <f>HYPERLINK("https://klasma.github.io/Logging_0480/klagomål/A 1105-2023 FSC-klagomål.docx", "A 1105-2023")</f>
        <v/>
      </c>
      <c r="AB76">
        <f>HYPERLINK("https://klasma.github.io/Logging_0480/klagomålsmail/A 1105-2023 FSC-klagomål mail.docx", "A 1105-2023")</f>
        <v/>
      </c>
      <c r="AC76">
        <f>HYPERLINK("https://klasma.github.io/Logging_0480/tillsyn/A 1105-2023 tillsynsbegäran.docx", "A 1105-2023")</f>
        <v/>
      </c>
      <c r="AD76">
        <f>HYPERLINK("https://klasma.github.io/Logging_0480/tillsynsmail/A 1105-2023 tillsynsbegäran mail.docx", "A 1105-2023")</f>
        <v/>
      </c>
    </row>
    <row r="77" ht="15" customHeight="1">
      <c r="A77" t="inlineStr">
        <is>
          <t>A 51258-2024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45603</v>
      </c>
      <c r="E77" s="1" t="n">
        <v>46305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2.6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Grönpyrola</t>
        </is>
      </c>
      <c r="W77">
        <f>HYPERLINK("https://klasma.github.io/Logging_0480/artfynd/A 51258-2024 artfynd.xlsx", "A 51258-2024")</f>
        <v/>
      </c>
      <c r="X77">
        <f>HYPERLINK("https://klasma.github.io/Logging_0480/kartor/A 51258-2024 karta.png", "A 51258-2024")</f>
        <v/>
      </c>
      <c r="Y77">
        <f>HYPERLINK("https://klasma.github.io/Logging_0480/kartor_geotiff/A 51258-2024 georefererad karta.tif", "A 51258-2024")</f>
        <v/>
      </c>
      <c r="AA77">
        <f>HYPERLINK("https://klasma.github.io/Logging_0480/klagomål/A 51258-2024 FSC-klagomål.docx", "A 51258-2024")</f>
        <v/>
      </c>
      <c r="AB77">
        <f>HYPERLINK("https://klasma.github.io/Logging_0480/klagomålsmail/A 51258-2024 FSC-klagomål mail.docx", "A 51258-2024")</f>
        <v/>
      </c>
      <c r="AC77">
        <f>HYPERLINK("https://klasma.github.io/Logging_0480/tillsyn/A 51258-2024 tillsynsbegäran.docx", "A 51258-2024")</f>
        <v/>
      </c>
      <c r="AD77">
        <f>HYPERLINK("https://klasma.github.io/Logging_0480/tillsynsmail/A 51258-2024 tillsynsbegäran mail.docx", "A 51258-2024")</f>
        <v/>
      </c>
    </row>
    <row r="78" ht="15" customHeight="1">
      <c r="A78" t="inlineStr">
        <is>
          <t>A 8387-2024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46305</v>
      </c>
      <c r="F78" t="inlineStr">
        <is>
          <t>SÖDERMANLANDS LÄN</t>
        </is>
      </c>
      <c r="G78" t="inlineStr">
        <is>
          <t>NYKÖPING</t>
        </is>
      </c>
      <c r="H78" t="inlineStr">
        <is>
          <t>Sveaskog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HYPERLINK("https://klasma.github.io/Logging_0480/artfynd/A 8387-2024 artfynd.xlsx", "A 8387-2024")</f>
        <v/>
      </c>
      <c r="X78">
        <f>HYPERLINK("https://klasma.github.io/Logging_0480/kartor/A 8387-2024 karta.png", "A 8387-2024")</f>
        <v/>
      </c>
      <c r="Y78">
        <f>HYPERLINK("https://klasma.github.io/Logging_0480/kartor_geotiff/A 8387-2024 georefererad karta.tif", "A 8387-2024")</f>
        <v/>
      </c>
      <c r="AA78">
        <f>HYPERLINK("https://klasma.github.io/Logging_0480/klagomål/A 8387-2024 FSC-klagomål.docx", "A 8387-2024")</f>
        <v/>
      </c>
      <c r="AB78">
        <f>HYPERLINK("https://klasma.github.io/Logging_0480/klagomålsmail/A 8387-2024 FSC-klagomål mail.docx", "A 8387-2024")</f>
        <v/>
      </c>
      <c r="AC78">
        <f>HYPERLINK("https://klasma.github.io/Logging_0480/tillsyn/A 8387-2024 tillsynsbegäran.docx", "A 8387-2024")</f>
        <v/>
      </c>
      <c r="AD78">
        <f>HYPERLINK("https://klasma.github.io/Logging_0480/tillsynsmail/A 8387-2024 tillsynsbegäran mail.docx", "A 8387-2024")</f>
        <v/>
      </c>
      <c r="AE78">
        <f>HYPERLINK("https://klasma.github.io/Logging_0480/fåglar/A 8387-2024 prioriterade fågelarter.docx", "A 8387-2024")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46305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56080-2024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45624</v>
      </c>
      <c r="E80" s="1" t="n">
        <v>46305</v>
      </c>
      <c r="F80" t="inlineStr">
        <is>
          <t>SÖDERMANLANDS LÄN</t>
        </is>
      </c>
      <c r="G80" t="inlineStr">
        <is>
          <t>NYKÖPING</t>
        </is>
      </c>
      <c r="I80" t="n">
        <v>5.5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Ärtsångare</t>
        </is>
      </c>
      <c r="W80">
        <f>HYPERLINK("https://klasma.github.io/Logging_0480/artfynd/A 56080-2024 artfynd.xlsx", "A 56080-2024")</f>
        <v/>
      </c>
      <c r="X80">
        <f>HYPERLINK("https://klasma.github.io/Logging_0480/kartor/A 56080-2024 karta.png", "A 56080-2024")</f>
        <v/>
      </c>
      <c r="Y80">
        <f>HYPERLINK("https://klasma.github.io/Logging_0480/kartor_geotiff/A 56080-2024 georefererad karta.tif", "A 56080-2024")</f>
        <v/>
      </c>
      <c r="AA80">
        <f>HYPERLINK("https://klasma.github.io/Logging_0480/klagomål/A 56080-2024 FSC-klagomål.docx", "A 56080-2024")</f>
        <v/>
      </c>
      <c r="AB80">
        <f>HYPERLINK("https://klasma.github.io/Logging_0480/klagomålsmail/A 56080-2024 FSC-klagomål mail.docx", "A 56080-2024")</f>
        <v/>
      </c>
      <c r="AC80">
        <f>HYPERLINK("https://klasma.github.io/Logging_0480/tillsyn/A 56080-2024 tillsynsbegäran.docx", "A 56080-2024")</f>
        <v/>
      </c>
      <c r="AD80">
        <f>HYPERLINK("https://klasma.github.io/Logging_0480/tillsynsmail/A 56080-2024 tillsynsbegäran mail.docx", "A 56080-2024")</f>
        <v/>
      </c>
    </row>
    <row r="81" ht="15" customHeight="1">
      <c r="A81" t="inlineStr">
        <is>
          <t>A 20415-2024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46305</v>
      </c>
      <c r="F81" t="inlineStr">
        <is>
          <t>SÖDERMANLANDS LÄN</t>
        </is>
      </c>
      <c r="G81" t="inlineStr">
        <is>
          <t>NYKÖPING</t>
        </is>
      </c>
      <c r="H81" t="inlineStr">
        <is>
          <t>Kommuner</t>
        </is>
      </c>
      <c r="I81" t="n">
        <v>6.4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HYPERLINK("https://klasma.github.io/Logging_0480/artfynd/A 20415-2024 artfynd.xlsx", "A 20415-2024")</f>
        <v/>
      </c>
      <c r="X81">
        <f>HYPERLINK("https://klasma.github.io/Logging_0480/kartor/A 20415-2024 karta.png", "A 20415-2024")</f>
        <v/>
      </c>
      <c r="Y81">
        <f>HYPERLINK("https://klasma.github.io/Logging_0480/kartor_geotiff/A 20415-2024 georefererad karta.tif", "A 20415-2024")</f>
        <v/>
      </c>
      <c r="AA81">
        <f>HYPERLINK("https://klasma.github.io/Logging_0480/klagomål/A 20415-2024 FSC-klagomål.docx", "A 20415-2024")</f>
        <v/>
      </c>
      <c r="AB81">
        <f>HYPERLINK("https://klasma.github.io/Logging_0480/klagomålsmail/A 20415-2024 FSC-klagomål mail.docx", "A 20415-2024")</f>
        <v/>
      </c>
      <c r="AC81">
        <f>HYPERLINK("https://klasma.github.io/Logging_0480/tillsyn/A 20415-2024 tillsynsbegäran.docx", "A 20415-2024")</f>
        <v/>
      </c>
      <c r="AD81">
        <f>HYPERLINK("https://klasma.github.io/Logging_0480/tillsynsmail/A 20415-2024 tillsynsbegäran mail.docx", "A 20415-2024")</f>
        <v/>
      </c>
      <c r="AE81">
        <f>HYPERLINK("https://klasma.github.io/Logging_0480/fåglar/A 20415-2024 prioriterade fågelarter.docx", "A 20415-2024")</f>
        <v/>
      </c>
    </row>
    <row r="82" ht="15" customHeight="1">
      <c r="A82" t="inlineStr">
        <is>
          <t>A 50554-2023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46305</v>
      </c>
      <c r="F82" t="inlineStr">
        <is>
          <t>SÖDERMANLANDS LÄN</t>
        </is>
      </c>
      <c r="G82" t="inlineStr">
        <is>
          <t>NYKÖPING</t>
        </is>
      </c>
      <c r="I82" t="n">
        <v>10.9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HYPERLINK("https://klasma.github.io/Logging_0480/artfynd/A 50554-2023 artfynd.xlsx", "A 50554-2023")</f>
        <v/>
      </c>
      <c r="X82">
        <f>HYPERLINK("https://klasma.github.io/Logging_0480/kartor/A 50554-2023 karta.png", "A 50554-2023")</f>
        <v/>
      </c>
      <c r="Y82">
        <f>HYPERLINK("https://klasma.github.io/Logging_0480/kartor_geotiff/A 50554-2023 georefererad karta.tif", "A 50554-2023")</f>
        <v/>
      </c>
      <c r="AA82">
        <f>HYPERLINK("https://klasma.github.io/Logging_0480/klagomål/A 50554-2023 FSC-klagomål.docx", "A 50554-2023")</f>
        <v/>
      </c>
      <c r="AB82">
        <f>HYPERLINK("https://klasma.github.io/Logging_0480/klagomålsmail/A 50554-2023 FSC-klagomål mail.docx", "A 50554-2023")</f>
        <v/>
      </c>
      <c r="AC82">
        <f>HYPERLINK("https://klasma.github.io/Logging_0480/tillsyn/A 50554-2023 tillsynsbegäran.docx", "A 50554-2023")</f>
        <v/>
      </c>
      <c r="AD82">
        <f>HYPERLINK("https://klasma.github.io/Logging_0480/tillsynsmail/A 50554-2023 tillsynsbegäran mail.docx", "A 50554-2023")</f>
        <v/>
      </c>
    </row>
    <row r="83" ht="15" customHeight="1">
      <c r="A83" t="inlineStr">
        <is>
          <t>A 2837-2025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46305</v>
      </c>
      <c r="F83" t="inlineStr">
        <is>
          <t>SÖDERMANLANDS LÄN</t>
        </is>
      </c>
      <c r="G83" t="inlineStr">
        <is>
          <t>NYKÖPING</t>
        </is>
      </c>
      <c r="I83" t="n">
        <v>5.2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Hasselticka</t>
        </is>
      </c>
      <c r="W83">
        <f>HYPERLINK("https://klasma.github.io/Logging_0480/artfynd/A 2837-2025 artfynd.xlsx", "A 2837-2025")</f>
        <v/>
      </c>
      <c r="X83">
        <f>HYPERLINK("https://klasma.github.io/Logging_0480/kartor/A 2837-2025 karta.png", "A 2837-2025")</f>
        <v/>
      </c>
      <c r="Y83">
        <f>HYPERLINK("https://klasma.github.io/Logging_0480/kartor_geotiff/A 2837-2025 georefererad karta.tif", "A 2837-2025")</f>
        <v/>
      </c>
      <c r="AA83">
        <f>HYPERLINK("https://klasma.github.io/Logging_0480/klagomål/A 2837-2025 FSC-klagomål.docx", "A 2837-2025")</f>
        <v/>
      </c>
      <c r="AB83">
        <f>HYPERLINK("https://klasma.github.io/Logging_0480/klagomålsmail/A 2837-2025 FSC-klagomål mail.docx", "A 2837-2025")</f>
        <v/>
      </c>
      <c r="AC83">
        <f>HYPERLINK("https://klasma.github.io/Logging_0480/tillsyn/A 2837-2025 tillsynsbegäran.docx", "A 2837-2025")</f>
        <v/>
      </c>
      <c r="AD83">
        <f>HYPERLINK("https://klasma.github.io/Logging_0480/tillsynsmail/A 2837-2025 tillsynsbegäran mail.docx", "A 2837-2025")</f>
        <v/>
      </c>
    </row>
    <row r="84" ht="15" customHeight="1">
      <c r="A84" t="inlineStr">
        <is>
          <t>A 50014-2025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46305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4.9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Sexfläckig bastardsvärmare</t>
        </is>
      </c>
      <c r="W84">
        <f>HYPERLINK("https://klasma.github.io/Logging_0480/artfynd/A 50014-2025 artfynd.xlsx", "A 50014-2025")</f>
        <v/>
      </c>
      <c r="X84">
        <f>HYPERLINK("https://klasma.github.io/Logging_0480/kartor/A 50014-2025 karta.png", "A 50014-2025")</f>
        <v/>
      </c>
      <c r="Y84">
        <f>HYPERLINK("https://klasma.github.io/Logging_0480/kartor_geotiff/A 50014-2025 georefererad karta.tif", "A 50014-2025")</f>
        <v/>
      </c>
      <c r="AA84">
        <f>HYPERLINK("https://klasma.github.io/Logging_0480/klagomål/A 50014-2025 FSC-klagomål.docx", "A 50014-2025")</f>
        <v/>
      </c>
      <c r="AB84">
        <f>HYPERLINK("https://klasma.github.io/Logging_0480/klagomålsmail/A 50014-2025 FSC-klagomål mail.docx", "A 50014-2025")</f>
        <v/>
      </c>
      <c r="AC84">
        <f>HYPERLINK("https://klasma.github.io/Logging_0480/tillsyn/A 50014-2025 tillsynsbegäran.docx", "A 50014-2025")</f>
        <v/>
      </c>
      <c r="AD84">
        <f>HYPERLINK("https://klasma.github.io/Logging_0480/tillsynsmail/A 50014-2025 tillsynsbegäran mail.docx", "A 50014-2025")</f>
        <v/>
      </c>
    </row>
    <row r="85" ht="15" customHeight="1">
      <c r="A85" t="inlineStr">
        <is>
          <t>A 9973-2022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44621</v>
      </c>
      <c r="E85" s="1" t="n">
        <v>46305</v>
      </c>
      <c r="F85" t="inlineStr">
        <is>
          <t>SÖDERMANLANDS LÄN</t>
        </is>
      </c>
      <c r="G85" t="inlineStr">
        <is>
          <t>NYKÖPING</t>
        </is>
      </c>
      <c r="I85" t="n">
        <v>18.3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 sköldmossa</t>
        </is>
      </c>
      <c r="W85">
        <f>HYPERLINK("https://klasma.github.io/Logging_0480/artfynd/A 9973-2022 artfynd.xlsx", "A 9973-2022")</f>
        <v/>
      </c>
      <c r="X85">
        <f>HYPERLINK("https://klasma.github.io/Logging_0480/kartor/A 9973-2022 karta.png", "A 9973-2022")</f>
        <v/>
      </c>
      <c r="Y85">
        <f>HYPERLINK("https://klasma.github.io/Logging_0480/kartor_geotiff/A 9973-2022 georefererad karta.tif", "A 9973-2022")</f>
        <v/>
      </c>
      <c r="AA85">
        <f>HYPERLINK("https://klasma.github.io/Logging_0480/klagomål/A 9973-2022 FSC-klagomål.docx", "A 9973-2022")</f>
        <v/>
      </c>
      <c r="AB85">
        <f>HYPERLINK("https://klasma.github.io/Logging_0480/klagomålsmail/A 9973-2022 FSC-klagomål mail.docx", "A 9973-2022")</f>
        <v/>
      </c>
      <c r="AC85">
        <f>HYPERLINK("https://klasma.github.io/Logging_0480/tillsyn/A 9973-2022 tillsynsbegäran.docx", "A 9973-2022")</f>
        <v/>
      </c>
      <c r="AD85">
        <f>HYPERLINK("https://klasma.github.io/Logging_0480/tillsynsmail/A 9973-2022 tillsynsbegäran mail.docx", "A 9973-2022")</f>
        <v/>
      </c>
    </row>
    <row r="86" ht="15" customHeight="1">
      <c r="A86" t="inlineStr">
        <is>
          <t>A 50871-2025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46305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50871-2025 artfynd.xlsx", "A 50871-2025")</f>
        <v/>
      </c>
      <c r="X86">
        <f>HYPERLINK("https://klasma.github.io/Logging_0480/kartor/A 50871-2025 karta.png", "A 50871-2025")</f>
        <v/>
      </c>
      <c r="Y86">
        <f>HYPERLINK("https://klasma.github.io/Logging_0480/kartor_geotiff/A 50871-2025 georefererad karta.tif", "A 50871-2025")</f>
        <v/>
      </c>
      <c r="AA86">
        <f>HYPERLINK("https://klasma.github.io/Logging_0480/klagomål/A 50871-2025 FSC-klagomål.docx", "A 50871-2025")</f>
        <v/>
      </c>
      <c r="AB86">
        <f>HYPERLINK("https://klasma.github.io/Logging_0480/klagomålsmail/A 50871-2025 FSC-klagomål mail.docx", "A 50871-2025")</f>
        <v/>
      </c>
      <c r="AC86">
        <f>HYPERLINK("https://klasma.github.io/Logging_0480/tillsyn/A 50871-2025 tillsynsbegäran.docx", "A 50871-2025")</f>
        <v/>
      </c>
      <c r="AD86">
        <f>HYPERLINK("https://klasma.github.io/Logging_0480/tillsynsmail/A 50871-2025 tillsynsbegäran mail.docx", "A 50871-2025")</f>
        <v/>
      </c>
      <c r="AE86">
        <f>HYPERLINK("https://klasma.github.io/Logging_0480/fåglar/A 50871-2025 prioriterade fågelarter.docx", "A 50871-2025")</f>
        <v/>
      </c>
    </row>
    <row r="87" ht="15" customHeight="1">
      <c r="A87" t="inlineStr">
        <is>
          <t>A 28704-2025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46305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HYPERLINK("https://klasma.github.io/Logging_0480/artfynd/A 28704-2025 artfynd.xlsx", "A 28704-2025")</f>
        <v/>
      </c>
      <c r="X87">
        <f>HYPERLINK("https://klasma.github.io/Logging_0480/kartor/A 28704-2025 karta.png", "A 28704-2025")</f>
        <v/>
      </c>
      <c r="Y87">
        <f>HYPERLINK("https://klasma.github.io/Logging_0480/kartor_geotiff/A 28704-2025 georefererad karta.tif", "A 28704-2025")</f>
        <v/>
      </c>
      <c r="AA87">
        <f>HYPERLINK("https://klasma.github.io/Logging_0480/klagomål/A 28704-2025 FSC-klagomål.docx", "A 28704-2025")</f>
        <v/>
      </c>
      <c r="AB87">
        <f>HYPERLINK("https://klasma.github.io/Logging_0480/klagomålsmail/A 28704-2025 FSC-klagomål mail.docx", "A 28704-2025")</f>
        <v/>
      </c>
      <c r="AC87">
        <f>HYPERLINK("https://klasma.github.io/Logging_0480/tillsyn/A 28704-2025 tillsynsbegäran.docx", "A 28704-2025")</f>
        <v/>
      </c>
      <c r="AD87">
        <f>HYPERLINK("https://klasma.github.io/Logging_0480/tillsynsmail/A 28704-2025 tillsynsbegäran mail.docx", "A 28704-2025")</f>
        <v/>
      </c>
    </row>
    <row r="88" ht="15" customHeight="1">
      <c r="A88" t="inlineStr">
        <is>
          <t>A 52384-2025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46305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Törnskata</t>
        </is>
      </c>
      <c r="W88">
        <f>HYPERLINK("https://klasma.github.io/Logging_0480/artfynd/A 52384-2025 artfynd.xlsx", "A 52384-2025")</f>
        <v/>
      </c>
      <c r="X88">
        <f>HYPERLINK("https://klasma.github.io/Logging_0480/kartor/A 52384-2025 karta.png", "A 52384-2025")</f>
        <v/>
      </c>
      <c r="Y88">
        <f>HYPERLINK("https://klasma.github.io/Logging_0480/kartor_geotiff/A 52384-2025 georefererad karta.tif", "A 52384-2025")</f>
        <v/>
      </c>
      <c r="AA88">
        <f>HYPERLINK("https://klasma.github.io/Logging_0480/klagomål/A 52384-2025 FSC-klagomål.docx", "A 52384-2025")</f>
        <v/>
      </c>
      <c r="AB88">
        <f>HYPERLINK("https://klasma.github.io/Logging_0480/klagomålsmail/A 52384-2025 FSC-klagomål mail.docx", "A 52384-2025")</f>
        <v/>
      </c>
      <c r="AC88">
        <f>HYPERLINK("https://klasma.github.io/Logging_0480/tillsyn/A 52384-2025 tillsynsbegäran.docx", "A 52384-2025")</f>
        <v/>
      </c>
      <c r="AD88">
        <f>HYPERLINK("https://klasma.github.io/Logging_0480/tillsynsmail/A 52384-2025 tillsynsbegäran mail.docx", "A 52384-2025")</f>
        <v/>
      </c>
      <c r="AE88">
        <f>HYPERLINK("https://klasma.github.io/Logging_0480/fåglar/A 52384-2025 prioriterade fågelarter.docx", "A 52384-2025")</f>
        <v/>
      </c>
    </row>
    <row r="89" ht="15" customHeight="1">
      <c r="A89" t="inlineStr">
        <is>
          <t>A 35122-2023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45145</v>
      </c>
      <c r="E89" s="1" t="n">
        <v>46305</v>
      </c>
      <c r="F89" t="inlineStr">
        <is>
          <t>SÖDERMANLANDS LÄN</t>
        </is>
      </c>
      <c r="G89" t="inlineStr">
        <is>
          <t>NYKÖPING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HYPERLINK("https://klasma.github.io/Logging_0480/artfynd/A 35122-2023 artfynd.xlsx", "A 35122-2023")</f>
        <v/>
      </c>
      <c r="X89">
        <f>HYPERLINK("https://klasma.github.io/Logging_0480/kartor/A 35122-2023 karta.png", "A 35122-2023")</f>
        <v/>
      </c>
      <c r="Y89">
        <f>HYPERLINK("https://klasma.github.io/Logging_0480/kartor_geotiff/A 35122-2023 georefererad karta.tif", "A 35122-2023")</f>
        <v/>
      </c>
      <c r="AA89">
        <f>HYPERLINK("https://klasma.github.io/Logging_0480/klagomål/A 35122-2023 FSC-klagomål.docx", "A 35122-2023")</f>
        <v/>
      </c>
      <c r="AB89">
        <f>HYPERLINK("https://klasma.github.io/Logging_0480/klagomålsmail/A 35122-2023 FSC-klagomål mail.docx", "A 35122-2023")</f>
        <v/>
      </c>
      <c r="AC89">
        <f>HYPERLINK("https://klasma.github.io/Logging_0480/tillsyn/A 35122-2023 tillsynsbegäran.docx", "A 35122-2023")</f>
        <v/>
      </c>
      <c r="AD89">
        <f>HYPERLINK("https://klasma.github.io/Logging_0480/tillsynsmail/A 35122-2023 tillsynsbegäran mail.docx", "A 35122-2023")</f>
        <v/>
      </c>
    </row>
    <row r="90" ht="15" customHeight="1">
      <c r="A90" t="inlineStr">
        <is>
          <t>A 7270-2025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45702</v>
      </c>
      <c r="E90" s="1" t="n">
        <v>46305</v>
      </c>
      <c r="F90" t="inlineStr">
        <is>
          <t>SÖDERMANLANDS LÄN</t>
        </is>
      </c>
      <c r="G90" t="inlineStr">
        <is>
          <t>NYKÖPING</t>
        </is>
      </c>
      <c r="H90" t="inlineStr">
        <is>
          <t>Övriga Aktiebolag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Järpe</t>
        </is>
      </c>
      <c r="W90">
        <f>HYPERLINK("https://klasma.github.io/Logging_0480/artfynd/A 7270-2025 artfynd.xlsx", "A 7270-2025")</f>
        <v/>
      </c>
      <c r="X90">
        <f>HYPERLINK("https://klasma.github.io/Logging_0480/kartor/A 7270-2025 karta.png", "A 7270-2025")</f>
        <v/>
      </c>
      <c r="Y90">
        <f>HYPERLINK("https://klasma.github.io/Logging_0480/kartor_geotiff/A 7270-2025 georefererad karta.tif", "A 7270-2025")</f>
        <v/>
      </c>
      <c r="AA90">
        <f>HYPERLINK("https://klasma.github.io/Logging_0480/klagomål/A 7270-2025 FSC-klagomål.docx", "A 7270-2025")</f>
        <v/>
      </c>
      <c r="AB90">
        <f>HYPERLINK("https://klasma.github.io/Logging_0480/klagomålsmail/A 7270-2025 FSC-klagomål mail.docx", "A 7270-2025")</f>
        <v/>
      </c>
      <c r="AC90">
        <f>HYPERLINK("https://klasma.github.io/Logging_0480/tillsyn/A 7270-2025 tillsynsbegäran.docx", "A 7270-2025")</f>
        <v/>
      </c>
      <c r="AD90">
        <f>HYPERLINK("https://klasma.github.io/Logging_0480/tillsynsmail/A 7270-2025 tillsynsbegäran mail.docx", "A 7270-2025")</f>
        <v/>
      </c>
      <c r="AE90">
        <f>HYPERLINK("https://klasma.github.io/Logging_0480/fåglar/A 7270-2025 prioriterade fågelarter.docx", "A 7270-2025")</f>
        <v/>
      </c>
    </row>
    <row r="91" ht="15" customHeight="1">
      <c r="A91" t="inlineStr">
        <is>
          <t>A 35318-2024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46305</v>
      </c>
      <c r="F91" t="inlineStr">
        <is>
          <t>SÖDERMANLANDS LÄN</t>
        </is>
      </c>
      <c r="G91" t="inlineStr">
        <is>
          <t>NYKÖPING</t>
        </is>
      </c>
      <c r="I91" t="n">
        <v>7.6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Gullviva</t>
        </is>
      </c>
      <c r="W91">
        <f>HYPERLINK("https://klasma.github.io/Logging_0480/artfynd/A 35318-2024 artfynd.xlsx", "A 35318-2024")</f>
        <v/>
      </c>
      <c r="X91">
        <f>HYPERLINK("https://klasma.github.io/Logging_0480/kartor/A 35318-2024 karta.png", "A 35318-2024")</f>
        <v/>
      </c>
      <c r="Y91">
        <f>HYPERLINK("https://klasma.github.io/Logging_0480/kartor_geotiff/A 35318-2024 georefererad karta.tif", "A 35318-2024")</f>
        <v/>
      </c>
      <c r="AA91">
        <f>HYPERLINK("https://klasma.github.io/Logging_0480/klagomål/A 35318-2024 FSC-klagomål.docx", "A 35318-2024")</f>
        <v/>
      </c>
      <c r="AB91">
        <f>HYPERLINK("https://klasma.github.io/Logging_0480/klagomålsmail/A 35318-2024 FSC-klagomål mail.docx", "A 35318-2024")</f>
        <v/>
      </c>
      <c r="AC91">
        <f>HYPERLINK("https://klasma.github.io/Logging_0480/tillsyn/A 35318-2024 tillsynsbegäran.docx", "A 35318-2024")</f>
        <v/>
      </c>
      <c r="AD91">
        <f>HYPERLINK("https://klasma.github.io/Logging_0480/tillsynsmail/A 35318-2024 tillsynsbegäran mail.docx", "A 35318-2024")</f>
        <v/>
      </c>
    </row>
    <row r="92" ht="15" customHeight="1">
      <c r="A92" t="inlineStr">
        <is>
          <t>A 59905-2025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46305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HYPERLINK("https://klasma.github.io/Logging_0480/artfynd/A 59905-2025 artfynd.xlsx", "A 59905-2025")</f>
        <v/>
      </c>
      <c r="X92">
        <f>HYPERLINK("https://klasma.github.io/Logging_0480/kartor/A 59905-2025 karta.png", "A 59905-2025")</f>
        <v/>
      </c>
      <c r="Y92">
        <f>HYPERLINK("https://klasma.github.io/Logging_0480/kartor_geotiff/A 59905-2025 georefererad karta.tif", "A 59905-2025")</f>
        <v/>
      </c>
      <c r="AA92">
        <f>HYPERLINK("https://klasma.github.io/Logging_0480/klagomål/A 59905-2025 FSC-klagomål.docx", "A 59905-2025")</f>
        <v/>
      </c>
      <c r="AB92">
        <f>HYPERLINK("https://klasma.github.io/Logging_0480/klagomålsmail/A 59905-2025 FSC-klagomål mail.docx", "A 59905-2025")</f>
        <v/>
      </c>
      <c r="AC92">
        <f>HYPERLINK("https://klasma.github.io/Logging_0480/tillsyn/A 59905-2025 tillsynsbegäran.docx", "A 59905-2025")</f>
        <v/>
      </c>
      <c r="AD92">
        <f>HYPERLINK("https://klasma.github.io/Logging_0480/tillsynsmail/A 59905-2025 tillsynsbegäran mail.docx", "A 59905-2025")</f>
        <v/>
      </c>
    </row>
    <row r="93" ht="15" customHeight="1">
      <c r="A93" t="inlineStr">
        <is>
          <t>A 63423-2025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46305</v>
      </c>
      <c r="F93" t="inlineStr">
        <is>
          <t>SÖDERMANLANDS LÄN</t>
        </is>
      </c>
      <c r="G93" t="inlineStr">
        <is>
          <t>NYKÖPING</t>
        </is>
      </c>
      <c r="I93" t="n">
        <v>7.4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HYPERLINK("https://klasma.github.io/Logging_0480/artfynd/A 63423-2025 artfynd.xlsx", "A 63423-2025")</f>
        <v/>
      </c>
      <c r="X93">
        <f>HYPERLINK("https://klasma.github.io/Logging_0480/kartor/A 63423-2025 karta.png", "A 63423-2025")</f>
        <v/>
      </c>
      <c r="Y93">
        <f>HYPERLINK("https://klasma.github.io/Logging_0480/kartor_geotiff/A 63423-2025 georefererad karta.tif", "A 63423-2025")</f>
        <v/>
      </c>
      <c r="AA93">
        <f>HYPERLINK("https://klasma.github.io/Logging_0480/klagomål/A 63423-2025 FSC-klagomål.docx", "A 63423-2025")</f>
        <v/>
      </c>
      <c r="AB93">
        <f>HYPERLINK("https://klasma.github.io/Logging_0480/klagomålsmail/A 63423-2025 FSC-klagomål mail.docx", "A 63423-2025")</f>
        <v/>
      </c>
      <c r="AC93">
        <f>HYPERLINK("https://klasma.github.io/Logging_0480/tillsyn/A 63423-2025 tillsynsbegäran.docx", "A 63423-2025")</f>
        <v/>
      </c>
      <c r="AD93">
        <f>HYPERLINK("https://klasma.github.io/Logging_0480/tillsynsmail/A 63423-2025 tillsynsbegäran mail.docx", "A 63423-2025")</f>
        <v/>
      </c>
    </row>
    <row r="94" ht="15" customHeight="1">
      <c r="A94" t="inlineStr">
        <is>
          <t>A 4903-2022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46305</v>
      </c>
      <c r="F94" t="inlineStr">
        <is>
          <t>SÖDERMANLANDS LÄN</t>
        </is>
      </c>
      <c r="G94" t="inlineStr">
        <is>
          <t>NYKÖPING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HYPERLINK("https://klasma.github.io/Logging_0480/artfynd/A 4903-2022 artfynd.xlsx", "A 4903-2022")</f>
        <v/>
      </c>
      <c r="X94">
        <f>HYPERLINK("https://klasma.github.io/Logging_0480/kartor/A 4903-2022 karta.png", "A 4903-2022")</f>
        <v/>
      </c>
      <c r="Y94">
        <f>HYPERLINK("https://klasma.github.io/Logging_0480/kartor_geotiff/A 4903-2022 georefererad karta.tif", "A 4903-2022")</f>
        <v/>
      </c>
      <c r="Z94">
        <f>HYPERLINK("https://klasma.github.io/Logging_0480/knärot/A 4903-2022 karta knärot.png", "A 4903-2022")</f>
        <v/>
      </c>
      <c r="AA94">
        <f>HYPERLINK("https://klasma.github.io/Logging_0480/klagomål/A 4903-2022 FSC-klagomål.docx", "A 4903-2022")</f>
        <v/>
      </c>
      <c r="AB94">
        <f>HYPERLINK("https://klasma.github.io/Logging_0480/klagomålsmail/A 4903-2022 FSC-klagomål mail.docx", "A 4903-2022")</f>
        <v/>
      </c>
      <c r="AC94">
        <f>HYPERLINK("https://klasma.github.io/Logging_0480/tillsyn/A 4903-2022 tillsynsbegäran.docx", "A 4903-2022")</f>
        <v/>
      </c>
      <c r="AD94">
        <f>HYPERLINK("https://klasma.github.io/Logging_0480/tillsynsmail/A 4903-2022 tillsynsbegäran mail.docx", "A 4903-2022")</f>
        <v/>
      </c>
    </row>
    <row r="95" ht="15" customHeight="1">
      <c r="A95" t="inlineStr">
        <is>
          <t>A 65889-2021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46305</v>
      </c>
      <c r="F95" t="inlineStr">
        <is>
          <t>SÖDERMANLANDS LÄN</t>
        </is>
      </c>
      <c r="G95" t="inlineStr">
        <is>
          <t>NYKÖPING</t>
        </is>
      </c>
      <c r="I95" t="n">
        <v>4.8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Backstarr</t>
        </is>
      </c>
      <c r="W95">
        <f>HYPERLINK("https://klasma.github.io/Logging_0480/artfynd/A 65889-2021 artfynd.xlsx", "A 65889-2021")</f>
        <v/>
      </c>
      <c r="X95">
        <f>HYPERLINK("https://klasma.github.io/Logging_0480/kartor/A 65889-2021 karta.png", "A 65889-2021")</f>
        <v/>
      </c>
      <c r="Y95">
        <f>HYPERLINK("https://klasma.github.io/Logging_0480/kartor_geotiff/A 65889-2021 georefererad karta.tif", "A 65889-2021")</f>
        <v/>
      </c>
      <c r="AA95">
        <f>HYPERLINK("https://klasma.github.io/Logging_0480/klagomål/A 65889-2021 FSC-klagomål.docx", "A 65889-2021")</f>
        <v/>
      </c>
      <c r="AB95">
        <f>HYPERLINK("https://klasma.github.io/Logging_0480/klagomålsmail/A 65889-2021 FSC-klagomål mail.docx", "A 65889-2021")</f>
        <v/>
      </c>
      <c r="AC95">
        <f>HYPERLINK("https://klasma.github.io/Logging_0480/tillsyn/A 65889-2021 tillsynsbegäran.docx", "A 65889-2021")</f>
        <v/>
      </c>
      <c r="AD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46305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46305</v>
      </c>
      <c r="F97" t="inlineStr">
        <is>
          <t>SÖDERMANLANDS LÄN</t>
        </is>
      </c>
      <c r="G97" t="inlineStr">
        <is>
          <t>NYKÖPING</t>
        </is>
      </c>
      <c r="H97" t="inlineStr">
        <is>
          <t>Allmännings- och besparingsskogar</t>
        </is>
      </c>
      <c r="I97" t="n">
        <v>12.1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HYPERLINK("https://klasma.github.io/Logging_0480/artfynd/A 2829-2025 artfynd.xlsx", "A 2829-2025")</f>
        <v/>
      </c>
      <c r="X97">
        <f>HYPERLINK("https://klasma.github.io/Logging_0480/kartor/A 2829-2025 karta.png", "A 2829-2025")</f>
        <v/>
      </c>
      <c r="Y97">
        <f>HYPERLINK("https://klasma.github.io/Logging_0480/kartor_geotiff/A 2829-2025 georefererad karta.tif", "A 2829-2025")</f>
        <v/>
      </c>
      <c r="AA97">
        <f>HYPERLINK("https://klasma.github.io/Logging_0480/klagomål/A 2829-2025 FSC-klagomål.docx", "A 2829-2025")</f>
        <v/>
      </c>
      <c r="AB97">
        <f>HYPERLINK("https://klasma.github.io/Logging_0480/klagomålsmail/A 2829-2025 FSC-klagomål mail.docx", "A 2829-2025")</f>
        <v/>
      </c>
      <c r="AC97">
        <f>HYPERLINK("https://klasma.github.io/Logging_0480/tillsyn/A 2829-2025 tillsynsbegäran.docx", "A 2829-2025")</f>
        <v/>
      </c>
      <c r="AD97">
        <f>HYPERLINK("https://klasma.github.io/Logging_0480/tillsynsmail/A 2829-2025 tillsynsbegäran mail.docx", "A 2829-2025")</f>
        <v/>
      </c>
      <c r="AE97">
        <f>HYPERLINK("https://klasma.github.io/Logging_0480/fåglar/A 2829-2025 prioriterade fågelarter.docx", "A 2829-2025")</f>
        <v/>
      </c>
    </row>
    <row r="98" ht="15" customHeight="1">
      <c r="A98" t="inlineStr">
        <is>
          <t>A 4305-2026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46305</v>
      </c>
      <c r="F98" t="inlineStr">
        <is>
          <t>SÖDERMANLANDS LÄN</t>
        </is>
      </c>
      <c r="G98" t="inlineStr">
        <is>
          <t>NYKÖPING</t>
        </is>
      </c>
      <c r="I98" t="n">
        <v>3.8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Tallticka</t>
        </is>
      </c>
      <c r="W98">
        <f>HYPERLINK("https://klasma.github.io/Logging_0480/artfynd/A 4305-2026 artfynd.xlsx", "A 4305-2026")</f>
        <v/>
      </c>
      <c r="X98">
        <f>HYPERLINK("https://klasma.github.io/Logging_0480/kartor/A 4305-2026 karta.png", "A 4305-2026")</f>
        <v/>
      </c>
      <c r="Y98">
        <f>HYPERLINK("https://klasma.github.io/Logging_0480/kartor_geotiff/A 4305-2026 georefererad karta.tif", "A 4305-2026")</f>
        <v/>
      </c>
      <c r="AA98">
        <f>HYPERLINK("https://klasma.github.io/Logging_0480/klagomål/A 4305-2026 FSC-klagomål.docx", "A 4305-2026")</f>
        <v/>
      </c>
      <c r="AB98">
        <f>HYPERLINK("https://klasma.github.io/Logging_0480/klagomålsmail/A 4305-2026 FSC-klagomål mail.docx", "A 4305-2026")</f>
        <v/>
      </c>
      <c r="AC98">
        <f>HYPERLINK("https://klasma.github.io/Logging_0480/tillsyn/A 4305-2026 tillsynsbegäran.docx", "A 4305-2026")</f>
        <v/>
      </c>
      <c r="AD98">
        <f>HYPERLINK("https://klasma.github.io/Logging_0480/tillsynsmail/A 4305-2026 tillsynsbegäran mail.docx", "A 4305-2026")</f>
        <v/>
      </c>
    </row>
    <row r="99" ht="15" customHeight="1">
      <c r="A99" t="inlineStr">
        <is>
          <t>A 21129-2024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46305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Liljekonvalj</t>
        </is>
      </c>
      <c r="W99">
        <f>HYPERLINK("https://klasma.github.io/Logging_0480/artfynd/A 21129-2024 artfynd.xlsx", "A 21129-2024")</f>
        <v/>
      </c>
      <c r="X99">
        <f>HYPERLINK("https://klasma.github.io/Logging_0480/kartor/A 21129-2024 karta.png", "A 21129-2024")</f>
        <v/>
      </c>
      <c r="Y99">
        <f>HYPERLINK("https://klasma.github.io/Logging_0480/kartor_geotiff/A 21129-2024 georefererad karta.tif", "A 21129-2024")</f>
        <v/>
      </c>
      <c r="AA99">
        <f>HYPERLINK("https://klasma.github.io/Logging_0480/klagomål/A 21129-2024 FSC-klagomål.docx", "A 21129-2024")</f>
        <v/>
      </c>
      <c r="AB99">
        <f>HYPERLINK("https://klasma.github.io/Logging_0480/klagomålsmail/A 21129-2024 FSC-klagomål mail.docx", "A 21129-2024")</f>
        <v/>
      </c>
      <c r="AC99">
        <f>HYPERLINK("https://klasma.github.io/Logging_0480/tillsyn/A 21129-2024 tillsynsbegäran.docx", "A 21129-2024")</f>
        <v/>
      </c>
      <c r="AD99">
        <f>HYPERLINK("https://klasma.github.io/Logging_0480/tillsynsmail/A 21129-2024 tillsynsbegäran mail.docx", "A 21129-2024")</f>
        <v/>
      </c>
    </row>
    <row r="100" ht="15" customHeight="1">
      <c r="A100" t="inlineStr">
        <is>
          <t>A 21021-2026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46145</v>
      </c>
      <c r="E100" s="1" t="n">
        <v>46305</v>
      </c>
      <c r="F100" t="inlineStr">
        <is>
          <t>SÖDERMANLANDS LÄN</t>
        </is>
      </c>
      <c r="G100" t="inlineStr">
        <is>
          <t>NYKÖPING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HYPERLINK("https://klasma.github.io/Logging_0480/artfynd/A 21021-2026 artfynd.xlsx", "A 21021-2026")</f>
        <v/>
      </c>
      <c r="X100">
        <f>HYPERLINK("https://klasma.github.io/Logging_0480/kartor/A 21021-2026 karta.png", "A 21021-2026")</f>
        <v/>
      </c>
      <c r="Y100">
        <f>HYPERLINK("https://klasma.github.io/Logging_0480/kartor_geotiff/A 21021-2026 georefererad karta.tif", "A 21021-2026")</f>
        <v/>
      </c>
      <c r="AA100">
        <f>HYPERLINK("https://klasma.github.io/Logging_0480/klagomål/A 21021-2026 FSC-klagomål.docx", "A 21021-2026")</f>
        <v/>
      </c>
      <c r="AB100">
        <f>HYPERLINK("https://klasma.github.io/Logging_0480/klagomålsmail/A 21021-2026 FSC-klagomål mail.docx", "A 21021-2026")</f>
        <v/>
      </c>
      <c r="AC100">
        <f>HYPERLINK("https://klasma.github.io/Logging_0480/tillsyn/A 21021-2026 tillsynsbegäran.docx", "A 21021-2026")</f>
        <v/>
      </c>
      <c r="AD100">
        <f>HYPERLINK("https://klasma.github.io/Logging_0480/tillsynsmail/A 21021-2026 tillsynsbegäran mail.docx", "A 21021-2026")</f>
        <v/>
      </c>
    </row>
    <row r="101" ht="15" customHeight="1">
      <c r="A101" t="inlineStr">
        <is>
          <t>A 10886-2026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46305</v>
      </c>
      <c r="F101" t="inlineStr">
        <is>
          <t>SÖDERMANLANDS LÄN</t>
        </is>
      </c>
      <c r="G101" t="inlineStr">
        <is>
          <t>NYKÖPING</t>
        </is>
      </c>
      <c r="I101" t="n">
        <v>2.5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Tibast</t>
        </is>
      </c>
      <c r="W101">
        <f>HYPERLINK("https://klasma.github.io/Logging_0480/artfynd/A 10886-2026 artfynd.xlsx", "A 10886-2026")</f>
        <v/>
      </c>
      <c r="X101">
        <f>HYPERLINK("https://klasma.github.io/Logging_0480/kartor/A 10886-2026 karta.png", "A 10886-2026")</f>
        <v/>
      </c>
      <c r="Y101">
        <f>HYPERLINK("https://klasma.github.io/Logging_0480/kartor_geotiff/A 10886-2026 georefererad karta.tif", "A 10886-2026")</f>
        <v/>
      </c>
      <c r="AA101">
        <f>HYPERLINK("https://klasma.github.io/Logging_0480/klagomål/A 10886-2026 FSC-klagomål.docx", "A 10886-2026")</f>
        <v/>
      </c>
      <c r="AB101">
        <f>HYPERLINK("https://klasma.github.io/Logging_0480/klagomålsmail/A 10886-2026 FSC-klagomål mail.docx", "A 10886-2026")</f>
        <v/>
      </c>
      <c r="AC101">
        <f>HYPERLINK("https://klasma.github.io/Logging_0480/tillsyn/A 10886-2026 tillsynsbegäran.docx", "A 10886-2026")</f>
        <v/>
      </c>
      <c r="AD101">
        <f>HYPERLINK("https://klasma.github.io/Logging_0480/tillsynsmail/A 10886-2026 tillsynsbegäran mail.docx", "A 10886-2026")</f>
        <v/>
      </c>
    </row>
    <row r="102" ht="15" customHeight="1">
      <c r="A102" t="inlineStr">
        <is>
          <t>A 22495-2026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46305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Vedticka</t>
        </is>
      </c>
      <c r="W102">
        <f>HYPERLINK("https://klasma.github.io/Logging_0480/artfynd/A 22495-2026 artfynd.xlsx", "A 22495-2026")</f>
        <v/>
      </c>
      <c r="X102">
        <f>HYPERLINK("https://klasma.github.io/Logging_0480/kartor/A 22495-2026 karta.png", "A 22495-2026")</f>
        <v/>
      </c>
      <c r="Y102">
        <f>HYPERLINK("https://klasma.github.io/Logging_0480/kartor_geotiff/A 22495-2026 georefererad karta.tif", "A 22495-2026")</f>
        <v/>
      </c>
      <c r="AA102">
        <f>HYPERLINK("https://klasma.github.io/Logging_0480/klagomål/A 22495-2026 FSC-klagomål.docx", "A 22495-2026")</f>
        <v/>
      </c>
      <c r="AB102">
        <f>HYPERLINK("https://klasma.github.io/Logging_0480/klagomålsmail/A 22495-2026 FSC-klagomål mail.docx", "A 22495-2026")</f>
        <v/>
      </c>
      <c r="AC102">
        <f>HYPERLINK("https://klasma.github.io/Logging_0480/tillsyn/A 22495-2026 tillsynsbegäran.docx", "A 22495-2026")</f>
        <v/>
      </c>
      <c r="AD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46305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46305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32627-2026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46240</v>
      </c>
      <c r="E105" s="1" t="n">
        <v>46305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2.4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HYPERLINK("https://klasma.github.io/Logging_0480/artfynd/A 32627-2026 artfynd.xlsx", "A 32627-2026")</f>
        <v/>
      </c>
      <c r="X105">
        <f>HYPERLINK("https://klasma.github.io/Logging_0480/kartor/A 32627-2026 karta.png", "A 32627-2026")</f>
        <v/>
      </c>
      <c r="Y105">
        <f>HYPERLINK("https://klasma.github.io/Logging_0480/kartor_geotiff/A 32627-2026 georefererad karta.tif", "A 32627-2026")</f>
        <v/>
      </c>
      <c r="AA105">
        <f>HYPERLINK("https://klasma.github.io/Logging_0480/klagomål/A 32627-2026 FSC-klagomål.docx", "A 32627-2026")</f>
        <v/>
      </c>
      <c r="AB105">
        <f>HYPERLINK("https://klasma.github.io/Logging_0480/klagomålsmail/A 32627-2026 FSC-klagomål mail.docx", "A 32627-2026")</f>
        <v/>
      </c>
      <c r="AC105">
        <f>HYPERLINK("https://klasma.github.io/Logging_0480/tillsyn/A 32627-2026 tillsynsbegäran.docx", "A 32627-2026")</f>
        <v/>
      </c>
      <c r="AD105">
        <f>HYPERLINK("https://klasma.github.io/Logging_0480/tillsynsmail/A 32627-2026 tillsynsbegäran mail.docx", "A 32627-2026")</f>
        <v/>
      </c>
    </row>
    <row r="106" ht="15" customHeight="1">
      <c r="A106" t="inlineStr">
        <is>
          <t>A 40494-2026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46295</v>
      </c>
      <c r="E106" s="1" t="n">
        <v>46305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skogssnigel</t>
        </is>
      </c>
      <c r="W106">
        <f>HYPERLINK("https://klasma.github.io/Logging_0480/artfynd/A 40494-2026 artfynd.xlsx", "A 40494-2026")</f>
        <v/>
      </c>
      <c r="X106">
        <f>HYPERLINK("https://klasma.github.io/Logging_0480/kartor/A 40494-2026 karta.png", "A 40494-2026")</f>
        <v/>
      </c>
      <c r="Y106">
        <f>HYPERLINK("https://klasma.github.io/Logging_0480/kartor_geotiff/A 40494-2026 georefererad karta.tif", "A 40494-2026")</f>
        <v/>
      </c>
      <c r="AA106">
        <f>HYPERLINK("https://klasma.github.io/Logging_0480/klagomål/A 40494-2026 FSC-klagomål.docx", "A 40494-2026")</f>
        <v/>
      </c>
      <c r="AB106">
        <f>HYPERLINK("https://klasma.github.io/Logging_0480/klagomålsmail/A 40494-2026 FSC-klagomål mail.docx", "A 40494-2026")</f>
        <v/>
      </c>
      <c r="AC106">
        <f>HYPERLINK("https://klasma.github.io/Logging_0480/tillsyn/A 40494-2026 tillsynsbegäran.docx", "A 40494-2026")</f>
        <v/>
      </c>
      <c r="AD106">
        <f>HYPERLINK("https://klasma.github.io/Logging_0480/tillsynsmail/A 40494-2026 tillsynsbegäran mail.docx", "A 40494-2026")</f>
        <v/>
      </c>
    </row>
    <row r="107" ht="15" customHeight="1">
      <c r="A107" t="inlineStr">
        <is>
          <t>S 447-2021</t>
        </is>
      </c>
      <c r="B107" t="inlineStr">
        <is>
          <t>samrådsanmälan</t>
        </is>
      </c>
      <c r="C107" t="inlineStr">
        <is>
          <t>Åtgärd i nyckelbiotop</t>
        </is>
      </c>
      <c r="D107" s="1" t="n">
        <v>44260</v>
      </c>
      <c r="E107" s="1" t="n">
        <v>46305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HYPERLINK("https://klasma.github.io/Logging_0480/artfynd/S 447-2021 artfynd.xlsx", "S 447-2021")</f>
        <v/>
      </c>
      <c r="X107">
        <f>HYPERLINK("https://klasma.github.io/Logging_0480/kartor/S 447-2021 karta.png", "S 447-2021")</f>
        <v/>
      </c>
      <c r="Y107">
        <f>HYPERLINK("https://klasma.github.io/Logging_0480/kartor_geotiff/S 447-2021 georefererad karta.tif", "S 447-2021")</f>
        <v/>
      </c>
      <c r="AA107">
        <f>HYPERLINK("https://klasma.github.io/Logging_0480/klagomål/S 447-2021 FSC-klagomål.docx", "S 447-2021")</f>
        <v/>
      </c>
      <c r="AB107">
        <f>HYPERLINK("https://klasma.github.io/Logging_0480/klagomålsmail/S 447-2021 FSC-klagomål mail.docx", "S 447-2021")</f>
        <v/>
      </c>
      <c r="AC107">
        <f>HYPERLINK("https://klasma.github.io/Logging_0480/tillsyn/S 447-2021 tillsynsbegäran.docx", "S 447-2021")</f>
        <v/>
      </c>
      <c r="AD107">
        <f>HYPERLINK("https://klasma.github.io/Logging_0480/tillsynsmail/S 447-2021 tillsynsbegäran mail.docx", "S 447-2021")</f>
        <v/>
      </c>
    </row>
    <row r="108" ht="15" customHeight="1">
      <c r="A108" t="inlineStr">
        <is>
          <t>S 2305-2026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46268</v>
      </c>
      <c r="E108" s="1" t="n">
        <v>46305</v>
      </c>
      <c r="F108" t="inlineStr">
        <is>
          <t>SÖDERMANLANDS LÄN</t>
        </is>
      </c>
      <c r="G108" t="inlineStr">
        <is>
          <t>NYKÖPING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HYPERLINK("https://klasma.github.io/Logging_0480/artfynd/S 2305-2026 artfynd.xlsx", "S 2305-2026")</f>
        <v/>
      </c>
      <c r="X108">
        <f>HYPERLINK("https://klasma.github.io/Logging_0480/kartor/S 2305-2026 karta.png", "S 2305-2026")</f>
        <v/>
      </c>
      <c r="Y108">
        <f>HYPERLINK("https://klasma.github.io/Logging_0480/kartor_geotiff/S 2305-2026 georefererad karta.tif", "S 2305-2026")</f>
        <v/>
      </c>
      <c r="AA108">
        <f>HYPERLINK("https://klasma.github.io/Logging_0480/klagomål/S 2305-2026 FSC-klagomål.docx", "S 2305-2026")</f>
        <v/>
      </c>
      <c r="AB108">
        <f>HYPERLINK("https://klasma.github.io/Logging_0480/klagomålsmail/S 2305-2026 FSC-klagomål mail.docx", "S 2305-2026")</f>
        <v/>
      </c>
      <c r="AC108">
        <f>HYPERLINK("https://klasma.github.io/Logging_0480/tillsyn/S 2305-2026 tillsynsbegäran.docx", "S 2305-2026")</f>
        <v/>
      </c>
      <c r="AD108">
        <f>HYPERLINK("https://klasma.github.io/Logging_0480/tillsynsmail/S 2305-2026 tillsynsbegäran mail.docx", "S 2305-2026")</f>
        <v/>
      </c>
    </row>
    <row r="109" ht="15" customHeight="1">
      <c r="A109" t="inlineStr">
        <is>
          <t>A 74404-2021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44560</v>
      </c>
      <c r="E109" s="1" t="n">
        <v>46305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Kyrkan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44870</v>
      </c>
      <c r="E110" s="1" t="n">
        <v>46305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46305</v>
      </c>
      <c r="F111" t="inlineStr">
        <is>
          <t>SÖDERMANLANDS LÄN</t>
        </is>
      </c>
      <c r="G111" t="inlineStr">
        <is>
          <t>NYKÖPING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46305</v>
      </c>
      <c r="F112" t="inlineStr">
        <is>
          <t>SÖDERMANLANDS LÄN</t>
        </is>
      </c>
      <c r="G112" t="inlineStr">
        <is>
          <t>NYKÖPING</t>
        </is>
      </c>
      <c r="I112" t="n">
        <v>21.9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46305</v>
      </c>
      <c r="F113" t="inlineStr">
        <is>
          <t>SÖDERMANLANDS LÄN</t>
        </is>
      </c>
      <c r="G113" t="inlineStr">
        <is>
          <t>NYKÖPING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46305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46305</v>
      </c>
      <c r="F115" t="inlineStr">
        <is>
          <t>SÖDERMANLANDS LÄN</t>
        </is>
      </c>
      <c r="G115" t="inlineStr">
        <is>
          <t>NYKÖPING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46305</v>
      </c>
      <c r="F116" t="inlineStr">
        <is>
          <t>SÖDERMANLANDS LÄN</t>
        </is>
      </c>
      <c r="G116" t="inlineStr">
        <is>
          <t>NYKÖPING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46305</v>
      </c>
      <c r="F117" t="inlineStr">
        <is>
          <t>SÖDERMANLANDS LÄN</t>
        </is>
      </c>
      <c r="G117" t="inlineStr">
        <is>
          <t>NYKÖPING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46305</v>
      </c>
      <c r="F118" t="inlineStr">
        <is>
          <t>SÖDERMANLANDS LÄN</t>
        </is>
      </c>
      <c r="G118" t="inlineStr">
        <is>
          <t>NYKÖPING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46305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46305</v>
      </c>
      <c r="F120" t="inlineStr">
        <is>
          <t>SÖDERMANLANDS LÄN</t>
        </is>
      </c>
      <c r="G120" t="inlineStr">
        <is>
          <t>NYKÖPING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44733</v>
      </c>
      <c r="E121" s="1" t="n">
        <v>46305</v>
      </c>
      <c r="F121" t="inlineStr">
        <is>
          <t>SÖDERMANLANDS LÄN</t>
        </is>
      </c>
      <c r="G121" t="inlineStr">
        <is>
          <t>NYKÖPING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46305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46305</v>
      </c>
      <c r="F123" t="inlineStr">
        <is>
          <t>SÖDERMANLANDS LÄN</t>
        </is>
      </c>
      <c r="G123" t="inlineStr">
        <is>
          <t>NYKÖPING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46305</v>
      </c>
      <c r="F124" t="inlineStr">
        <is>
          <t>SÖDERMANLANDS LÄN</t>
        </is>
      </c>
      <c r="G124" t="inlineStr">
        <is>
          <t>NYKÖPING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46305</v>
      </c>
      <c r="F125" t="inlineStr">
        <is>
          <t>SÖDERMANLANDS LÄN</t>
        </is>
      </c>
      <c r="G125" t="inlineStr">
        <is>
          <t>NYKÖPING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46305</v>
      </c>
      <c r="F126" t="inlineStr">
        <is>
          <t>SÖDERMANLANDS LÄN</t>
        </is>
      </c>
      <c r="G126" t="inlineStr">
        <is>
          <t>NYKÖPING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46305</v>
      </c>
      <c r="F127" t="inlineStr">
        <is>
          <t>SÖDERMANLANDS LÄN</t>
        </is>
      </c>
      <c r="G127" t="inlineStr">
        <is>
          <t>NYKÖPING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46305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Övriga Aktiebolag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46305</v>
      </c>
      <c r="F129" t="inlineStr">
        <is>
          <t>SÖDERMANLANDS LÄN</t>
        </is>
      </c>
      <c r="G129" t="inlineStr">
        <is>
          <t>NYKÖPING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46305</v>
      </c>
      <c r="F130" t="inlineStr">
        <is>
          <t>SÖDERMANLANDS LÄN</t>
        </is>
      </c>
      <c r="G130" t="inlineStr">
        <is>
          <t>NYKÖPING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46305</v>
      </c>
      <c r="F131" t="inlineStr">
        <is>
          <t>SÖDERMANLANDS LÄN</t>
        </is>
      </c>
      <c r="G131" t="inlineStr">
        <is>
          <t>NYKÖPING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46305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44705</v>
      </c>
      <c r="E133" s="1" t="n">
        <v>46305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46305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46305</v>
      </c>
      <c r="F135" t="inlineStr">
        <is>
          <t>SÖDERMANLANDS LÄN</t>
        </is>
      </c>
      <c r="G135" t="inlineStr">
        <is>
          <t>NYKÖPING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8783-2022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46305</v>
      </c>
      <c r="F136" t="inlineStr">
        <is>
          <t>SÖDERMANLANDS LÄN</t>
        </is>
      </c>
      <c r="G136" t="inlineStr">
        <is>
          <t>NYKÖPING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46305</v>
      </c>
      <c r="F137" t="inlineStr">
        <is>
          <t>SÖDERMANLANDS LÄN</t>
        </is>
      </c>
      <c r="G137" t="inlineStr">
        <is>
          <t>NYKÖPING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46305</v>
      </c>
      <c r="F138" t="inlineStr">
        <is>
          <t>SÖDERMANLANDS LÄN</t>
        </is>
      </c>
      <c r="G138" t="inlineStr">
        <is>
          <t>NYKÖPING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69255-2021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46305</v>
      </c>
      <c r="F139" t="inlineStr">
        <is>
          <t>SÖDERMANLANDS LÄN</t>
        </is>
      </c>
      <c r="G139" t="inlineStr">
        <is>
          <t>NYKÖPING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59592-2021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44491</v>
      </c>
      <c r="E140" s="1" t="n">
        <v>46305</v>
      </c>
      <c r="F140" t="inlineStr">
        <is>
          <t>SÖDERMANLANDS LÄN</t>
        </is>
      </c>
      <c r="G140" t="inlineStr">
        <is>
          <t>NYKÖPING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44676</v>
      </c>
      <c r="E141" s="1" t="n">
        <v>46305</v>
      </c>
      <c r="F141" t="inlineStr">
        <is>
          <t>SÖDERMANLANDS LÄN</t>
        </is>
      </c>
      <c r="G141" t="inlineStr">
        <is>
          <t>NYKÖPING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46305</v>
      </c>
      <c r="F142" t="inlineStr">
        <is>
          <t>SÖDERMANLANDS LÄN</t>
        </is>
      </c>
      <c r="G142" t="inlineStr">
        <is>
          <t>NYKÖPING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46305</v>
      </c>
      <c r="F143" t="inlineStr">
        <is>
          <t>SÖDERMANLANDS LÄN</t>
        </is>
      </c>
      <c r="G143" t="inlineStr">
        <is>
          <t>NYKÖPING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46305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61248-2021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46305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46305</v>
      </c>
      <c r="F146" t="inlineStr">
        <is>
          <t>SÖDERMANLANDS LÄN</t>
        </is>
      </c>
      <c r="G146" t="inlineStr">
        <is>
          <t>NYKÖPING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46305</v>
      </c>
      <c r="F147" t="inlineStr">
        <is>
          <t>SÖDERMANLANDS LÄN</t>
        </is>
      </c>
      <c r="G147" t="inlineStr">
        <is>
          <t>NYKÖPING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63052-2021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44505</v>
      </c>
      <c r="E148" s="1" t="n">
        <v>46305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71175-2021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44539</v>
      </c>
      <c r="E149" s="1" t="n">
        <v>46305</v>
      </c>
      <c r="F149" t="inlineStr">
        <is>
          <t>SÖDERMANLANDS LÄN</t>
        </is>
      </c>
      <c r="G149" t="inlineStr">
        <is>
          <t>NYKÖPING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71103-2021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46305</v>
      </c>
      <c r="F150" t="inlineStr">
        <is>
          <t>SÖDERMANLANDS LÄN</t>
        </is>
      </c>
      <c r="G150" t="inlineStr">
        <is>
          <t>NYKÖPING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46305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46305</v>
      </c>
      <c r="F152" t="inlineStr">
        <is>
          <t>SÖDERMANLANDS LÄN</t>
        </is>
      </c>
      <c r="G152" t="inlineStr">
        <is>
          <t>NYKÖPING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46305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46305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Allmännings- och besparingsskogar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66860-2021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44522</v>
      </c>
      <c r="E155" s="1" t="n">
        <v>46305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46305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66939-2021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46305</v>
      </c>
      <c r="F157" t="inlineStr">
        <is>
          <t>SÖDERMANLANDS LÄN</t>
        </is>
      </c>
      <c r="G157" t="inlineStr">
        <is>
          <t>NYKÖPING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46305</v>
      </c>
      <c r="F158" t="inlineStr">
        <is>
          <t>SÖDERMANLANDS LÄN</t>
        </is>
      </c>
      <c r="G158" t="inlineStr">
        <is>
          <t>NYKÖPING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46305</v>
      </c>
      <c r="F159" t="inlineStr">
        <is>
          <t>SÖDERMANLANDS LÄN</t>
        </is>
      </c>
      <c r="G159" t="inlineStr">
        <is>
          <t>NYKÖPING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23107-2022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44719</v>
      </c>
      <c r="E160" s="1" t="n">
        <v>46305</v>
      </c>
      <c r="F160" t="inlineStr">
        <is>
          <t>SÖDERMANLANDS LÄN</t>
        </is>
      </c>
      <c r="G160" t="inlineStr">
        <is>
          <t>NYKÖPING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44662</v>
      </c>
      <c r="E161" s="1" t="n">
        <v>46305</v>
      </c>
      <c r="F161" t="inlineStr">
        <is>
          <t>SÖDERMANLANDS LÄN</t>
        </is>
      </c>
      <c r="G161" t="inlineStr">
        <is>
          <t>NYKÖPING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44748</v>
      </c>
      <c r="E162" s="1" t="n">
        <v>46305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46305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44862</v>
      </c>
      <c r="E164" s="1" t="n">
        <v>46305</v>
      </c>
      <c r="F164" t="inlineStr">
        <is>
          <t>SÖDERMANLANDS LÄN</t>
        </is>
      </c>
      <c r="G164" t="inlineStr">
        <is>
          <t>NYKÖPING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46305</v>
      </c>
      <c r="F165" t="inlineStr">
        <is>
          <t>SÖDERMANLANDS LÄN</t>
        </is>
      </c>
      <c r="G165" t="inlineStr">
        <is>
          <t>NYKÖPING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67825-2021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44525</v>
      </c>
      <c r="E166" s="1" t="n">
        <v>46305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69598-2021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46305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70791-2021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46305</v>
      </c>
      <c r="F168" t="inlineStr">
        <is>
          <t>SÖDERMANLANDS LÄN</t>
        </is>
      </c>
      <c r="G168" t="inlineStr">
        <is>
          <t>NYKÖPING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44813</v>
      </c>
      <c r="E169" s="1" t="n">
        <v>46305</v>
      </c>
      <c r="F169" t="inlineStr">
        <is>
          <t>SÖDERMANLANDS LÄN</t>
        </is>
      </c>
      <c r="G169" t="inlineStr">
        <is>
          <t>NYKÖPING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46305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44679</v>
      </c>
      <c r="E171" s="1" t="n">
        <v>46305</v>
      </c>
      <c r="F171" t="inlineStr">
        <is>
          <t>SÖDERMANLANDS LÄN</t>
        </is>
      </c>
      <c r="G171" t="inlineStr">
        <is>
          <t>NYKÖPING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46305</v>
      </c>
      <c r="F172" t="inlineStr">
        <is>
          <t>SÖDERMANLANDS LÄN</t>
        </is>
      </c>
      <c r="G172" t="inlineStr">
        <is>
          <t>NYKÖPING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46305</v>
      </c>
      <c r="F173" t="inlineStr">
        <is>
          <t>SÖDERMANLANDS LÄN</t>
        </is>
      </c>
      <c r="G173" t="inlineStr">
        <is>
          <t>NYKÖPING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46305</v>
      </c>
      <c r="F174" t="inlineStr">
        <is>
          <t>SÖDERMANLANDS LÄN</t>
        </is>
      </c>
      <c r="G174" t="inlineStr">
        <is>
          <t>NYKÖPING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46305</v>
      </c>
      <c r="F175" t="inlineStr">
        <is>
          <t>SÖDERMANLANDS LÄN</t>
        </is>
      </c>
      <c r="G175" t="inlineStr">
        <is>
          <t>NYKÖPING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44701</v>
      </c>
      <c r="E176" s="1" t="n">
        <v>46305</v>
      </c>
      <c r="F176" t="inlineStr">
        <is>
          <t>SÖDERMANLANDS LÄN</t>
        </is>
      </c>
      <c r="G176" t="inlineStr">
        <is>
          <t>NYKÖPING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46305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44783</v>
      </c>
      <c r="E178" s="1" t="n">
        <v>46305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Holmen skog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46305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44733</v>
      </c>
      <c r="E180" s="1" t="n">
        <v>46305</v>
      </c>
      <c r="F180" t="inlineStr">
        <is>
          <t>SÖDERMANLANDS LÄN</t>
        </is>
      </c>
      <c r="G180" t="inlineStr">
        <is>
          <t>NYKÖPING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44733</v>
      </c>
      <c r="E181" s="1" t="n">
        <v>46305</v>
      </c>
      <c r="F181" t="inlineStr">
        <is>
          <t>SÖDERMANLANDS LÄN</t>
        </is>
      </c>
      <c r="G181" t="inlineStr">
        <is>
          <t>NYKÖPING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44709</v>
      </c>
      <c r="E182" s="1" t="n">
        <v>46305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44709</v>
      </c>
      <c r="E183" s="1" t="n">
        <v>46305</v>
      </c>
      <c r="F183" t="inlineStr">
        <is>
          <t>SÖDERMANLANDS LÄN</t>
        </is>
      </c>
      <c r="G183" t="inlineStr">
        <is>
          <t>NYKÖPING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46305</v>
      </c>
      <c r="F184" t="inlineStr">
        <is>
          <t>SÖDERMANLANDS LÄN</t>
        </is>
      </c>
      <c r="G184" t="inlineStr">
        <is>
          <t>NYKÖPING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46305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46305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46305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71107-2021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46305</v>
      </c>
      <c r="F188" t="inlineStr">
        <is>
          <t>SÖDERMANLANDS LÄN</t>
        </is>
      </c>
      <c r="G188" t="inlineStr">
        <is>
          <t>NYKÖPING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46305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46305</v>
      </c>
      <c r="F190" t="inlineStr">
        <is>
          <t>SÖDERMANLANDS LÄN</t>
        </is>
      </c>
      <c r="G190" t="inlineStr">
        <is>
          <t>NYKÖPING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46305</v>
      </c>
      <c r="F191" t="inlineStr">
        <is>
          <t>SÖDERMANLANDS LÄN</t>
        </is>
      </c>
      <c r="G191" t="inlineStr">
        <is>
          <t>NYKÖPING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46305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Övriga Aktiebolag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46305</v>
      </c>
      <c r="F193" t="inlineStr">
        <is>
          <t>SÖDERMANLANDS LÄN</t>
        </is>
      </c>
      <c r="G193" t="inlineStr">
        <is>
          <t>NYKÖPING</t>
        </is>
      </c>
      <c r="I193" t="n">
        <v>16.2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46305</v>
      </c>
      <c r="F194" t="inlineStr">
        <is>
          <t>SÖDERMANLANDS LÄN</t>
        </is>
      </c>
      <c r="G194" t="inlineStr">
        <is>
          <t>NYKÖPING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46305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44858</v>
      </c>
      <c r="E196" s="1" t="n">
        <v>46305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statliga verk och myndigheter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46305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42249-2022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46305</v>
      </c>
      <c r="F198" t="inlineStr">
        <is>
          <t>SÖDERMANLANDS LÄN</t>
        </is>
      </c>
      <c r="G198" t="inlineStr">
        <is>
          <t>NYKÖPING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46305</v>
      </c>
      <c r="F199" t="inlineStr">
        <is>
          <t>SÖDERMANLANDS LÄN</t>
        </is>
      </c>
      <c r="G199" t="inlineStr">
        <is>
          <t>NYKÖPING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46305</v>
      </c>
      <c r="F200" t="inlineStr">
        <is>
          <t>SÖDERMANLANDS LÄN</t>
        </is>
      </c>
      <c r="G200" t="inlineStr">
        <is>
          <t>NYKÖPING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53335-2023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45229</v>
      </c>
      <c r="E201" s="1" t="n">
        <v>46305</v>
      </c>
      <c r="F201" t="inlineStr">
        <is>
          <t>SÖDERMANLANDS LÄN</t>
        </is>
      </c>
      <c r="G201" t="inlineStr">
        <is>
          <t>NYKÖPING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46305</v>
      </c>
      <c r="F202" t="inlineStr">
        <is>
          <t>SÖDERMANLANDS LÄN</t>
        </is>
      </c>
      <c r="G202" t="inlineStr">
        <is>
          <t>NYKÖPING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44579</v>
      </c>
      <c r="E203" s="1" t="n">
        <v>46305</v>
      </c>
      <c r="F203" t="inlineStr">
        <is>
          <t>SÖDERMANLANDS LÄN</t>
        </is>
      </c>
      <c r="G203" t="inlineStr">
        <is>
          <t>NYKÖPING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46305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Kommuner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45441</v>
      </c>
      <c r="E205" s="1" t="n">
        <v>46305</v>
      </c>
      <c r="F205" t="inlineStr">
        <is>
          <t>SÖDERMANLANDS LÄN</t>
        </is>
      </c>
      <c r="G205" t="inlineStr">
        <is>
          <t>NYKÖPING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44579</v>
      </c>
      <c r="E206" s="1" t="n">
        <v>46305</v>
      </c>
      <c r="F206" t="inlineStr">
        <is>
          <t>SÖDERMANLANDS LÄN</t>
        </is>
      </c>
      <c r="G206" t="inlineStr">
        <is>
          <t>NYKÖPING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46305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44578</v>
      </c>
      <c r="E208" s="1" t="n">
        <v>46305</v>
      </c>
      <c r="F208" t="inlineStr">
        <is>
          <t>SÖDERMANLANDS LÄN</t>
        </is>
      </c>
      <c r="G208" t="inlineStr">
        <is>
          <t>NYKÖPING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46305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46305</v>
      </c>
      <c r="F210" t="inlineStr">
        <is>
          <t>SÖDERMANLANDS LÄN</t>
        </is>
      </c>
      <c r="G210" t="inlineStr">
        <is>
          <t>NYKÖPING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46305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14930-2024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45398</v>
      </c>
      <c r="E212" s="1" t="n">
        <v>46305</v>
      </c>
      <c r="F212" t="inlineStr">
        <is>
          <t>SÖDERMANLANDS LÄN</t>
        </is>
      </c>
      <c r="G212" t="inlineStr">
        <is>
          <t>NYKÖPING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44784</v>
      </c>
      <c r="E213" s="1" t="n">
        <v>46305</v>
      </c>
      <c r="F213" t="inlineStr">
        <is>
          <t>SÖDERMANLANDS LÄN</t>
        </is>
      </c>
      <c r="G213" t="inlineStr">
        <is>
          <t>NYKÖPING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46305</v>
      </c>
      <c r="F214" t="inlineStr">
        <is>
          <t>SÖDERMANLANDS LÄN</t>
        </is>
      </c>
      <c r="G214" t="inlineStr">
        <is>
          <t>NYKÖPING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46305</v>
      </c>
      <c r="F215" t="inlineStr">
        <is>
          <t>SÖDERMANLANDS LÄN</t>
        </is>
      </c>
      <c r="G215" t="inlineStr">
        <is>
          <t>NYKÖPING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44844</v>
      </c>
      <c r="E216" s="1" t="n">
        <v>46305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45143</v>
      </c>
      <c r="E217" s="1" t="n">
        <v>46305</v>
      </c>
      <c r="F217" t="inlineStr">
        <is>
          <t>SÖDERMANLANDS LÄN</t>
        </is>
      </c>
      <c r="G217" t="inlineStr">
        <is>
          <t>NYKÖPING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46305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14848-2024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45398</v>
      </c>
      <c r="E219" s="1" t="n">
        <v>46305</v>
      </c>
      <c r="F219" t="inlineStr">
        <is>
          <t>SÖDERMANLANDS LÄN</t>
        </is>
      </c>
      <c r="G219" t="inlineStr">
        <is>
          <t>NYKÖPING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46305</v>
      </c>
      <c r="F220" t="inlineStr">
        <is>
          <t>SÖDERMANLANDS LÄN</t>
        </is>
      </c>
      <c r="G220" t="inlineStr">
        <is>
          <t>NYKÖPING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44865</v>
      </c>
      <c r="E221" s="1" t="n">
        <v>46305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45410</v>
      </c>
      <c r="E222" s="1" t="n">
        <v>46305</v>
      </c>
      <c r="F222" t="inlineStr">
        <is>
          <t>SÖDERMANLANDS LÄN</t>
        </is>
      </c>
      <c r="G222" t="inlineStr">
        <is>
          <t>NYKÖPING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45686</v>
      </c>
      <c r="E223" s="1" t="n">
        <v>46305</v>
      </c>
      <c r="F223" t="inlineStr">
        <is>
          <t>SÖDERMANLANDS LÄN</t>
        </is>
      </c>
      <c r="G223" t="inlineStr">
        <is>
          <t>NYKÖPING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46305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44846</v>
      </c>
      <c r="E225" s="1" t="n">
        <v>46305</v>
      </c>
      <c r="F225" t="inlineStr">
        <is>
          <t>SÖDERMANLANDS LÄN</t>
        </is>
      </c>
      <c r="G225" t="inlineStr">
        <is>
          <t>NYKÖPING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65172-2023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45288</v>
      </c>
      <c r="E226" s="1" t="n">
        <v>46305</v>
      </c>
      <c r="F226" t="inlineStr">
        <is>
          <t>SÖDERMANLANDS LÄN</t>
        </is>
      </c>
      <c r="G226" t="inlineStr">
        <is>
          <t>NYKÖPING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45733</v>
      </c>
      <c r="E227" s="1" t="n">
        <v>46305</v>
      </c>
      <c r="F227" t="inlineStr">
        <is>
          <t>SÖDERMANLANDS LÄN</t>
        </is>
      </c>
      <c r="G227" t="inlineStr">
        <is>
          <t>NYKÖPING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45630</v>
      </c>
      <c r="E228" s="1" t="n">
        <v>46305</v>
      </c>
      <c r="F228" t="inlineStr">
        <is>
          <t>SÖDERMANLANDS LÄN</t>
        </is>
      </c>
      <c r="G228" t="inlineStr">
        <is>
          <t>NYKÖPING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46305</v>
      </c>
      <c r="F229" t="inlineStr">
        <is>
          <t>SÖDERMANLANDS LÄN</t>
        </is>
      </c>
      <c r="G229" t="inlineStr">
        <is>
          <t>NYKÖPING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46305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45224</v>
      </c>
      <c r="E231" s="1" t="n">
        <v>46305</v>
      </c>
      <c r="F231" t="inlineStr">
        <is>
          <t>SÖDERMANLANDS LÄN</t>
        </is>
      </c>
      <c r="G231" t="inlineStr">
        <is>
          <t>NYKÖPING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45224</v>
      </c>
      <c r="E232" s="1" t="n">
        <v>46305</v>
      </c>
      <c r="F232" t="inlineStr">
        <is>
          <t>SÖDERMANLANDS LÄN</t>
        </is>
      </c>
      <c r="G232" t="inlineStr">
        <is>
          <t>NYKÖPING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46305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46305</v>
      </c>
      <c r="F234" t="inlineStr">
        <is>
          <t>SÖDERMANLANDS LÄN</t>
        </is>
      </c>
      <c r="G234" t="inlineStr">
        <is>
          <t>NYKÖPING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46305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46305</v>
      </c>
      <c r="F236" t="inlineStr">
        <is>
          <t>SÖDERMANLANDS LÄN</t>
        </is>
      </c>
      <c r="G236" t="inlineStr">
        <is>
          <t>NYKÖPING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44774</v>
      </c>
      <c r="E237" s="1" t="n">
        <v>46305</v>
      </c>
      <c r="F237" t="inlineStr">
        <is>
          <t>SÖDERMANLANDS LÄN</t>
        </is>
      </c>
      <c r="G237" t="inlineStr">
        <is>
          <t>NYKÖPING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46305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Kommuner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65923-2021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44517</v>
      </c>
      <c r="E239" s="1" t="n">
        <v>46305</v>
      </c>
      <c r="F239" t="inlineStr">
        <is>
          <t>SÖDERMANLANDS LÄN</t>
        </is>
      </c>
      <c r="G239" t="inlineStr">
        <is>
          <t>NYKÖPING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46305</v>
      </c>
      <c r="F240" t="inlineStr">
        <is>
          <t>SÖDERMANLANDS LÄN</t>
        </is>
      </c>
      <c r="G240" t="inlineStr">
        <is>
          <t>NYKÖPING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46305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46305</v>
      </c>
      <c r="F242" t="inlineStr">
        <is>
          <t>SÖDERMANLANDS LÄN</t>
        </is>
      </c>
      <c r="G242" t="inlineStr">
        <is>
          <t>NYKÖPING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45307</v>
      </c>
      <c r="E243" s="1" t="n">
        <v>46305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46305</v>
      </c>
      <c r="F244" t="inlineStr">
        <is>
          <t>SÖDERMANLANDS LÄN</t>
        </is>
      </c>
      <c r="G244" t="inlineStr">
        <is>
          <t>NYKÖPING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46305</v>
      </c>
      <c r="F245" t="inlineStr">
        <is>
          <t>SÖDERMANLANDS LÄN</t>
        </is>
      </c>
      <c r="G245" t="inlineStr">
        <is>
          <t>NYKÖPING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46305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7036-2023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44968</v>
      </c>
      <c r="E247" s="1" t="n">
        <v>46305</v>
      </c>
      <c r="F247" t="inlineStr">
        <is>
          <t>SÖDERMANLANDS LÄN</t>
        </is>
      </c>
      <c r="G247" t="inlineStr">
        <is>
          <t>NYKÖPING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45379</v>
      </c>
      <c r="E248" s="1" t="n">
        <v>46305</v>
      </c>
      <c r="F248" t="inlineStr">
        <is>
          <t>SÖDERMANLANDS LÄN</t>
        </is>
      </c>
      <c r="G248" t="inlineStr">
        <is>
          <t>NYKÖPING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18604-2023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45043</v>
      </c>
      <c r="E249" s="1" t="n">
        <v>46305</v>
      </c>
      <c r="F249" t="inlineStr">
        <is>
          <t>SÖDERMANLANDS LÄN</t>
        </is>
      </c>
      <c r="G249" t="inlineStr">
        <is>
          <t>NYKÖPING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53800-2022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46305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46305</v>
      </c>
      <c r="F251" t="inlineStr">
        <is>
          <t>SÖDERMANLANDS LÄN</t>
        </is>
      </c>
      <c r="G251" t="inlineStr">
        <is>
          <t>NYKÖPING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46305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46305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45364</v>
      </c>
      <c r="E254" s="1" t="n">
        <v>46305</v>
      </c>
      <c r="F254" t="inlineStr">
        <is>
          <t>SÖDERMANLANDS LÄN</t>
        </is>
      </c>
      <c r="G254" t="inlineStr">
        <is>
          <t>NYKÖPING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46305</v>
      </c>
      <c r="F255" t="inlineStr">
        <is>
          <t>SÖDERMANLANDS LÄN</t>
        </is>
      </c>
      <c r="G255" t="inlineStr">
        <is>
          <t>NYKÖPING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46305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44881</v>
      </c>
      <c r="E257" s="1" t="n">
        <v>46305</v>
      </c>
      <c r="F257" t="inlineStr">
        <is>
          <t>SÖDERMANLANDS LÄN</t>
        </is>
      </c>
      <c r="G257" t="inlineStr">
        <is>
          <t>NYKÖPING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46305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46305</v>
      </c>
      <c r="F259" t="inlineStr">
        <is>
          <t>SÖDERMANLANDS LÄN</t>
        </is>
      </c>
      <c r="G259" t="inlineStr">
        <is>
          <t>NYKÖPING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46305</v>
      </c>
      <c r="F260" t="inlineStr">
        <is>
          <t>SÖDERMANLANDS LÄN</t>
        </is>
      </c>
      <c r="G260" t="inlineStr">
        <is>
          <t>NYKÖPING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36000-2023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45148</v>
      </c>
      <c r="E261" s="1" t="n">
        <v>46305</v>
      </c>
      <c r="F261" t="inlineStr">
        <is>
          <t>SÖDERMANLANDS LÄN</t>
        </is>
      </c>
      <c r="G261" t="inlineStr">
        <is>
          <t>NYKÖPING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44784</v>
      </c>
      <c r="E262" s="1" t="n">
        <v>46305</v>
      </c>
      <c r="F262" t="inlineStr">
        <is>
          <t>SÖDERMANLANDS LÄN</t>
        </is>
      </c>
      <c r="G262" t="inlineStr">
        <is>
          <t>NYKÖPING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46305</v>
      </c>
      <c r="F263" t="inlineStr">
        <is>
          <t>SÖDERMANLANDS LÄN</t>
        </is>
      </c>
      <c r="G263" t="inlineStr">
        <is>
          <t>NYKÖPING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45350</v>
      </c>
      <c r="E264" s="1" t="n">
        <v>46305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44690</v>
      </c>
      <c r="E265" s="1" t="n">
        <v>46305</v>
      </c>
      <c r="F265" t="inlineStr">
        <is>
          <t>SÖDERMANLANDS LÄN</t>
        </is>
      </c>
      <c r="G265" t="inlineStr">
        <is>
          <t>NYKÖPING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45062</v>
      </c>
      <c r="E266" s="1" t="n">
        <v>46305</v>
      </c>
      <c r="F266" t="inlineStr">
        <is>
          <t>SÖDERMANLANDS LÄN</t>
        </is>
      </c>
      <c r="G266" t="inlineStr">
        <is>
          <t>NYKÖPING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46305</v>
      </c>
      <c r="F267" t="inlineStr">
        <is>
          <t>SÖDERMANLANDS LÄN</t>
        </is>
      </c>
      <c r="G267" t="inlineStr">
        <is>
          <t>NYKÖPING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44932</v>
      </c>
      <c r="E268" s="1" t="n">
        <v>46305</v>
      </c>
      <c r="F268" t="inlineStr">
        <is>
          <t>SÖDERMANLANDS LÄN</t>
        </is>
      </c>
      <c r="G268" t="inlineStr">
        <is>
          <t>NYKÖPING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44932</v>
      </c>
      <c r="E269" s="1" t="n">
        <v>46305</v>
      </c>
      <c r="F269" t="inlineStr">
        <is>
          <t>SÖDERMANLANDS LÄN</t>
        </is>
      </c>
      <c r="G269" t="inlineStr">
        <is>
          <t>NYKÖPING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69244-2021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46305</v>
      </c>
      <c r="F270" t="inlineStr">
        <is>
          <t>SÖDERMANLANDS LÄN</t>
        </is>
      </c>
      <c r="G270" t="inlineStr">
        <is>
          <t>NYKÖPING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46305</v>
      </c>
      <c r="F271" t="inlineStr">
        <is>
          <t>SÖDERMANLANDS LÄN</t>
        </is>
      </c>
      <c r="G271" t="inlineStr">
        <is>
          <t>NYKÖPING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41288-2023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46305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44837</v>
      </c>
      <c r="E273" s="1" t="n">
        <v>46305</v>
      </c>
      <c r="F273" t="inlineStr">
        <is>
          <t>SÖDERMANLANDS LÄN</t>
        </is>
      </c>
      <c r="G273" t="inlineStr">
        <is>
          <t>NYKÖPING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46305</v>
      </c>
      <c r="F274" t="inlineStr">
        <is>
          <t>SÖDERMANLANDS LÄN</t>
        </is>
      </c>
      <c r="G274" t="inlineStr">
        <is>
          <t>NYKÖPING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45132</v>
      </c>
      <c r="E275" s="1" t="n">
        <v>46305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60512-2021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46305</v>
      </c>
      <c r="F276" t="inlineStr">
        <is>
          <t>SÖDERMANLANDS LÄN</t>
        </is>
      </c>
      <c r="G276" t="inlineStr">
        <is>
          <t>NYKÖPING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31392-2022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44774</v>
      </c>
      <c r="E277" s="1" t="n">
        <v>46305</v>
      </c>
      <c r="F277" t="inlineStr">
        <is>
          <t>SÖDERMANLANDS LÄN</t>
        </is>
      </c>
      <c r="G277" t="inlineStr">
        <is>
          <t>NYKÖPING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44830</v>
      </c>
      <c r="E278" s="1" t="n">
        <v>46305</v>
      </c>
      <c r="F278" t="inlineStr">
        <is>
          <t>SÖDERMANLANDS LÄN</t>
        </is>
      </c>
      <c r="G278" t="inlineStr">
        <is>
          <t>NYKÖPING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45702</v>
      </c>
      <c r="E279" s="1" t="n">
        <v>46305</v>
      </c>
      <c r="F279" t="inlineStr">
        <is>
          <t>SÖDERMANLANDS LÄN</t>
        </is>
      </c>
      <c r="G279" t="inlineStr">
        <is>
          <t>NYKÖPING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44623</v>
      </c>
      <c r="E280" s="1" t="n">
        <v>46305</v>
      </c>
      <c r="F280" t="inlineStr">
        <is>
          <t>SÖDERMANLANDS LÄN</t>
        </is>
      </c>
      <c r="G280" t="inlineStr">
        <is>
          <t>NYKÖPING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33271-2024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45518</v>
      </c>
      <c r="E281" s="1" t="n">
        <v>46305</v>
      </c>
      <c r="F281" t="inlineStr">
        <is>
          <t>SÖDERMANLANDS LÄN</t>
        </is>
      </c>
      <c r="G281" t="inlineStr">
        <is>
          <t>NYKÖPING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46305</v>
      </c>
      <c r="F282" t="inlineStr">
        <is>
          <t>SÖDERMANLANDS LÄN</t>
        </is>
      </c>
      <c r="G282" t="inlineStr">
        <is>
          <t>NYKÖPING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46305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Kyrkan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44579</v>
      </c>
      <c r="E284" s="1" t="n">
        <v>46305</v>
      </c>
      <c r="F284" t="inlineStr">
        <is>
          <t>SÖDERMANLANDS LÄN</t>
        </is>
      </c>
      <c r="G284" t="inlineStr">
        <is>
          <t>NYKÖPING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45540</v>
      </c>
      <c r="E285" s="1" t="n">
        <v>46305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46305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46305</v>
      </c>
      <c r="F287" t="inlineStr">
        <is>
          <t>SÖDERMANLANDS LÄN</t>
        </is>
      </c>
      <c r="G287" t="inlineStr">
        <is>
          <t>NYKÖPING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45419</v>
      </c>
      <c r="E288" s="1" t="n">
        <v>46305</v>
      </c>
      <c r="F288" t="inlineStr">
        <is>
          <t>SÖDERMANLANDS LÄN</t>
        </is>
      </c>
      <c r="G288" t="inlineStr">
        <is>
          <t>NYKÖPING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45419</v>
      </c>
      <c r="E289" s="1" t="n">
        <v>46305</v>
      </c>
      <c r="F289" t="inlineStr">
        <is>
          <t>SÖDERMANLANDS LÄN</t>
        </is>
      </c>
      <c r="G289" t="inlineStr">
        <is>
          <t>NYKÖPING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46305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12139-2025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46305</v>
      </c>
      <c r="F291" t="inlineStr">
        <is>
          <t>SÖDERMANLANDS LÄN</t>
        </is>
      </c>
      <c r="G291" t="inlineStr">
        <is>
          <t>NYKÖPING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46305</v>
      </c>
      <c r="F292" t="inlineStr">
        <is>
          <t>SÖDERMANLANDS LÄN</t>
        </is>
      </c>
      <c r="G292" t="inlineStr">
        <is>
          <t>NYKÖPING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62432-2023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45268</v>
      </c>
      <c r="E293" s="1" t="n">
        <v>46305</v>
      </c>
      <c r="F293" t="inlineStr">
        <is>
          <t>SÖDERMANLANDS LÄN</t>
        </is>
      </c>
      <c r="G293" t="inlineStr">
        <is>
          <t>NYKÖPING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44938</v>
      </c>
      <c r="E294" s="1" t="n">
        <v>46305</v>
      </c>
      <c r="F294" t="inlineStr">
        <is>
          <t>SÖDERMANLANDS LÄN</t>
        </is>
      </c>
      <c r="G294" t="inlineStr">
        <is>
          <t>NYKÖPING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45288</v>
      </c>
      <c r="E295" s="1" t="n">
        <v>46305</v>
      </c>
      <c r="F295" t="inlineStr">
        <is>
          <t>SÖDERMANLANDS LÄN</t>
        </is>
      </c>
      <c r="G295" t="inlineStr">
        <is>
          <t>NYKÖPING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46305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46305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46305</v>
      </c>
      <c r="F298" t="inlineStr">
        <is>
          <t>SÖDERMANLANDS LÄN</t>
        </is>
      </c>
      <c r="G298" t="inlineStr">
        <is>
          <t>NYKÖPING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46305</v>
      </c>
      <c r="F299" t="inlineStr">
        <is>
          <t>SÖDERMANLANDS LÄN</t>
        </is>
      </c>
      <c r="G299" t="inlineStr">
        <is>
          <t>NYKÖPING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51244-2024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46305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44976</v>
      </c>
      <c r="E301" s="1" t="n">
        <v>46305</v>
      </c>
      <c r="F301" t="inlineStr">
        <is>
          <t>SÖDERMANLANDS LÄN</t>
        </is>
      </c>
      <c r="G301" t="inlineStr">
        <is>
          <t>NYKÖPING</t>
        </is>
      </c>
      <c r="I301" t="n">
        <v>11.1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68500-2021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46305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Övriga Aktiebolag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46305</v>
      </c>
      <c r="F303" t="inlineStr">
        <is>
          <t>SÖDERMANLANDS LÄN</t>
        </is>
      </c>
      <c r="G303" t="inlineStr">
        <is>
          <t>NYKÖPING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45854</v>
      </c>
      <c r="E304" s="1" t="n">
        <v>46305</v>
      </c>
      <c r="F304" t="inlineStr">
        <is>
          <t>SÖDERMANLANDS LÄN</t>
        </is>
      </c>
      <c r="G304" t="inlineStr">
        <is>
          <t>NYKÖPING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46305</v>
      </c>
      <c r="F305" t="inlineStr">
        <is>
          <t>SÖDERMANLANDS LÄN</t>
        </is>
      </c>
      <c r="G305" t="inlineStr">
        <is>
          <t>NYKÖPING</t>
        </is>
      </c>
      <c r="I305" t="n">
        <v>15.2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59733-2021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44494</v>
      </c>
      <c r="E306" s="1" t="n">
        <v>46305</v>
      </c>
      <c r="F306" t="inlineStr">
        <is>
          <t>SÖDERMANLANDS LÄN</t>
        </is>
      </c>
      <c r="G306" t="inlineStr">
        <is>
          <t>NYKÖPING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45384</v>
      </c>
      <c r="E307" s="1" t="n">
        <v>46305</v>
      </c>
      <c r="F307" t="inlineStr">
        <is>
          <t>SÖDERMANLANDS LÄN</t>
        </is>
      </c>
      <c r="G307" t="inlineStr">
        <is>
          <t>NYKÖPING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44936</v>
      </c>
      <c r="E308" s="1" t="n">
        <v>46305</v>
      </c>
      <c r="F308" t="inlineStr">
        <is>
          <t>SÖDERMANLANDS LÄN</t>
        </is>
      </c>
      <c r="G308" t="inlineStr">
        <is>
          <t>NYKÖPING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68401-2021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46305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Övriga Aktiebolag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70749-2021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44536</v>
      </c>
      <c r="E310" s="1" t="n">
        <v>46305</v>
      </c>
      <c r="F310" t="inlineStr">
        <is>
          <t>SÖDERMANLANDS LÄN</t>
        </is>
      </c>
      <c r="G310" t="inlineStr">
        <is>
          <t>NYKÖPING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45106</v>
      </c>
      <c r="E311" s="1" t="n">
        <v>46305</v>
      </c>
      <c r="F311" t="inlineStr">
        <is>
          <t>SÖDERMANLANDS LÄN</t>
        </is>
      </c>
      <c r="G311" t="inlineStr">
        <is>
          <t>NYKÖPING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46305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1558-2024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45306</v>
      </c>
      <c r="E313" s="1" t="n">
        <v>46305</v>
      </c>
      <c r="F313" t="inlineStr">
        <is>
          <t>SÖDERMANLANDS LÄN</t>
        </is>
      </c>
      <c r="G313" t="inlineStr">
        <is>
          <t>NYKÖPING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46305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46305</v>
      </c>
      <c r="F315" t="inlineStr">
        <is>
          <t>SÖDERMANLANDS LÄN</t>
        </is>
      </c>
      <c r="G315" t="inlineStr">
        <is>
          <t>NYKÖPING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46305</v>
      </c>
      <c r="F316" t="inlineStr">
        <is>
          <t>SÖDERMANLANDS LÄN</t>
        </is>
      </c>
      <c r="G316" t="inlineStr">
        <is>
          <t>NYKÖPING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46305</v>
      </c>
      <c r="F317" t="inlineStr">
        <is>
          <t>SÖDERMANLANDS LÄN</t>
        </is>
      </c>
      <c r="G317" t="inlineStr">
        <is>
          <t>NYKÖPING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45443</v>
      </c>
      <c r="E318" s="1" t="n">
        <v>46305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45424</v>
      </c>
      <c r="E319" s="1" t="n">
        <v>46305</v>
      </c>
      <c r="F319" t="inlineStr">
        <is>
          <t>SÖDERMANLANDS LÄN</t>
        </is>
      </c>
      <c r="G319" t="inlineStr">
        <is>
          <t>NYKÖPING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11718-2023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44992</v>
      </c>
      <c r="E320" s="1" t="n">
        <v>46305</v>
      </c>
      <c r="F320" t="inlineStr">
        <is>
          <t>SÖDERMANLANDS LÄN</t>
        </is>
      </c>
      <c r="G320" t="inlineStr">
        <is>
          <t>NYKÖPING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46305</v>
      </c>
      <c r="F321" t="inlineStr">
        <is>
          <t>SÖDERMANLANDS LÄN</t>
        </is>
      </c>
      <c r="G321" t="inlineStr">
        <is>
          <t>NYKÖPING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44579</v>
      </c>
      <c r="E322" s="1" t="n">
        <v>46305</v>
      </c>
      <c r="F322" t="inlineStr">
        <is>
          <t>SÖDERMANLANDS LÄN</t>
        </is>
      </c>
      <c r="G322" t="inlineStr">
        <is>
          <t>NYKÖPING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67857-2021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46305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45350</v>
      </c>
      <c r="E324" s="1" t="n">
        <v>46305</v>
      </c>
      <c r="F324" t="inlineStr">
        <is>
          <t>SÖDERMANLANDS LÄN</t>
        </is>
      </c>
      <c r="G324" t="inlineStr">
        <is>
          <t>NYKÖPING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17832-2024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45418</v>
      </c>
      <c r="E325" s="1" t="n">
        <v>46305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Kommuner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46305</v>
      </c>
      <c r="F326" t="inlineStr">
        <is>
          <t>SÖDERMANLANDS LÄN</t>
        </is>
      </c>
      <c r="G326" t="inlineStr">
        <is>
          <t>NYKÖPING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44575</v>
      </c>
      <c r="E327" s="1" t="n">
        <v>46305</v>
      </c>
      <c r="F327" t="inlineStr">
        <is>
          <t>SÖDERMANLANDS LÄN</t>
        </is>
      </c>
      <c r="G327" t="inlineStr">
        <is>
          <t>NYKÖPING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46305</v>
      </c>
      <c r="F328" t="inlineStr">
        <is>
          <t>SÖDERMANLANDS LÄN</t>
        </is>
      </c>
      <c r="G328" t="inlineStr">
        <is>
          <t>NYKÖPING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46305</v>
      </c>
      <c r="F329" t="inlineStr">
        <is>
          <t>SÖDERMANLANDS LÄN</t>
        </is>
      </c>
      <c r="G329" t="inlineStr">
        <is>
          <t>NYKÖPING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61007-2021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44497</v>
      </c>
      <c r="E330" s="1" t="n">
        <v>46305</v>
      </c>
      <c r="F330" t="inlineStr">
        <is>
          <t>SÖDERMANLANDS LÄN</t>
        </is>
      </c>
      <c r="G330" t="inlineStr">
        <is>
          <t>NYKÖPING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46305</v>
      </c>
      <c r="F331" t="inlineStr">
        <is>
          <t>SÖDERMANLANDS LÄN</t>
        </is>
      </c>
      <c r="G331" t="inlineStr">
        <is>
          <t>NYKÖPING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68041-2021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44525</v>
      </c>
      <c r="E332" s="1" t="n">
        <v>46305</v>
      </c>
      <c r="F332" t="inlineStr">
        <is>
          <t>SÖDERMANLANDS LÄN</t>
        </is>
      </c>
      <c r="G332" t="inlineStr">
        <is>
          <t>NYKÖPING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45537</v>
      </c>
      <c r="E333" s="1" t="n">
        <v>46305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Kommuner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46305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Kyrkan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46305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Sveaskog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45352</v>
      </c>
      <c r="E336" s="1" t="n">
        <v>46305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44890</v>
      </c>
      <c r="E337" s="1" t="n">
        <v>46305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72679-2021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44546</v>
      </c>
      <c r="E338" s="1" t="n">
        <v>46305</v>
      </c>
      <c r="F338" t="inlineStr">
        <is>
          <t>SÖDERMANLANDS LÄN</t>
        </is>
      </c>
      <c r="G338" t="inlineStr">
        <is>
          <t>NYKÖPING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46305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45630</v>
      </c>
      <c r="E340" s="1" t="n">
        <v>46305</v>
      </c>
      <c r="F340" t="inlineStr">
        <is>
          <t>SÖDERMANLANDS LÄN</t>
        </is>
      </c>
      <c r="G340" t="inlineStr">
        <is>
          <t>NYKÖPING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45190</v>
      </c>
      <c r="E341" s="1" t="n">
        <v>46305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46305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Kommuner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44968</v>
      </c>
      <c r="E343" s="1" t="n">
        <v>46305</v>
      </c>
      <c r="F343" t="inlineStr">
        <is>
          <t>SÖDERMANLANDS LÄN</t>
        </is>
      </c>
      <c r="G343" t="inlineStr">
        <is>
          <t>NYKÖPING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46305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46305</v>
      </c>
      <c r="F345" t="inlineStr">
        <is>
          <t>SÖDERMANLANDS LÄN</t>
        </is>
      </c>
      <c r="G345" t="inlineStr">
        <is>
          <t>NYKÖPING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45452</v>
      </c>
      <c r="E346" s="1" t="n">
        <v>46305</v>
      </c>
      <c r="F346" t="inlineStr">
        <is>
          <t>SÖDERMANLANDS LÄN</t>
        </is>
      </c>
      <c r="G346" t="inlineStr">
        <is>
          <t>NYKÖPING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45149</v>
      </c>
      <c r="E347" s="1" t="n">
        <v>46305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46305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46305</v>
      </c>
      <c r="F349" t="inlineStr">
        <is>
          <t>SÖDERMANLANDS LÄN</t>
        </is>
      </c>
      <c r="G349" t="inlineStr">
        <is>
          <t>NYKÖPING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70092-2021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44536</v>
      </c>
      <c r="E350" s="1" t="n">
        <v>46305</v>
      </c>
      <c r="F350" t="inlineStr">
        <is>
          <t>SÖDERMANLANDS LÄN</t>
        </is>
      </c>
      <c r="G350" t="inlineStr">
        <is>
          <t>NYKÖPING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46305</v>
      </c>
      <c r="F351" t="inlineStr">
        <is>
          <t>SÖDERMANLANDS LÄN</t>
        </is>
      </c>
      <c r="G351" t="inlineStr">
        <is>
          <t>NYKÖPING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68024-2021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44525</v>
      </c>
      <c r="E352" s="1" t="n">
        <v>46305</v>
      </c>
      <c r="F352" t="inlineStr">
        <is>
          <t>SÖDERMANLANDS LÄN</t>
        </is>
      </c>
      <c r="G352" t="inlineStr">
        <is>
          <t>NYKÖPING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68030-2021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44525</v>
      </c>
      <c r="E353" s="1" t="n">
        <v>46305</v>
      </c>
      <c r="F353" t="inlineStr">
        <is>
          <t>SÖDERMANLANDS LÄN</t>
        </is>
      </c>
      <c r="G353" t="inlineStr">
        <is>
          <t>NYKÖPING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20327-2023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45056</v>
      </c>
      <c r="E354" s="1" t="n">
        <v>46305</v>
      </c>
      <c r="F354" t="inlineStr">
        <is>
          <t>SÖDERMANLANDS LÄN</t>
        </is>
      </c>
      <c r="G354" t="inlineStr">
        <is>
          <t>NYKÖPING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45132</v>
      </c>
      <c r="E355" s="1" t="n">
        <v>46305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45148</v>
      </c>
      <c r="E356" s="1" t="n">
        <v>46305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46305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Kommuner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38512-2023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46305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Kommuner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56322-2023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45243</v>
      </c>
      <c r="E359" s="1" t="n">
        <v>46305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Kommuner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44575</v>
      </c>
      <c r="E360" s="1" t="n">
        <v>46305</v>
      </c>
      <c r="F360" t="inlineStr">
        <is>
          <t>SÖDERMANLANDS LÄN</t>
        </is>
      </c>
      <c r="G360" t="inlineStr">
        <is>
          <t>NYKÖPING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46305</v>
      </c>
      <c r="F361" t="inlineStr">
        <is>
          <t>SÖDERMANLANDS LÄN</t>
        </is>
      </c>
      <c r="G361" t="inlineStr">
        <is>
          <t>NYKÖPING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46305</v>
      </c>
      <c r="F362" t="inlineStr">
        <is>
          <t>SÖDERMANLANDS LÄN</t>
        </is>
      </c>
      <c r="G362" t="inlineStr">
        <is>
          <t>NYKÖPING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46305</v>
      </c>
      <c r="F363" t="inlineStr">
        <is>
          <t>SÖDERMANLANDS LÄN</t>
        </is>
      </c>
      <c r="G363" t="inlineStr">
        <is>
          <t>NYKÖPING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44581</v>
      </c>
      <c r="E364" s="1" t="n">
        <v>46305</v>
      </c>
      <c r="F364" t="inlineStr">
        <is>
          <t>SÖDERMANLANDS LÄN</t>
        </is>
      </c>
      <c r="G364" t="inlineStr">
        <is>
          <t>NYKÖPING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45635</v>
      </c>
      <c r="E365" s="1" t="n">
        <v>46305</v>
      </c>
      <c r="F365" t="inlineStr">
        <is>
          <t>SÖDERMANLANDS LÄN</t>
        </is>
      </c>
      <c r="G365" t="inlineStr">
        <is>
          <t>NYKÖPING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45146</v>
      </c>
      <c r="E366" s="1" t="n">
        <v>46305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45005</v>
      </c>
      <c r="E367" s="1" t="n">
        <v>46305</v>
      </c>
      <c r="F367" t="inlineStr">
        <is>
          <t>SÖDERMANLANDS LÄN</t>
        </is>
      </c>
      <c r="G367" t="inlineStr">
        <is>
          <t>NYKÖPING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45160</v>
      </c>
      <c r="E368" s="1" t="n">
        <v>46305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Kommuner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44995</v>
      </c>
      <c r="E369" s="1" t="n">
        <v>46305</v>
      </c>
      <c r="F369" t="inlineStr">
        <is>
          <t>SÖDERMANLANDS LÄN</t>
        </is>
      </c>
      <c r="G369" t="inlineStr">
        <is>
          <t>NYKÖPING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65109-2021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44515</v>
      </c>
      <c r="E370" s="1" t="n">
        <v>46305</v>
      </c>
      <c r="F370" t="inlineStr">
        <is>
          <t>SÖDERMANLANDS LÄN</t>
        </is>
      </c>
      <c r="G370" t="inlineStr">
        <is>
          <t>NYKÖPING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34203-2024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45524</v>
      </c>
      <c r="E371" s="1" t="n">
        <v>46305</v>
      </c>
      <c r="F371" t="inlineStr">
        <is>
          <t>SÖDERMANLANDS LÄN</t>
        </is>
      </c>
      <c r="G371" t="inlineStr">
        <is>
          <t>NYKÖPING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46305</v>
      </c>
      <c r="F372" t="inlineStr">
        <is>
          <t>SÖDERMANLANDS LÄN</t>
        </is>
      </c>
      <c r="G372" t="inlineStr">
        <is>
          <t>NYKÖPING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45721</v>
      </c>
      <c r="E373" s="1" t="n">
        <v>46305</v>
      </c>
      <c r="F373" t="inlineStr">
        <is>
          <t>SÖDERMANLANDS LÄN</t>
        </is>
      </c>
      <c r="G373" t="inlineStr">
        <is>
          <t>NYKÖPING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45637</v>
      </c>
      <c r="E374" s="1" t="n">
        <v>46305</v>
      </c>
      <c r="F374" t="inlineStr">
        <is>
          <t>SÖDERMANLANDS LÄN</t>
        </is>
      </c>
      <c r="G374" t="inlineStr">
        <is>
          <t>NYKÖPING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46305</v>
      </c>
      <c r="F375" t="inlineStr">
        <is>
          <t>SÖDERMANLANDS LÄN</t>
        </is>
      </c>
      <c r="G375" t="inlineStr">
        <is>
          <t>NYKÖPING</t>
        </is>
      </c>
      <c r="I375" t="n">
        <v>11.5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9842-2022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44620</v>
      </c>
      <c r="E376" s="1" t="n">
        <v>46305</v>
      </c>
      <c r="F376" t="inlineStr">
        <is>
          <t>SÖDERMANLANDS LÄN</t>
        </is>
      </c>
      <c r="G376" t="inlineStr">
        <is>
          <t>NYKÖPING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46305</v>
      </c>
      <c r="F377" t="inlineStr">
        <is>
          <t>SÖDERMANLANDS LÄN</t>
        </is>
      </c>
      <c r="G377" t="inlineStr">
        <is>
          <t>NYKÖPING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46305</v>
      </c>
      <c r="F378" t="inlineStr">
        <is>
          <t>SÖDERMANLANDS LÄN</t>
        </is>
      </c>
      <c r="G378" t="inlineStr">
        <is>
          <t>NYKÖPING</t>
        </is>
      </c>
      <c r="I378" t="n">
        <v>17.8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46305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Kommuner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45546</v>
      </c>
      <c r="E380" s="1" t="n">
        <v>46305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46305</v>
      </c>
      <c r="F381" t="inlineStr">
        <is>
          <t>SÖDERMANLANDS LÄN</t>
        </is>
      </c>
      <c r="G381" t="inlineStr">
        <is>
          <t>NYKÖPING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46305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44585</v>
      </c>
      <c r="E383" s="1" t="n">
        <v>46305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45114</v>
      </c>
      <c r="E384" s="1" t="n">
        <v>46305</v>
      </c>
      <c r="F384" t="inlineStr">
        <is>
          <t>SÖDERMANLANDS LÄN</t>
        </is>
      </c>
      <c r="G384" t="inlineStr">
        <is>
          <t>NYKÖPING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53071-2024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46305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45855</v>
      </c>
      <c r="E386" s="1" t="n">
        <v>46305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35415-2025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46305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13863-2022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44649</v>
      </c>
      <c r="E388" s="1" t="n">
        <v>46305</v>
      </c>
      <c r="F388" t="inlineStr">
        <is>
          <t>SÖDERMANLANDS LÄN</t>
        </is>
      </c>
      <c r="G388" t="inlineStr">
        <is>
          <t>NYKÖPING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71115-2021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46305</v>
      </c>
      <c r="F389" t="inlineStr">
        <is>
          <t>SÖDERMANLANDS LÄN</t>
        </is>
      </c>
      <c r="G389" t="inlineStr">
        <is>
          <t>NYKÖPING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44957</v>
      </c>
      <c r="E390" s="1" t="n">
        <v>46305</v>
      </c>
      <c r="F390" t="inlineStr">
        <is>
          <t>SÖDERMANLANDS LÄN</t>
        </is>
      </c>
      <c r="G390" t="inlineStr">
        <is>
          <t>NYKÖPING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60634-2022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44911</v>
      </c>
      <c r="E391" s="1" t="n">
        <v>46305</v>
      </c>
      <c r="F391" t="inlineStr">
        <is>
          <t>SÖDERMANLANDS LÄN</t>
        </is>
      </c>
      <c r="G391" t="inlineStr">
        <is>
          <t>NYKÖPING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40635-2023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45170</v>
      </c>
      <c r="E392" s="1" t="n">
        <v>46305</v>
      </c>
      <c r="F392" t="inlineStr">
        <is>
          <t>SÖDERMANLANDS LÄN</t>
        </is>
      </c>
      <c r="G392" t="inlineStr">
        <is>
          <t>NYKÖPING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45051</v>
      </c>
      <c r="E393" s="1" t="n">
        <v>46305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2668-2023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44944</v>
      </c>
      <c r="E394" s="1" t="n">
        <v>46305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44936</v>
      </c>
      <c r="E395" s="1" t="n">
        <v>46305</v>
      </c>
      <c r="F395" t="inlineStr">
        <is>
          <t>SÖDERMANLANDS LÄN</t>
        </is>
      </c>
      <c r="G395" t="inlineStr">
        <is>
          <t>NYKÖPING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46305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55865-2023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46305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44606</v>
      </c>
      <c r="E398" s="1" t="n">
        <v>46305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Allmännings- och besparingsskogar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46305</v>
      </c>
      <c r="F399" t="inlineStr">
        <is>
          <t>SÖDERMANLANDS LÄN</t>
        </is>
      </c>
      <c r="G399" t="inlineStr">
        <is>
          <t>NYKÖPING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45218</v>
      </c>
      <c r="E400" s="1" t="n">
        <v>46305</v>
      </c>
      <c r="F400" t="inlineStr">
        <is>
          <t>SÖDERMANLANDS LÄN</t>
        </is>
      </c>
      <c r="G400" t="inlineStr">
        <is>
          <t>NYKÖPING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44820-2022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44839</v>
      </c>
      <c r="E401" s="1" t="n">
        <v>46305</v>
      </c>
      <c r="F401" t="inlineStr">
        <is>
          <t>SÖDERMANLANDS LÄN</t>
        </is>
      </c>
      <c r="G401" t="inlineStr">
        <is>
          <t>NYKÖPING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44908-2022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44840</v>
      </c>
      <c r="E402" s="1" t="n">
        <v>46305</v>
      </c>
      <c r="F402" t="inlineStr">
        <is>
          <t>SÖDERMANLANDS LÄN</t>
        </is>
      </c>
      <c r="G402" t="inlineStr">
        <is>
          <t>NYKÖPING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45855</v>
      </c>
      <c r="E403" s="1" t="n">
        <v>46305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45855</v>
      </c>
      <c r="E404" s="1" t="n">
        <v>46305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46305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32837-2022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44784</v>
      </c>
      <c r="E406" s="1" t="n">
        <v>46305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Kommuner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46305</v>
      </c>
      <c r="F407" t="inlineStr">
        <is>
          <t>SÖDERMANLANDS LÄN</t>
        </is>
      </c>
      <c r="G407" t="inlineStr">
        <is>
          <t>NYKÖPING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52546-2023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45218</v>
      </c>
      <c r="E408" s="1" t="n">
        <v>46305</v>
      </c>
      <c r="F408" t="inlineStr">
        <is>
          <t>SÖDERMANLANDS LÄN</t>
        </is>
      </c>
      <c r="G408" t="inlineStr">
        <is>
          <t>NYKÖPING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45153</v>
      </c>
      <c r="E409" s="1" t="n">
        <v>46305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Kommuner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45072</v>
      </c>
      <c r="E410" s="1" t="n">
        <v>46305</v>
      </c>
      <c r="F410" t="inlineStr">
        <is>
          <t>SÖDERMANLANDS LÄN</t>
        </is>
      </c>
      <c r="G410" t="inlineStr">
        <is>
          <t>NYKÖPING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14370-2022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44652</v>
      </c>
      <c r="E411" s="1" t="n">
        <v>46305</v>
      </c>
      <c r="F411" t="inlineStr">
        <is>
          <t>SÖDERMANLANDS LÄN</t>
        </is>
      </c>
      <c r="G411" t="inlineStr">
        <is>
          <t>NYKÖPING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46305</v>
      </c>
      <c r="F412" t="inlineStr">
        <is>
          <t>SÖDERMANLANDS LÄN</t>
        </is>
      </c>
      <c r="G412" t="inlineStr">
        <is>
          <t>NYKÖPING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45044</v>
      </c>
      <c r="E413" s="1" t="n">
        <v>46305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44992</v>
      </c>
      <c r="E414" s="1" t="n">
        <v>46305</v>
      </c>
      <c r="F414" t="inlineStr">
        <is>
          <t>SÖDERMANLANDS LÄN</t>
        </is>
      </c>
      <c r="G414" t="inlineStr">
        <is>
          <t>NYKÖPING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45730</v>
      </c>
      <c r="E415" s="1" t="n">
        <v>46305</v>
      </c>
      <c r="F415" t="inlineStr">
        <is>
          <t>SÖDERMANLANDS LÄN</t>
        </is>
      </c>
      <c r="G415" t="inlineStr">
        <is>
          <t>NYKÖPING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11728-2022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44634</v>
      </c>
      <c r="E416" s="1" t="n">
        <v>46305</v>
      </c>
      <c r="F416" t="inlineStr">
        <is>
          <t>SÖDERMANLANDS LÄN</t>
        </is>
      </c>
      <c r="G416" t="inlineStr">
        <is>
          <t>NYKÖPING</t>
        </is>
      </c>
      <c r="I416" t="n">
        <v>11.4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46305</v>
      </c>
      <c r="F417" t="inlineStr">
        <is>
          <t>SÖDERMANLANDS LÄN</t>
        </is>
      </c>
      <c r="G417" t="inlineStr">
        <is>
          <t>NYKÖPING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46305</v>
      </c>
      <c r="F418" t="inlineStr">
        <is>
          <t>SÖDERMANLANDS LÄN</t>
        </is>
      </c>
      <c r="G418" t="inlineStr">
        <is>
          <t>NYKÖPING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45187</v>
      </c>
      <c r="E419" s="1" t="n">
        <v>46305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51243-2024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46305</v>
      </c>
      <c r="F420" t="inlineStr">
        <is>
          <t>SÖDERMANLANDS LÄN</t>
        </is>
      </c>
      <c r="G420" t="inlineStr">
        <is>
          <t>NYKÖPING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46305</v>
      </c>
      <c r="F421" t="inlineStr">
        <is>
          <t>SÖDERMANLANDS LÄN</t>
        </is>
      </c>
      <c r="G421" t="inlineStr">
        <is>
          <t>NYKÖPING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46305</v>
      </c>
      <c r="F422" t="inlineStr">
        <is>
          <t>SÖDERMANLANDS LÄN</t>
        </is>
      </c>
      <c r="G422" t="inlineStr">
        <is>
          <t>NYKÖPING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12844-2025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46305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58857-2021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44489</v>
      </c>
      <c r="E424" s="1" t="n">
        <v>46305</v>
      </c>
      <c r="F424" t="inlineStr">
        <is>
          <t>SÖDERMANLANDS LÄN</t>
        </is>
      </c>
      <c r="G424" t="inlineStr">
        <is>
          <t>NYKÖPING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46305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38922-2024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45547</v>
      </c>
      <c r="E426" s="1" t="n">
        <v>46305</v>
      </c>
      <c r="F426" t="inlineStr">
        <is>
          <t>SÖDERMANLANDS LÄN</t>
        </is>
      </c>
      <c r="G426" t="inlineStr">
        <is>
          <t>NYKÖPING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44990</v>
      </c>
      <c r="E427" s="1" t="n">
        <v>46305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Allmännings- och besparingsskogar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45712</v>
      </c>
      <c r="E428" s="1" t="n">
        <v>46305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32928-2022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44784</v>
      </c>
      <c r="E429" s="1" t="n">
        <v>46305</v>
      </c>
      <c r="F429" t="inlineStr">
        <is>
          <t>SÖDERMANLANDS LÄN</t>
        </is>
      </c>
      <c r="G429" t="inlineStr">
        <is>
          <t>NYKÖPING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2598-2025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45674</v>
      </c>
      <c r="E430" s="1" t="n">
        <v>46305</v>
      </c>
      <c r="F430" t="inlineStr">
        <is>
          <t>SÖDERMANLANDS LÄN</t>
        </is>
      </c>
      <c r="G430" t="inlineStr">
        <is>
          <t>NYKÖPING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46305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45343</v>
      </c>
      <c r="E432" s="1" t="n">
        <v>46305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Kommuner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45027</v>
      </c>
      <c r="E433" s="1" t="n">
        <v>46305</v>
      </c>
      <c r="F433" t="inlineStr">
        <is>
          <t>SÖDERMANLANDS LÄN</t>
        </is>
      </c>
      <c r="G433" t="inlineStr">
        <is>
          <t>NYKÖPING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45817</v>
      </c>
      <c r="E434" s="1" t="n">
        <v>46305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45817</v>
      </c>
      <c r="E435" s="1" t="n">
        <v>46305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44744</v>
      </c>
      <c r="E436" s="1" t="n">
        <v>46305</v>
      </c>
      <c r="F436" t="inlineStr">
        <is>
          <t>SÖDERMANLANDS LÄN</t>
        </is>
      </c>
      <c r="G436" t="inlineStr">
        <is>
          <t>NYKÖPING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46305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Övriga Aktiebolag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45161</v>
      </c>
      <c r="E438" s="1" t="n">
        <v>46305</v>
      </c>
      <c r="F438" t="inlineStr">
        <is>
          <t>SÖDERMANLANDS LÄN</t>
        </is>
      </c>
      <c r="G438" t="inlineStr">
        <is>
          <t>NYKÖPING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44893</v>
      </c>
      <c r="E439" s="1" t="n">
        <v>46305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Övriga Aktiebolag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45146</v>
      </c>
      <c r="E440" s="1" t="n">
        <v>46305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46305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45110</v>
      </c>
      <c r="E442" s="1" t="n">
        <v>46305</v>
      </c>
      <c r="F442" t="inlineStr">
        <is>
          <t>SÖDERMANLANDS LÄN</t>
        </is>
      </c>
      <c r="G442" t="inlineStr">
        <is>
          <t>NYKÖPING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46305</v>
      </c>
      <c r="F443" t="inlineStr">
        <is>
          <t>SÖDERMANLANDS LÄN</t>
        </is>
      </c>
      <c r="G443" t="inlineStr">
        <is>
          <t>NYKÖPING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15056-2025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45743</v>
      </c>
      <c r="E444" s="1" t="n">
        <v>46305</v>
      </c>
      <c r="F444" t="inlineStr">
        <is>
          <t>SÖDERMANLANDS LÄN</t>
        </is>
      </c>
      <c r="G444" t="inlineStr">
        <is>
          <t>NYKÖPING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38317-2022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44812</v>
      </c>
      <c r="E445" s="1" t="n">
        <v>46305</v>
      </c>
      <c r="F445" t="inlineStr">
        <is>
          <t>SÖDERMANLANDS LÄN</t>
        </is>
      </c>
      <c r="G445" t="inlineStr">
        <is>
          <t>NYKÖPING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46305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Aktiebolag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46305</v>
      </c>
      <c r="F447" t="inlineStr">
        <is>
          <t>SÖDERMANLANDS LÄN</t>
        </is>
      </c>
      <c r="G447" t="inlineStr">
        <is>
          <t>NYKÖPING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56228-2024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45624</v>
      </c>
      <c r="E448" s="1" t="n">
        <v>46305</v>
      </c>
      <c r="F448" t="inlineStr">
        <is>
          <t>SÖDERMANLANDS LÄN</t>
        </is>
      </c>
      <c r="G448" t="inlineStr">
        <is>
          <t>NYKÖPING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21925-2022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44711</v>
      </c>
      <c r="E449" s="1" t="n">
        <v>46305</v>
      </c>
      <c r="F449" t="inlineStr">
        <is>
          <t>SÖDERMANLANDS LÄN</t>
        </is>
      </c>
      <c r="G449" t="inlineStr">
        <is>
          <t>NYKÖPING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44958</v>
      </c>
      <c r="E450" s="1" t="n">
        <v>46305</v>
      </c>
      <c r="F450" t="inlineStr">
        <is>
          <t>SÖDERMANLANDS LÄN</t>
        </is>
      </c>
      <c r="G450" t="inlineStr">
        <is>
          <t>NYKÖPING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44960</v>
      </c>
      <c r="E451" s="1" t="n">
        <v>46305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13858-2022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44649</v>
      </c>
      <c r="E452" s="1" t="n">
        <v>46305</v>
      </c>
      <c r="F452" t="inlineStr">
        <is>
          <t>SÖDERMANLANDS LÄN</t>
        </is>
      </c>
      <c r="G452" t="inlineStr">
        <is>
          <t>NYKÖPING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46305</v>
      </c>
      <c r="F453" t="inlineStr">
        <is>
          <t>SÖDERMANLANDS LÄN</t>
        </is>
      </c>
      <c r="G453" t="inlineStr">
        <is>
          <t>NYKÖPING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37907-2022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44811</v>
      </c>
      <c r="E454" s="1" t="n">
        <v>46305</v>
      </c>
      <c r="F454" t="inlineStr">
        <is>
          <t>SÖDERMANLANDS LÄN</t>
        </is>
      </c>
      <c r="G454" t="inlineStr">
        <is>
          <t>NYKÖPING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44810</v>
      </c>
      <c r="E455" s="1" t="n">
        <v>46305</v>
      </c>
      <c r="F455" t="inlineStr">
        <is>
          <t>SÖDERMANLANDS LÄN</t>
        </is>
      </c>
      <c r="G455" t="inlineStr">
        <is>
          <t>NYKÖPING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43952-2022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44838</v>
      </c>
      <c r="E456" s="1" t="n">
        <v>46305</v>
      </c>
      <c r="F456" t="inlineStr">
        <is>
          <t>SÖDERMANLANDS LÄN</t>
        </is>
      </c>
      <c r="G456" t="inlineStr">
        <is>
          <t>NYKÖPING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44965</v>
      </c>
      <c r="E457" s="1" t="n">
        <v>46305</v>
      </c>
      <c r="F457" t="inlineStr">
        <is>
          <t>SÖDERMANLANDS LÄN</t>
        </is>
      </c>
      <c r="G457" t="inlineStr">
        <is>
          <t>NYKÖPING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44839</v>
      </c>
      <c r="E458" s="1" t="n">
        <v>46305</v>
      </c>
      <c r="F458" t="inlineStr">
        <is>
          <t>SÖDERMANLANDS LÄN</t>
        </is>
      </c>
      <c r="G458" t="inlineStr">
        <is>
          <t>NYKÖPING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46305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Sveaskog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6519-2023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44965</v>
      </c>
      <c r="E460" s="1" t="n">
        <v>46305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Kyrkan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46305</v>
      </c>
      <c r="F461" t="inlineStr">
        <is>
          <t>SÖDERMANLANDS LÄN</t>
        </is>
      </c>
      <c r="G461" t="inlineStr">
        <is>
          <t>NYKÖPING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31034-2025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45831</v>
      </c>
      <c r="E462" s="1" t="n">
        <v>46305</v>
      </c>
      <c r="F462" t="inlineStr">
        <is>
          <t>SÖDERMANLANDS LÄN</t>
        </is>
      </c>
      <c r="G462" t="inlineStr">
        <is>
          <t>NYKÖPING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46305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45900</v>
      </c>
      <c r="E464" s="1" t="n">
        <v>46305</v>
      </c>
      <c r="F464" t="inlineStr">
        <is>
          <t>SÖDERMANLANDS LÄN</t>
        </is>
      </c>
      <c r="G464" t="inlineStr">
        <is>
          <t>NYKÖPING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52572-2025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45954</v>
      </c>
      <c r="E465" s="1" t="n">
        <v>46305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45954</v>
      </c>
      <c r="E466" s="1" t="n">
        <v>46305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17315-2024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45414</v>
      </c>
      <c r="E467" s="1" t="n">
        <v>46305</v>
      </c>
      <c r="F467" t="inlineStr">
        <is>
          <t>SÖDERMANLANDS LÄN</t>
        </is>
      </c>
      <c r="G467" t="inlineStr">
        <is>
          <t>NYKÖPING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45820</v>
      </c>
      <c r="E468" s="1" t="n">
        <v>46305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45798</v>
      </c>
      <c r="E469" s="1" t="n">
        <v>46305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24798-2022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44728</v>
      </c>
      <c r="E470" s="1" t="n">
        <v>46305</v>
      </c>
      <c r="F470" t="inlineStr">
        <is>
          <t>SÖDERMANLANDS LÄN</t>
        </is>
      </c>
      <c r="G470" t="inlineStr">
        <is>
          <t>NYKÖPING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35019-2023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45143</v>
      </c>
      <c r="E471" s="1" t="n">
        <v>46305</v>
      </c>
      <c r="F471" t="inlineStr">
        <is>
          <t>SÖDERMANLANDS LÄN</t>
        </is>
      </c>
      <c r="G471" t="inlineStr">
        <is>
          <t>NYKÖPING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39321-2023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46305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45685</v>
      </c>
      <c r="E473" s="1" t="n">
        <v>46305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45685</v>
      </c>
      <c r="E474" s="1" t="n">
        <v>46305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31923-2025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45834</v>
      </c>
      <c r="E475" s="1" t="n">
        <v>46305</v>
      </c>
      <c r="F475" t="inlineStr">
        <is>
          <t>SÖDERMANLANDS LÄN</t>
        </is>
      </c>
      <c r="G475" t="inlineStr">
        <is>
          <t>NYKÖPING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45834</v>
      </c>
      <c r="E476" s="1" t="n">
        <v>46305</v>
      </c>
      <c r="F476" t="inlineStr">
        <is>
          <t>SÖDERMANLANDS LÄN</t>
        </is>
      </c>
      <c r="G476" t="inlineStr">
        <is>
          <t>NYKÖPING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30639-2023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46305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31922-2025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45834</v>
      </c>
      <c r="E478" s="1" t="n">
        <v>46305</v>
      </c>
      <c r="F478" t="inlineStr">
        <is>
          <t>SÖDERMANLANDS LÄN</t>
        </is>
      </c>
      <c r="G478" t="inlineStr">
        <is>
          <t>NYKÖPING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45834</v>
      </c>
      <c r="E479" s="1" t="n">
        <v>46305</v>
      </c>
      <c r="F479" t="inlineStr">
        <is>
          <t>SÖDERMANLANDS LÄN</t>
        </is>
      </c>
      <c r="G479" t="inlineStr">
        <is>
          <t>NYKÖPING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24280-2022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44725</v>
      </c>
      <c r="E480" s="1" t="n">
        <v>46305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44998</v>
      </c>
      <c r="E481" s="1" t="n">
        <v>46305</v>
      </c>
      <c r="F481" t="inlineStr">
        <is>
          <t>SÖDERMANLANDS LÄN</t>
        </is>
      </c>
      <c r="G481" t="inlineStr">
        <is>
          <t>NYKÖPING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44774</v>
      </c>
      <c r="E482" s="1" t="n">
        <v>46305</v>
      </c>
      <c r="F482" t="inlineStr">
        <is>
          <t>SÖDERMANLANDS LÄN</t>
        </is>
      </c>
      <c r="G482" t="inlineStr">
        <is>
          <t>NYKÖPING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44678</v>
      </c>
      <c r="E483" s="1" t="n">
        <v>46305</v>
      </c>
      <c r="F483" t="inlineStr">
        <is>
          <t>SÖDERMANLANDS LÄN</t>
        </is>
      </c>
      <c r="G483" t="inlineStr">
        <is>
          <t>NYKÖPING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47370-2022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44853</v>
      </c>
      <c r="E484" s="1" t="n">
        <v>46305</v>
      </c>
      <c r="F484" t="inlineStr">
        <is>
          <t>SÖDERMANLANDS LÄN</t>
        </is>
      </c>
      <c r="G484" t="inlineStr">
        <is>
          <t>NYKÖPING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45033</v>
      </c>
      <c r="E485" s="1" t="n">
        <v>46305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16.5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45385</v>
      </c>
      <c r="E486" s="1" t="n">
        <v>46305</v>
      </c>
      <c r="F486" t="inlineStr">
        <is>
          <t>SÖDERMANLANDS LÄN</t>
        </is>
      </c>
      <c r="G486" t="inlineStr">
        <is>
          <t>NYKÖPING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59613-2021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44491</v>
      </c>
      <c r="E487" s="1" t="n">
        <v>46305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Övriga Aktiebolag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45602</v>
      </c>
      <c r="E488" s="1" t="n">
        <v>46305</v>
      </c>
      <c r="F488" t="inlineStr">
        <is>
          <t>SÖDERMANLANDS LÄN</t>
        </is>
      </c>
      <c r="G488" t="inlineStr">
        <is>
          <t>NYKÖPING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46305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45062</v>
      </c>
      <c r="E490" s="1" t="n">
        <v>46305</v>
      </c>
      <c r="F490" t="inlineStr">
        <is>
          <t>SÖDERMANLANDS LÄN</t>
        </is>
      </c>
      <c r="G490" t="inlineStr">
        <is>
          <t>NYKÖPING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13455-2022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44645</v>
      </c>
      <c r="E491" s="1" t="n">
        <v>46305</v>
      </c>
      <c r="F491" t="inlineStr">
        <is>
          <t>SÖDERMANLANDS LÄN</t>
        </is>
      </c>
      <c r="G491" t="inlineStr">
        <is>
          <t>NYKÖPING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21987-2024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45443</v>
      </c>
      <c r="E492" s="1" t="n">
        <v>46305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33767-2025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45842</v>
      </c>
      <c r="E493" s="1" t="n">
        <v>46305</v>
      </c>
      <c r="F493" t="inlineStr">
        <is>
          <t>SÖDERMANLANDS LÄN</t>
        </is>
      </c>
      <c r="G493" t="inlineStr">
        <is>
          <t>NYKÖPING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46305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Övriga statliga verk och myndigheter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44733</v>
      </c>
      <c r="E495" s="1" t="n">
        <v>46305</v>
      </c>
      <c r="F495" t="inlineStr">
        <is>
          <t>SÖDERMANLANDS LÄN</t>
        </is>
      </c>
      <c r="G495" t="inlineStr">
        <is>
          <t>NYKÖPING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45842</v>
      </c>
      <c r="E496" s="1" t="n">
        <v>46305</v>
      </c>
      <c r="F496" t="inlineStr">
        <is>
          <t>SÖDERMANLANDS LÄN</t>
        </is>
      </c>
      <c r="G496" t="inlineStr">
        <is>
          <t>NYKÖPING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33382-2025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46305</v>
      </c>
      <c r="F497" t="inlineStr">
        <is>
          <t>SÖDERMANLANDS LÄN</t>
        </is>
      </c>
      <c r="G497" t="inlineStr">
        <is>
          <t>NYKÖPING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45210</v>
      </c>
      <c r="E498" s="1" t="n">
        <v>46305</v>
      </c>
      <c r="F498" t="inlineStr">
        <is>
          <t>SÖDERMANLANDS LÄN</t>
        </is>
      </c>
      <c r="G498" t="inlineStr">
        <is>
          <t>NYKÖPING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45842</v>
      </c>
      <c r="E499" s="1" t="n">
        <v>46305</v>
      </c>
      <c r="F499" t="inlineStr">
        <is>
          <t>SÖDERMANLANDS LÄN</t>
        </is>
      </c>
      <c r="G499" t="inlineStr">
        <is>
          <t>NYKÖPING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33764-2025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45842</v>
      </c>
      <c r="E500" s="1" t="n">
        <v>46305</v>
      </c>
      <c r="F500" t="inlineStr">
        <is>
          <t>SÖDERMANLANDS LÄN</t>
        </is>
      </c>
      <c r="G500" t="inlineStr">
        <is>
          <t>NYKÖPING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51699-2023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45222</v>
      </c>
      <c r="E501" s="1" t="n">
        <v>46305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45461</v>
      </c>
      <c r="E502" s="1" t="n">
        <v>46305</v>
      </c>
      <c r="F502" t="inlineStr">
        <is>
          <t>SÖDERMANLANDS LÄN</t>
        </is>
      </c>
      <c r="G502" t="inlineStr">
        <is>
          <t>NYKÖPING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35532-2022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44799</v>
      </c>
      <c r="E503" s="1" t="n">
        <v>46305</v>
      </c>
      <c r="F503" t="inlineStr">
        <is>
          <t>SÖDERMANLANDS LÄN</t>
        </is>
      </c>
      <c r="G503" t="inlineStr">
        <is>
          <t>NYKÖPING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45844</v>
      </c>
      <c r="E504" s="1" t="n">
        <v>46305</v>
      </c>
      <c r="F504" t="inlineStr">
        <is>
          <t>SÖDERMANLANDS LÄN</t>
        </is>
      </c>
      <c r="G504" t="inlineStr">
        <is>
          <t>NYKÖPING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45970</v>
      </c>
      <c r="E505" s="1" t="n">
        <v>46305</v>
      </c>
      <c r="F505" t="inlineStr">
        <is>
          <t>SÖDERMANLANDS LÄN</t>
        </is>
      </c>
      <c r="G505" t="inlineStr">
        <is>
          <t>NYKÖPING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46305</v>
      </c>
      <c r="F506" t="inlineStr">
        <is>
          <t>SÖDERMANLANDS LÄN</t>
        </is>
      </c>
      <c r="G506" t="inlineStr">
        <is>
          <t>NYKÖPING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45705</v>
      </c>
      <c r="E507" s="1" t="n">
        <v>46305</v>
      </c>
      <c r="F507" t="inlineStr">
        <is>
          <t>SÖDERMANLANDS LÄN</t>
        </is>
      </c>
      <c r="G507" t="inlineStr">
        <is>
          <t>NYKÖPING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45712</v>
      </c>
      <c r="E508" s="1" t="n">
        <v>46305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56128-2025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45974</v>
      </c>
      <c r="E509" s="1" t="n">
        <v>46305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44725</v>
      </c>
      <c r="E510" s="1" t="n">
        <v>46305</v>
      </c>
      <c r="F510" t="inlineStr">
        <is>
          <t>SÖDERMANLANDS LÄN</t>
        </is>
      </c>
      <c r="G510" t="inlineStr">
        <is>
          <t>NYKÖPING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45727</v>
      </c>
      <c r="E511" s="1" t="n">
        <v>46305</v>
      </c>
      <c r="F511" t="inlineStr">
        <is>
          <t>SÖDERMANLANDS LÄN</t>
        </is>
      </c>
      <c r="G511" t="inlineStr">
        <is>
          <t>NYKÖPING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26993-2022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44740</v>
      </c>
      <c r="E512" s="1" t="n">
        <v>46305</v>
      </c>
      <c r="F512" t="inlineStr">
        <is>
          <t>SÖDERMANLANDS LÄN</t>
        </is>
      </c>
      <c r="G512" t="inlineStr">
        <is>
          <t>NYKÖPING</t>
        </is>
      </c>
      <c r="I512" t="n">
        <v>13.1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65231-2023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45289</v>
      </c>
      <c r="E513" s="1" t="n">
        <v>46305</v>
      </c>
      <c r="F513" t="inlineStr">
        <is>
          <t>SÖDERMANLANDS LÄN</t>
        </is>
      </c>
      <c r="G513" t="inlineStr">
        <is>
          <t>NYKÖPING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46305</v>
      </c>
      <c r="F514" t="inlineStr">
        <is>
          <t>SÖDERMANLANDS LÄN</t>
        </is>
      </c>
      <c r="G514" t="inlineStr">
        <is>
          <t>NYKÖPING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35252-2022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46305</v>
      </c>
      <c r="F515" t="inlineStr">
        <is>
          <t>SÖDERMANLANDS LÄN</t>
        </is>
      </c>
      <c r="G515" t="inlineStr">
        <is>
          <t>NYKÖPING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45860</v>
      </c>
      <c r="E516" s="1" t="n">
        <v>46305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44977</v>
      </c>
      <c r="E517" s="1" t="n">
        <v>46305</v>
      </c>
      <c r="F517" t="inlineStr">
        <is>
          <t>SÖDERMANLANDS LÄN</t>
        </is>
      </c>
      <c r="G517" t="inlineStr">
        <is>
          <t>NYKÖPING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16906-2022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44676</v>
      </c>
      <c r="E518" s="1" t="n">
        <v>46305</v>
      </c>
      <c r="F518" t="inlineStr">
        <is>
          <t>SÖDERMANLANDS LÄN</t>
        </is>
      </c>
      <c r="G518" t="inlineStr">
        <is>
          <t>NYKÖPING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30907-2022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44767</v>
      </c>
      <c r="E519" s="1" t="n">
        <v>46305</v>
      </c>
      <c r="F519" t="inlineStr">
        <is>
          <t>SÖDERMANLANDS LÄN</t>
        </is>
      </c>
      <c r="G519" t="inlineStr">
        <is>
          <t>NYKÖPING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45926-2022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44846</v>
      </c>
      <c r="E520" s="1" t="n">
        <v>46305</v>
      </c>
      <c r="F520" t="inlineStr">
        <is>
          <t>SÖDERMANLANDS LÄN</t>
        </is>
      </c>
      <c r="G520" t="inlineStr">
        <is>
          <t>NYKÖPING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46305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44944</v>
      </c>
      <c r="E522" s="1" t="n">
        <v>46305</v>
      </c>
      <c r="F522" t="inlineStr">
        <is>
          <t>SÖDERMANLANDS LÄN</t>
        </is>
      </c>
      <c r="G522" t="inlineStr">
        <is>
          <t>NYKÖPING</t>
        </is>
      </c>
      <c r="I522" t="n">
        <v>14.9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7756-2024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45348</v>
      </c>
      <c r="E523" s="1" t="n">
        <v>46305</v>
      </c>
      <c r="F523" t="inlineStr">
        <is>
          <t>SÖDERMANLANDS LÄN</t>
        </is>
      </c>
      <c r="G523" t="inlineStr">
        <is>
          <t>NYKÖPING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7824-2024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45349</v>
      </c>
      <c r="E524" s="1" t="n">
        <v>46305</v>
      </c>
      <c r="F524" t="inlineStr">
        <is>
          <t>SÖDERMANLANDS LÄN</t>
        </is>
      </c>
      <c r="G524" t="inlineStr">
        <is>
          <t>NYKÖPING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7496-2022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44607</v>
      </c>
      <c r="E525" s="1" t="n">
        <v>46305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44582</v>
      </c>
      <c r="E526" s="1" t="n">
        <v>46305</v>
      </c>
      <c r="F526" t="inlineStr">
        <is>
          <t>SÖDERMANLANDS LÄN</t>
        </is>
      </c>
      <c r="G526" t="inlineStr">
        <is>
          <t>NYKÖPING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37941-2022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44810</v>
      </c>
      <c r="E527" s="1" t="n">
        <v>46305</v>
      </c>
      <c r="F527" t="inlineStr">
        <is>
          <t>SÖDERMANLANDS LÄN</t>
        </is>
      </c>
      <c r="G527" t="inlineStr">
        <is>
          <t>NYKÖPING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45216</v>
      </c>
      <c r="E528" s="1" t="n">
        <v>46305</v>
      </c>
      <c r="F528" t="inlineStr">
        <is>
          <t>SÖDERMANLANDS LÄN</t>
        </is>
      </c>
      <c r="G528" t="inlineStr">
        <is>
          <t>NYKÖPING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38149-2024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45545</v>
      </c>
      <c r="E529" s="1" t="n">
        <v>46305</v>
      </c>
      <c r="F529" t="inlineStr">
        <is>
          <t>SÖDERMANLANDS LÄN</t>
        </is>
      </c>
      <c r="G529" t="inlineStr">
        <is>
          <t>NYKÖPING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48484-2022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44858</v>
      </c>
      <c r="E530" s="1" t="n">
        <v>46305</v>
      </c>
      <c r="F530" t="inlineStr">
        <is>
          <t>SÖDERMANLANDS LÄN</t>
        </is>
      </c>
      <c r="G530" t="inlineStr">
        <is>
          <t>NYKÖPING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30198-2022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44757</v>
      </c>
      <c r="E531" s="1" t="n">
        <v>46305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45224</v>
      </c>
      <c r="E532" s="1" t="n">
        <v>46305</v>
      </c>
      <c r="F532" t="inlineStr">
        <is>
          <t>SÖDERMANLANDS LÄN</t>
        </is>
      </c>
      <c r="G532" t="inlineStr">
        <is>
          <t>NYKÖPING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46305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57324-2025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46305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46305</v>
      </c>
      <c r="F535" t="inlineStr">
        <is>
          <t>SÖDERMANLANDS LÄN</t>
        </is>
      </c>
      <c r="G535" t="inlineStr">
        <is>
          <t>NYKÖPING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46305</v>
      </c>
      <c r="F536" t="inlineStr">
        <is>
          <t>SÖDERMANLANDS LÄN</t>
        </is>
      </c>
      <c r="G536" t="inlineStr">
        <is>
          <t>NYKÖPING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44575</v>
      </c>
      <c r="E537" s="1" t="n">
        <v>46305</v>
      </c>
      <c r="F537" t="inlineStr">
        <is>
          <t>SÖDERMANLANDS LÄN</t>
        </is>
      </c>
      <c r="G537" t="inlineStr">
        <is>
          <t>NYKÖPING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46305</v>
      </c>
      <c r="F538" t="inlineStr">
        <is>
          <t>SÖDERMANLANDS LÄN</t>
        </is>
      </c>
      <c r="G538" t="inlineStr">
        <is>
          <t>NYKÖPING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44575</v>
      </c>
      <c r="E539" s="1" t="n">
        <v>46305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57937-2025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45982</v>
      </c>
      <c r="E540" s="1" t="n">
        <v>46305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12144-2025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46305</v>
      </c>
      <c r="F541" t="inlineStr">
        <is>
          <t>SÖDERMANLANDS LÄN</t>
        </is>
      </c>
      <c r="G541" t="inlineStr">
        <is>
          <t>NYKÖPING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49289-2023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45210</v>
      </c>
      <c r="E542" s="1" t="n">
        <v>46305</v>
      </c>
      <c r="F542" t="inlineStr">
        <is>
          <t>SÖDERMANLANDS LÄN</t>
        </is>
      </c>
      <c r="G542" t="inlineStr">
        <is>
          <t>NYKÖPING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62948-2023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45271</v>
      </c>
      <c r="E543" s="1" t="n">
        <v>46305</v>
      </c>
      <c r="F543" t="inlineStr">
        <is>
          <t>SÖDERMANLANDS LÄN</t>
        </is>
      </c>
      <c r="G543" t="inlineStr">
        <is>
          <t>NYKÖPING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15047-2025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46305</v>
      </c>
      <c r="F544" t="inlineStr">
        <is>
          <t>SÖDERMANLANDS LÄN</t>
        </is>
      </c>
      <c r="G544" t="inlineStr">
        <is>
          <t>NYKÖPING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45761</v>
      </c>
      <c r="E545" s="1" t="n">
        <v>46305</v>
      </c>
      <c r="F545" t="inlineStr">
        <is>
          <t>SÖDERMANLANDS LÄN</t>
        </is>
      </c>
      <c r="G545" t="inlineStr">
        <is>
          <t>NYKÖPING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30855-2023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45110</v>
      </c>
      <c r="E546" s="1" t="n">
        <v>46305</v>
      </c>
      <c r="F546" t="inlineStr">
        <is>
          <t>SÖDERMANLANDS LÄN</t>
        </is>
      </c>
      <c r="G546" t="inlineStr">
        <is>
          <t>NYKÖPING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47260-2023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45202</v>
      </c>
      <c r="E547" s="1" t="n">
        <v>46305</v>
      </c>
      <c r="F547" t="inlineStr">
        <is>
          <t>SÖDERMANLANDS LÄN</t>
        </is>
      </c>
      <c r="G547" t="inlineStr">
        <is>
          <t>NYKÖPING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32594-2022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44783</v>
      </c>
      <c r="E548" s="1" t="n">
        <v>46305</v>
      </c>
      <c r="F548" t="inlineStr">
        <is>
          <t>SÖDERMANLANDS LÄN</t>
        </is>
      </c>
      <c r="G548" t="inlineStr">
        <is>
          <t>NYKÖPING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45672</v>
      </c>
      <c r="E549" s="1" t="n">
        <v>46305</v>
      </c>
      <c r="F549" t="inlineStr">
        <is>
          <t>SÖDERMANLANDS LÄN</t>
        </is>
      </c>
      <c r="G549" t="inlineStr">
        <is>
          <t>NYKÖPING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45278</v>
      </c>
      <c r="E550" s="1" t="n">
        <v>46305</v>
      </c>
      <c r="F550" t="inlineStr">
        <is>
          <t>SÖDERMANLANDS LÄN</t>
        </is>
      </c>
      <c r="G550" t="inlineStr">
        <is>
          <t>NYKÖPING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46305</v>
      </c>
      <c r="F551" t="inlineStr">
        <is>
          <t>SÖDERMANLANDS LÄN</t>
        </is>
      </c>
      <c r="G551" t="inlineStr">
        <is>
          <t>NYKÖPING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44620</v>
      </c>
      <c r="E552" s="1" t="n">
        <v>46305</v>
      </c>
      <c r="F552" t="inlineStr">
        <is>
          <t>SÖDERMANLANDS LÄN</t>
        </is>
      </c>
      <c r="G552" t="inlineStr">
        <is>
          <t>NYKÖPING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46305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Övriga Aktiebolag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57028-2024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45628</v>
      </c>
      <c r="E554" s="1" t="n">
        <v>46305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44698</v>
      </c>
      <c r="E555" s="1" t="n">
        <v>46305</v>
      </c>
      <c r="F555" t="inlineStr">
        <is>
          <t>SÖDERMANLANDS LÄN</t>
        </is>
      </c>
      <c r="G555" t="inlineStr">
        <is>
          <t>NYKÖPING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71555-2021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44540</v>
      </c>
      <c r="E556" s="1" t="n">
        <v>46305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6976-2023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44967</v>
      </c>
      <c r="E557" s="1" t="n">
        <v>46305</v>
      </c>
      <c r="F557" t="inlineStr">
        <is>
          <t>SÖDERMANLANDS LÄN</t>
        </is>
      </c>
      <c r="G557" t="inlineStr">
        <is>
          <t>NYKÖPING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45183</v>
      </c>
      <c r="E558" s="1" t="n">
        <v>46305</v>
      </c>
      <c r="F558" t="inlineStr">
        <is>
          <t>SÖDERMANLANDS LÄN</t>
        </is>
      </c>
      <c r="G558" t="inlineStr">
        <is>
          <t>NYKÖPING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45069</v>
      </c>
      <c r="E559" s="1" t="n">
        <v>46305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42246-2022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44830</v>
      </c>
      <c r="E560" s="1" t="n">
        <v>46305</v>
      </c>
      <c r="F560" t="inlineStr">
        <is>
          <t>SÖDERMANLANDS LÄN</t>
        </is>
      </c>
      <c r="G560" t="inlineStr">
        <is>
          <t>NYKÖPING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44910</v>
      </c>
      <c r="E561" s="1" t="n">
        <v>46305</v>
      </c>
      <c r="F561" t="inlineStr">
        <is>
          <t>SÖDERMANLANDS LÄN</t>
        </is>
      </c>
      <c r="G561" t="inlineStr">
        <is>
          <t>NYKÖPING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34218-2024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45524</v>
      </c>
      <c r="E562" s="1" t="n">
        <v>46305</v>
      </c>
      <c r="F562" t="inlineStr">
        <is>
          <t>SÖDERMANLANDS LÄN</t>
        </is>
      </c>
      <c r="G562" t="inlineStr">
        <is>
          <t>NYKÖPING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46305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44825</v>
      </c>
      <c r="E564" s="1" t="n">
        <v>46305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4406-2024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45327</v>
      </c>
      <c r="E565" s="1" t="n">
        <v>46305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44943</v>
      </c>
      <c r="E566" s="1" t="n">
        <v>46305</v>
      </c>
      <c r="F566" t="inlineStr">
        <is>
          <t>SÖDERMANLANDS LÄN</t>
        </is>
      </c>
      <c r="G566" t="inlineStr">
        <is>
          <t>NYKÖPING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44943</v>
      </c>
      <c r="E567" s="1" t="n">
        <v>46305</v>
      </c>
      <c r="F567" t="inlineStr">
        <is>
          <t>SÖDERMANLANDS LÄN</t>
        </is>
      </c>
      <c r="G567" t="inlineStr">
        <is>
          <t>NYKÖPING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46305</v>
      </c>
      <c r="F568" t="inlineStr">
        <is>
          <t>SÖDERMANLANDS LÄN</t>
        </is>
      </c>
      <c r="G568" t="inlineStr">
        <is>
          <t>NYKÖPING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46114</v>
      </c>
      <c r="E569" s="1" t="n">
        <v>46305</v>
      </c>
      <c r="F569" t="inlineStr">
        <is>
          <t>SÖDERMANLANDS LÄN</t>
        </is>
      </c>
      <c r="G569" t="inlineStr">
        <is>
          <t>NYKÖPING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45076</v>
      </c>
      <c r="E570" s="1" t="n">
        <v>46305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Övriga Aktiebolag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44960</v>
      </c>
      <c r="E571" s="1" t="n">
        <v>46305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46305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45993</v>
      </c>
      <c r="E573" s="1" t="n">
        <v>46305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59995-2025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45993</v>
      </c>
      <c r="E574" s="1" t="n">
        <v>46305</v>
      </c>
      <c r="F574" t="inlineStr">
        <is>
          <t>SÖDERMANLANDS LÄN</t>
        </is>
      </c>
      <c r="G574" t="inlineStr">
        <is>
          <t>NYKÖPING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59991-2025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45993</v>
      </c>
      <c r="E575" s="1" t="n">
        <v>46305</v>
      </c>
      <c r="F575" t="inlineStr">
        <is>
          <t>SÖDERMANLANDS LÄN</t>
        </is>
      </c>
      <c r="G575" t="inlineStr">
        <is>
          <t>NYKÖPING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45993</v>
      </c>
      <c r="E576" s="1" t="n">
        <v>46305</v>
      </c>
      <c r="F576" t="inlineStr">
        <is>
          <t>SÖDERMANLANDS LÄN</t>
        </is>
      </c>
      <c r="G576" t="inlineStr">
        <is>
          <t>NYKÖPING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45993</v>
      </c>
      <c r="E577" s="1" t="n">
        <v>46305</v>
      </c>
      <c r="F577" t="inlineStr">
        <is>
          <t>SÖDERMANLANDS LÄN</t>
        </is>
      </c>
      <c r="G577" t="inlineStr">
        <is>
          <t>NYKÖPING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33863-2022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44790</v>
      </c>
      <c r="E578" s="1" t="n">
        <v>46305</v>
      </c>
      <c r="F578" t="inlineStr">
        <is>
          <t>SÖDERMANLANDS LÄN</t>
        </is>
      </c>
      <c r="G578" t="inlineStr">
        <is>
          <t>NYKÖPING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45993</v>
      </c>
      <c r="E579" s="1" t="n">
        <v>46305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53738-2022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44880</v>
      </c>
      <c r="E580" s="1" t="n">
        <v>46305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Övriga Aktiebolag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13963-2022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44650</v>
      </c>
      <c r="E581" s="1" t="n">
        <v>46305</v>
      </c>
      <c r="F581" t="inlineStr">
        <is>
          <t>SÖDERMANLANDS LÄN</t>
        </is>
      </c>
      <c r="G581" t="inlineStr">
        <is>
          <t>NYKÖPING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43581-2022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44837</v>
      </c>
      <c r="E582" s="1" t="n">
        <v>46305</v>
      </c>
      <c r="F582" t="inlineStr">
        <is>
          <t>SÖDERMANLANDS LÄN</t>
        </is>
      </c>
      <c r="G582" t="inlineStr">
        <is>
          <t>NYKÖPING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53569-2022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44879</v>
      </c>
      <c r="E583" s="1" t="n">
        <v>46305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Övriga Aktiebolag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53413-2022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44879</v>
      </c>
      <c r="E584" s="1" t="n">
        <v>46305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Övriga Aktiebolag</t>
        </is>
      </c>
      <c r="I584" t="n">
        <v>8.800000000000001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12800-2023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45001</v>
      </c>
      <c r="E585" s="1" t="n">
        <v>46305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Kyrkan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61253-2025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45999</v>
      </c>
      <c r="E586" s="1" t="n">
        <v>46305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Allmännings- och besparingsskogar</t>
        </is>
      </c>
      <c r="I586" t="n">
        <v>13.5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45999</v>
      </c>
      <c r="E587" s="1" t="n">
        <v>46305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Allmännings- och besparingsskogar</t>
        </is>
      </c>
      <c r="I587" t="n">
        <v>10.6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61357-2025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46001</v>
      </c>
      <c r="E588" s="1" t="n">
        <v>46305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44938</v>
      </c>
      <c r="E589" s="1" t="n">
        <v>46305</v>
      </c>
      <c r="F589" t="inlineStr">
        <is>
          <t>SÖDERMANLANDS LÄN</t>
        </is>
      </c>
      <c r="G589" t="inlineStr">
        <is>
          <t>NYKÖPING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61618-2022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46305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15397-2023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45019</v>
      </c>
      <c r="E591" s="1" t="n">
        <v>46305</v>
      </c>
      <c r="F591" t="inlineStr">
        <is>
          <t>SÖDERMANLANDS LÄN</t>
        </is>
      </c>
      <c r="G591" t="inlineStr">
        <is>
          <t>NYKÖPING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44812</v>
      </c>
      <c r="E592" s="1" t="n">
        <v>46305</v>
      </c>
      <c r="F592" t="inlineStr">
        <is>
          <t>SÖDERMANLANDS LÄN</t>
        </is>
      </c>
      <c r="G592" t="inlineStr">
        <is>
          <t>NYKÖPING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44960</v>
      </c>
      <c r="E593" s="1" t="n">
        <v>46305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44938</v>
      </c>
      <c r="E594" s="1" t="n">
        <v>46305</v>
      </c>
      <c r="F594" t="inlineStr">
        <is>
          <t>SÖDERMANLANDS LÄN</t>
        </is>
      </c>
      <c r="G594" t="inlineStr">
        <is>
          <t>NYKÖPING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62115-2025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46305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45075</v>
      </c>
      <c r="E596" s="1" t="n">
        <v>46305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62113-2025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46006</v>
      </c>
      <c r="E597" s="1" t="n">
        <v>46305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72985-2021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44549</v>
      </c>
      <c r="E598" s="1" t="n">
        <v>46305</v>
      </c>
      <c r="F598" t="inlineStr">
        <is>
          <t>SÖDERMANLANDS LÄN</t>
        </is>
      </c>
      <c r="G598" t="inlineStr">
        <is>
          <t>NYKÖPING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8407-2023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44977</v>
      </c>
      <c r="E599" s="1" t="n">
        <v>46305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Övriga Aktiebolag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51530-2022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44869</v>
      </c>
      <c r="E600" s="1" t="n">
        <v>46305</v>
      </c>
      <c r="F600" t="inlineStr">
        <is>
          <t>SÖDERMANLANDS LÄN</t>
        </is>
      </c>
      <c r="G600" t="inlineStr">
        <is>
          <t>NYKÖPING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62517-2025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46007</v>
      </c>
      <c r="E601" s="1" t="n">
        <v>46305</v>
      </c>
      <c r="F601" t="inlineStr">
        <is>
          <t>SÖDERMANLANDS LÄN</t>
        </is>
      </c>
      <c r="G601" t="inlineStr">
        <is>
          <t>NYKÖPING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39310-2023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46305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44957</v>
      </c>
      <c r="E603" s="1" t="n">
        <v>46305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21257-2023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45062</v>
      </c>
      <c r="E604" s="1" t="n">
        <v>46305</v>
      </c>
      <c r="F604" t="inlineStr">
        <is>
          <t>SÖDERMANLANDS LÄN</t>
        </is>
      </c>
      <c r="G604" t="inlineStr">
        <is>
          <t>NYKÖPING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58654-2025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45986</v>
      </c>
      <c r="E605" s="1" t="n">
        <v>46305</v>
      </c>
      <c r="F605" t="inlineStr">
        <is>
          <t>SÖDERMANLANDS LÄN</t>
        </is>
      </c>
      <c r="G605" t="inlineStr">
        <is>
          <t>NYKÖPING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28644-2025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45819</v>
      </c>
      <c r="E606" s="1" t="n">
        <v>46305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Sveaskog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11068-2024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45370</v>
      </c>
      <c r="E607" s="1" t="n">
        <v>46305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Kommuner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41165-2024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46305</v>
      </c>
      <c r="F608" t="inlineStr">
        <is>
          <t>SÖDERMANLANDS LÄN</t>
        </is>
      </c>
      <c r="G608" t="inlineStr">
        <is>
          <t>NYKÖPING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51556-2024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45604</v>
      </c>
      <c r="E609" s="1" t="n">
        <v>46305</v>
      </c>
      <c r="F609" t="inlineStr">
        <is>
          <t>SÖDERMANLANDS LÄN</t>
        </is>
      </c>
      <c r="G609" t="inlineStr">
        <is>
          <t>NYKÖPING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19807-2026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46135</v>
      </c>
      <c r="E610" s="1" t="n">
        <v>46305</v>
      </c>
      <c r="F610" t="inlineStr">
        <is>
          <t>SÖDERMANLANDS LÄN</t>
        </is>
      </c>
      <c r="G610" t="inlineStr">
        <is>
          <t>NYKÖPING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54065-2025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45964</v>
      </c>
      <c r="E611" s="1" t="n">
        <v>46305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44946</v>
      </c>
      <c r="E612" s="1" t="n">
        <v>46305</v>
      </c>
      <c r="F612" t="inlineStr">
        <is>
          <t>SÖDERMANLANDS LÄN</t>
        </is>
      </c>
      <c r="G612" t="inlineStr">
        <is>
          <t>NYKÖPING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46010</v>
      </c>
      <c r="E613" s="1" t="n">
        <v>46305</v>
      </c>
      <c r="F613" t="inlineStr">
        <is>
          <t>SÖDERMANLANDS LÄN</t>
        </is>
      </c>
      <c r="G613" t="inlineStr">
        <is>
          <t>NYKÖPING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63246-2025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46010</v>
      </c>
      <c r="E614" s="1" t="n">
        <v>46305</v>
      </c>
      <c r="F614" t="inlineStr">
        <is>
          <t>SÖDERMANLANDS LÄN</t>
        </is>
      </c>
      <c r="G614" t="inlineStr">
        <is>
          <t>NYKÖPING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41132-2024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45559</v>
      </c>
      <c r="E615" s="1" t="n">
        <v>46305</v>
      </c>
      <c r="F615" t="inlineStr">
        <is>
          <t>SÖDERMANLANDS LÄN</t>
        </is>
      </c>
      <c r="G615" t="inlineStr">
        <is>
          <t>NYKÖPING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62917-2025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46009</v>
      </c>
      <c r="E616" s="1" t="n">
        <v>46305</v>
      </c>
      <c r="F616" t="inlineStr">
        <is>
          <t>SÖDERMANLANDS LÄN</t>
        </is>
      </c>
      <c r="G616" t="inlineStr">
        <is>
          <t>NYKÖPING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63322-2025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46010</v>
      </c>
      <c r="E617" s="1" t="n">
        <v>46305</v>
      </c>
      <c r="F617" t="inlineStr">
        <is>
          <t>SÖDERMANLANDS LÄN</t>
        </is>
      </c>
      <c r="G617" t="inlineStr">
        <is>
          <t>NYKÖPING</t>
        </is>
      </c>
      <c r="I617" t="n">
        <v>21.2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47390-2025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45930</v>
      </c>
      <c r="E618" s="1" t="n">
        <v>46305</v>
      </c>
      <c r="F618" t="inlineStr">
        <is>
          <t>SÖDERMANLANDS LÄN</t>
        </is>
      </c>
      <c r="G618" t="inlineStr">
        <is>
          <t>NYKÖPING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28664-2025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46305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29846-2025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45826</v>
      </c>
      <c r="E620" s="1" t="n">
        <v>46305</v>
      </c>
      <c r="F620" t="inlineStr">
        <is>
          <t>SÖDERMANLANDS LÄN</t>
        </is>
      </c>
      <c r="G620" t="inlineStr">
        <is>
          <t>NYKÖPING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45706</v>
      </c>
      <c r="E621" s="1" t="n">
        <v>46305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Kyrkan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46305</v>
      </c>
      <c r="F622" t="inlineStr">
        <is>
          <t>SÖDERMANLANDS LÄN</t>
        </is>
      </c>
      <c r="G622" t="inlineStr">
        <is>
          <t>NYKÖPING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18510-2024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45424</v>
      </c>
      <c r="E623" s="1" t="n">
        <v>46305</v>
      </c>
      <c r="F623" t="inlineStr">
        <is>
          <t>SÖDERMANLANDS LÄN</t>
        </is>
      </c>
      <c r="G623" t="inlineStr">
        <is>
          <t>NYKÖPING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44959</v>
      </c>
      <c r="E624" s="1" t="n">
        <v>46305</v>
      </c>
      <c r="F624" t="inlineStr">
        <is>
          <t>SÖDERMANLANDS LÄN</t>
        </is>
      </c>
      <c r="G624" t="inlineStr">
        <is>
          <t>NYKÖPING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46027</v>
      </c>
      <c r="E625" s="1" t="n">
        <v>46305</v>
      </c>
      <c r="F625" t="inlineStr">
        <is>
          <t>SÖDERMANLANDS LÄN</t>
        </is>
      </c>
      <c r="G625" t="inlineStr">
        <is>
          <t>NYKÖPING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49942-2022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44865</v>
      </c>
      <c r="E626" s="1" t="n">
        <v>46305</v>
      </c>
      <c r="F626" t="inlineStr">
        <is>
          <t>SÖDERMANLANDS LÄN</t>
        </is>
      </c>
      <c r="G626" t="inlineStr">
        <is>
          <t>NYKÖPING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51880-2023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45216</v>
      </c>
      <c r="E627" s="1" t="n">
        <v>46305</v>
      </c>
      <c r="F627" t="inlineStr">
        <is>
          <t>SÖDERMANLANDS LÄN</t>
        </is>
      </c>
      <c r="G627" t="inlineStr">
        <is>
          <t>NYKÖPING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18551-2024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45425</v>
      </c>
      <c r="E628" s="1" t="n">
        <v>46305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Kommuner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46305</v>
      </c>
      <c r="F629" t="inlineStr">
        <is>
          <t>SÖDERMANLANDS LÄN</t>
        </is>
      </c>
      <c r="G629" t="inlineStr">
        <is>
          <t>NYKÖPING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72666-2021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44546</v>
      </c>
      <c r="E630" s="1" t="n">
        <v>46305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7043-2023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44968</v>
      </c>
      <c r="E631" s="1" t="n">
        <v>46305</v>
      </c>
      <c r="F631" t="inlineStr">
        <is>
          <t>SÖDERMANLANDS LÄN</t>
        </is>
      </c>
      <c r="G631" t="inlineStr">
        <is>
          <t>NYKÖPING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21917-2022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44711</v>
      </c>
      <c r="E632" s="1" t="n">
        <v>46305</v>
      </c>
      <c r="F632" t="inlineStr">
        <is>
          <t>SÖDERMANLANDS LÄN</t>
        </is>
      </c>
      <c r="G632" t="inlineStr">
        <is>
          <t>NYKÖPING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5485-2023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46305</v>
      </c>
      <c r="F633" t="inlineStr">
        <is>
          <t>SÖDERMANLANDS LÄN</t>
        </is>
      </c>
      <c r="G633" t="inlineStr">
        <is>
          <t>NYKÖPING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6129-2023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44964</v>
      </c>
      <c r="E634" s="1" t="n">
        <v>46305</v>
      </c>
      <c r="F634" t="inlineStr">
        <is>
          <t>SÖDERMANLANDS LÄN</t>
        </is>
      </c>
      <c r="G634" t="inlineStr">
        <is>
          <t>NYKÖPING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39253-2023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45166</v>
      </c>
      <c r="E635" s="1" t="n">
        <v>46305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27563-2024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45474</v>
      </c>
      <c r="E636" s="1" t="n">
        <v>46305</v>
      </c>
      <c r="F636" t="inlineStr">
        <is>
          <t>SÖDERMANLANDS LÄN</t>
        </is>
      </c>
      <c r="G636" t="inlineStr">
        <is>
          <t>NYKÖPING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72117-2021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44543</v>
      </c>
      <c r="E637" s="1" t="n">
        <v>46305</v>
      </c>
      <c r="F637" t="inlineStr">
        <is>
          <t>SÖDERMANLANDS LÄN</t>
        </is>
      </c>
      <c r="G637" t="inlineStr">
        <is>
          <t>NYKÖPING</t>
        </is>
      </c>
      <c r="I637" t="n">
        <v>14.9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46034</v>
      </c>
      <c r="E638" s="1" t="n">
        <v>46305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50776-2022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44867</v>
      </c>
      <c r="E639" s="1" t="n">
        <v>46305</v>
      </c>
      <c r="F639" t="inlineStr">
        <is>
          <t>SÖDERMANLANDS LÄN</t>
        </is>
      </c>
      <c r="G639" t="inlineStr">
        <is>
          <t>NYKÖPING</t>
        </is>
      </c>
      <c r="I639" t="n">
        <v>13.4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46305</v>
      </c>
      <c r="F640" t="inlineStr">
        <is>
          <t>SÖDERMANLANDS LÄN</t>
        </is>
      </c>
      <c r="G640" t="inlineStr">
        <is>
          <t>NYKÖPING</t>
        </is>
      </c>
      <c r="I640" t="n">
        <v>10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9469-2022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46305</v>
      </c>
      <c r="F641" t="inlineStr">
        <is>
          <t>SÖDERMANLANDS LÄN</t>
        </is>
      </c>
      <c r="G641" t="inlineStr">
        <is>
          <t>NYKÖPING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46036</v>
      </c>
      <c r="E642" s="1" t="n">
        <v>46305</v>
      </c>
      <c r="F642" t="inlineStr">
        <is>
          <t>SÖDERMANLANDS LÄN</t>
        </is>
      </c>
      <c r="G642" t="inlineStr">
        <is>
          <t>NYKÖPING</t>
        </is>
      </c>
      <c r="I642" t="n">
        <v>11.7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45096</v>
      </c>
      <c r="E643" s="1" t="n">
        <v>46305</v>
      </c>
      <c r="F643" t="inlineStr">
        <is>
          <t>SÖDERMANLANDS LÄN</t>
        </is>
      </c>
      <c r="G643" t="inlineStr">
        <is>
          <t>NYKÖPING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46305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46305</v>
      </c>
      <c r="F645" t="inlineStr">
        <is>
          <t>SÖDERMANLANDS LÄN</t>
        </is>
      </c>
      <c r="G645" t="inlineStr">
        <is>
          <t>NYKÖPING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46305</v>
      </c>
      <c r="F646" t="inlineStr">
        <is>
          <t>SÖDERMANLANDS LÄN</t>
        </is>
      </c>
      <c r="G646" t="inlineStr">
        <is>
          <t>NYKÖPING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45029</v>
      </c>
      <c r="E647" s="1" t="n">
        <v>46305</v>
      </c>
      <c r="F647" t="inlineStr">
        <is>
          <t>SÖDERMANLANDS LÄN</t>
        </is>
      </c>
      <c r="G647" t="inlineStr">
        <is>
          <t>NYKÖPING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67736-2021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46305</v>
      </c>
      <c r="F648" t="inlineStr">
        <is>
          <t>SÖDERMANLANDS LÄN</t>
        </is>
      </c>
      <c r="G648" t="inlineStr">
        <is>
          <t>NYKÖPING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51410-2022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44869</v>
      </c>
      <c r="E649" s="1" t="n">
        <v>46305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46305</v>
      </c>
      <c r="F650" t="inlineStr">
        <is>
          <t>SÖDERMANLANDS LÄN</t>
        </is>
      </c>
      <c r="G650" t="inlineStr">
        <is>
          <t>NYKÖPING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46042</v>
      </c>
      <c r="E651" s="1" t="n">
        <v>46305</v>
      </c>
      <c r="F651" t="inlineStr">
        <is>
          <t>SÖDERMANLANDS LÄN</t>
        </is>
      </c>
      <c r="G651" t="inlineStr">
        <is>
          <t>NYKÖPING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46041</v>
      </c>
      <c r="E652" s="1" t="n">
        <v>46305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46305</v>
      </c>
      <c r="F653" t="inlineStr">
        <is>
          <t>SÖDERMANLANDS LÄN</t>
        </is>
      </c>
      <c r="G653" t="inlineStr">
        <is>
          <t>NYKÖPING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46305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46305</v>
      </c>
      <c r="F655" t="inlineStr">
        <is>
          <t>SÖDERMANLANDS LÄN</t>
        </is>
      </c>
      <c r="G655" t="inlineStr">
        <is>
          <t>NYKÖPING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8340-2023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44976</v>
      </c>
      <c r="E656" s="1" t="n">
        <v>46305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44964</v>
      </c>
      <c r="E657" s="1" t="n">
        <v>46305</v>
      </c>
      <c r="F657" t="inlineStr">
        <is>
          <t>SÖDERMANLANDS LÄN</t>
        </is>
      </c>
      <c r="G657" t="inlineStr">
        <is>
          <t>NYKÖPING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64159-2021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44510</v>
      </c>
      <c r="E658" s="1" t="n">
        <v>46305</v>
      </c>
      <c r="F658" t="inlineStr">
        <is>
          <t>SÖDERMANLANDS LÄN</t>
        </is>
      </c>
      <c r="G658" t="inlineStr">
        <is>
          <t>NYKÖPING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45160</v>
      </c>
      <c r="E659" s="1" t="n">
        <v>46305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Kommuner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46305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43657-2022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44837</v>
      </c>
      <c r="E661" s="1" t="n">
        <v>46305</v>
      </c>
      <c r="F661" t="inlineStr">
        <is>
          <t>SÖDERMANLANDS LÄN</t>
        </is>
      </c>
      <c r="G661" t="inlineStr">
        <is>
          <t>NYKÖPING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42368-2024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45564</v>
      </c>
      <c r="E662" s="1" t="n">
        <v>46305</v>
      </c>
      <c r="F662" t="inlineStr">
        <is>
          <t>SÖDERMANLANDS LÄN</t>
        </is>
      </c>
      <c r="G662" t="inlineStr">
        <is>
          <t>NYKÖPING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46305</v>
      </c>
      <c r="F663" t="inlineStr">
        <is>
          <t>SÖDERMANLANDS LÄN</t>
        </is>
      </c>
      <c r="G663" t="inlineStr">
        <is>
          <t>NYKÖPING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12153-2025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45729</v>
      </c>
      <c r="E664" s="1" t="n">
        <v>46305</v>
      </c>
      <c r="F664" t="inlineStr">
        <is>
          <t>SÖDERMANLANDS LÄN</t>
        </is>
      </c>
      <c r="G664" t="inlineStr">
        <is>
          <t>NYKÖPING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46305</v>
      </c>
      <c r="F665" t="inlineStr">
        <is>
          <t>SÖDERMANLANDS LÄN</t>
        </is>
      </c>
      <c r="G665" t="inlineStr">
        <is>
          <t>NYKÖPING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46305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44977</v>
      </c>
      <c r="E667" s="1" t="n">
        <v>46305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46305</v>
      </c>
      <c r="F668" t="inlineStr">
        <is>
          <t>SÖDERMANLANDS LÄN</t>
        </is>
      </c>
      <c r="G668" t="inlineStr">
        <is>
          <t>NYKÖPING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64099-2021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44509</v>
      </c>
      <c r="E669" s="1" t="n">
        <v>46305</v>
      </c>
      <c r="F669" t="inlineStr">
        <is>
          <t>SÖDERMANLANDS LÄN</t>
        </is>
      </c>
      <c r="G669" t="inlineStr">
        <is>
          <t>NYKÖPING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57836-2023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45247</v>
      </c>
      <c r="E670" s="1" t="n">
        <v>46305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46305</v>
      </c>
      <c r="F671" t="inlineStr">
        <is>
          <t>SÖDERMANLANDS LÄN</t>
        </is>
      </c>
      <c r="G671" t="inlineStr">
        <is>
          <t>NYKÖPING</t>
        </is>
      </c>
      <c r="I671" t="n">
        <v>9.5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5206-2026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46049</v>
      </c>
      <c r="E672" s="1" t="n">
        <v>46305</v>
      </c>
      <c r="F672" t="inlineStr">
        <is>
          <t>SÖDERMANLANDS LÄN</t>
        </is>
      </c>
      <c r="G672" t="inlineStr">
        <is>
          <t>NYKÖPING</t>
        </is>
      </c>
      <c r="I672" t="n">
        <v>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46058</v>
      </c>
      <c r="E673" s="1" t="n">
        <v>46305</v>
      </c>
      <c r="F673" t="inlineStr">
        <is>
          <t>SÖDERMANLANDS LÄN</t>
        </is>
      </c>
      <c r="G673" t="inlineStr">
        <is>
          <t>NYKÖPING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58653-2025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45986</v>
      </c>
      <c r="E674" s="1" t="n">
        <v>46305</v>
      </c>
      <c r="F674" t="inlineStr">
        <is>
          <t>SÖDERMANLANDS LÄN</t>
        </is>
      </c>
      <c r="G674" t="inlineStr">
        <is>
          <t>NYKÖPING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21022-2026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46145</v>
      </c>
      <c r="E675" s="1" t="n">
        <v>46305</v>
      </c>
      <c r="F675" t="inlineStr">
        <is>
          <t>SÖDERMANLANDS LÄN</t>
        </is>
      </c>
      <c r="G675" t="inlineStr">
        <is>
          <t>NYKÖPING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21020-2026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46145</v>
      </c>
      <c r="E676" s="1" t="n">
        <v>46305</v>
      </c>
      <c r="F676" t="inlineStr">
        <is>
          <t>SÖDERMANLANDS LÄN</t>
        </is>
      </c>
      <c r="G676" t="inlineStr">
        <is>
          <t>NYKÖPING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58650-2025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45986</v>
      </c>
      <c r="E677" s="1" t="n">
        <v>46305</v>
      </c>
      <c r="F677" t="inlineStr">
        <is>
          <t>SÖDERMANLANDS LÄN</t>
        </is>
      </c>
      <c r="G677" t="inlineStr">
        <is>
          <t>NYKÖPING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58676-2025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45986</v>
      </c>
      <c r="E678" s="1" t="n">
        <v>46305</v>
      </c>
      <c r="F678" t="inlineStr">
        <is>
          <t>SÖDERMANLANDS LÄN</t>
        </is>
      </c>
      <c r="G678" t="inlineStr">
        <is>
          <t>NYKÖPING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21672-2026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46149</v>
      </c>
      <c r="E679" s="1" t="n">
        <v>46305</v>
      </c>
      <c r="F679" t="inlineStr">
        <is>
          <t>SÖDERMANLANDS LÄN</t>
        </is>
      </c>
      <c r="G679" t="inlineStr">
        <is>
          <t>NYKÖPING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21676-2026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46149</v>
      </c>
      <c r="E680" s="1" t="n">
        <v>46305</v>
      </c>
      <c r="F680" t="inlineStr">
        <is>
          <t>SÖDERMANLANDS LÄN</t>
        </is>
      </c>
      <c r="G680" t="inlineStr">
        <is>
          <t>NYKÖPING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46305</v>
      </c>
      <c r="F681" t="inlineStr">
        <is>
          <t>SÖDERMANLANDS LÄN</t>
        </is>
      </c>
      <c r="G681" t="inlineStr">
        <is>
          <t>NYKÖPING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9434-2026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46305</v>
      </c>
      <c r="F682" t="inlineStr">
        <is>
          <t>SÖDERMANLANDS LÄN</t>
        </is>
      </c>
      <c r="G682" t="inlineStr">
        <is>
          <t>NYKÖPING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46305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58493-2025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45985</v>
      </c>
      <c r="E684" s="1" t="n">
        <v>46305</v>
      </c>
      <c r="F684" t="inlineStr">
        <is>
          <t>SÖDERMANLANDS LÄN</t>
        </is>
      </c>
      <c r="G684" t="inlineStr">
        <is>
          <t>NYKÖPING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22475-2026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46155</v>
      </c>
      <c r="E685" s="1" t="n">
        <v>46305</v>
      </c>
      <c r="F685" t="inlineStr">
        <is>
          <t>SÖDERMANLANDS LÄN</t>
        </is>
      </c>
      <c r="G685" t="inlineStr">
        <is>
          <t>NYKÖPING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49902-2025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45940</v>
      </c>
      <c r="E686" s="1" t="n">
        <v>46305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8378-2024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45351</v>
      </c>
      <c r="E687" s="1" t="n">
        <v>46305</v>
      </c>
      <c r="F687" t="inlineStr">
        <is>
          <t>SÖDERMANLANDS LÄN</t>
        </is>
      </c>
      <c r="G687" t="inlineStr">
        <is>
          <t>NYKÖPING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56770-2025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45978</v>
      </c>
      <c r="E688" s="1" t="n">
        <v>46305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56845-2025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45978</v>
      </c>
      <c r="E689" s="1" t="n">
        <v>46305</v>
      </c>
      <c r="F689" t="inlineStr">
        <is>
          <t>SÖDERMANLANDS LÄN</t>
        </is>
      </c>
      <c r="G689" t="inlineStr">
        <is>
          <t>NYKÖPING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46305</v>
      </c>
      <c r="F690" t="inlineStr">
        <is>
          <t>SÖDERMANLANDS LÄN</t>
        </is>
      </c>
      <c r="G690" t="inlineStr">
        <is>
          <t>NYKÖPING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46305</v>
      </c>
      <c r="F691" t="inlineStr">
        <is>
          <t>SÖDERMANLANDS LÄN</t>
        </is>
      </c>
      <c r="G691" t="inlineStr">
        <is>
          <t>NYKÖPING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46084</v>
      </c>
      <c r="E692" s="1" t="n">
        <v>46305</v>
      </c>
      <c r="F692" t="inlineStr">
        <is>
          <t>SÖDERMANLANDS LÄN</t>
        </is>
      </c>
      <c r="G692" t="inlineStr">
        <is>
          <t>NYKÖPING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46305</v>
      </c>
      <c r="F693" t="inlineStr">
        <is>
          <t>SÖDERMANLANDS LÄN</t>
        </is>
      </c>
      <c r="G693" t="inlineStr">
        <is>
          <t>NYKÖPING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46305</v>
      </c>
      <c r="F694" t="inlineStr">
        <is>
          <t>SÖDERMANLANDS LÄN</t>
        </is>
      </c>
      <c r="G694" t="inlineStr">
        <is>
          <t>NYKÖPING</t>
        </is>
      </c>
      <c r="I694" t="n">
        <v>10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23637-2026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46163</v>
      </c>
      <c r="E695" s="1" t="n">
        <v>46305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Kyrkan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12111-2026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46086</v>
      </c>
      <c r="E696" s="1" t="n">
        <v>46305</v>
      </c>
      <c r="F696" t="inlineStr">
        <is>
          <t>SÖDERMANLANDS LÄN</t>
        </is>
      </c>
      <c r="G696" t="inlineStr">
        <is>
          <t>NYKÖPING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46305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Kyrkan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17460-2026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46120</v>
      </c>
      <c r="E698" s="1" t="n">
        <v>46305</v>
      </c>
      <c r="F698" t="inlineStr">
        <is>
          <t>SÖDERMANLANDS LÄN</t>
        </is>
      </c>
      <c r="G698" t="inlineStr">
        <is>
          <t>NYKÖPING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46305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Kyrkan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10622-2025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45721</v>
      </c>
      <c r="E700" s="1" t="n">
        <v>46305</v>
      </c>
      <c r="F700" t="inlineStr">
        <is>
          <t>SÖDERMANLANDS LÄN</t>
        </is>
      </c>
      <c r="G700" t="inlineStr">
        <is>
          <t>NYKÖPING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58496-2025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46305</v>
      </c>
      <c r="F701" t="inlineStr">
        <is>
          <t>SÖDERMANLANDS LÄN</t>
        </is>
      </c>
      <c r="G701" t="inlineStr">
        <is>
          <t>NYKÖPING</t>
        </is>
      </c>
      <c r="I701" t="n">
        <v>9.699999999999999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46305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25334-2026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46176</v>
      </c>
      <c r="E703" s="1" t="n">
        <v>46305</v>
      </c>
      <c r="F703" t="inlineStr">
        <is>
          <t>SÖDERMANLANDS LÄN</t>
        </is>
      </c>
      <c r="G703" t="inlineStr">
        <is>
          <t>NYKÖPING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25336-2026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46176</v>
      </c>
      <c r="E704" s="1" t="n">
        <v>46305</v>
      </c>
      <c r="F704" t="inlineStr">
        <is>
          <t>SÖDERMANLANDS LÄN</t>
        </is>
      </c>
      <c r="G704" t="inlineStr">
        <is>
          <t>NYKÖPING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46305</v>
      </c>
      <c r="F705" t="inlineStr">
        <is>
          <t>SÖDERMANLANDS LÄN</t>
        </is>
      </c>
      <c r="G705" t="inlineStr">
        <is>
          <t>NYKÖPING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44582</v>
      </c>
      <c r="E706" s="1" t="n">
        <v>46305</v>
      </c>
      <c r="F706" t="inlineStr">
        <is>
          <t>SÖDERMANLANDS LÄN</t>
        </is>
      </c>
      <c r="G706" t="inlineStr">
        <is>
          <t>NYKÖPING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46305</v>
      </c>
      <c r="F707" t="inlineStr">
        <is>
          <t>SÖDERMANLANDS LÄN</t>
        </is>
      </c>
      <c r="G707" t="inlineStr">
        <is>
          <t>NYKÖPING</t>
        </is>
      </c>
      <c r="I707" t="n">
        <v>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26687-2026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46305</v>
      </c>
      <c r="F708" t="inlineStr">
        <is>
          <t>SÖDERMANLANDS LÄN</t>
        </is>
      </c>
      <c r="G708" t="inlineStr">
        <is>
          <t>NYKÖPING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46305</v>
      </c>
      <c r="F709" t="inlineStr">
        <is>
          <t>SÖDERMANLANDS LÄN</t>
        </is>
      </c>
      <c r="G709" t="inlineStr">
        <is>
          <t>NYKÖPING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46184</v>
      </c>
      <c r="E710" s="1" t="n">
        <v>46305</v>
      </c>
      <c r="F710" t="inlineStr">
        <is>
          <t>SÖDERMANLANDS LÄN</t>
        </is>
      </c>
      <c r="G710" t="inlineStr">
        <is>
          <t>NYKÖPING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26224-2026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46305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Sveaskog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46305</v>
      </c>
      <c r="F712" t="inlineStr">
        <is>
          <t>SÖDERMANLANDS LÄN</t>
        </is>
      </c>
      <c r="G712" t="inlineStr">
        <is>
          <t>NYKÖPING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46305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26839-2026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46305</v>
      </c>
      <c r="F714" t="inlineStr">
        <is>
          <t>SÖDERMANLANDS LÄN</t>
        </is>
      </c>
      <c r="G714" t="inlineStr">
        <is>
          <t>NYKÖPING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26643-2026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46184</v>
      </c>
      <c r="E715" s="1" t="n">
        <v>46305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28137-2026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46195</v>
      </c>
      <c r="E716" s="1" t="n">
        <v>46305</v>
      </c>
      <c r="F716" t="inlineStr">
        <is>
          <t>SÖDERMANLANDS LÄN</t>
        </is>
      </c>
      <c r="G716" t="inlineStr">
        <is>
          <t>NYKÖPING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45798</v>
      </c>
      <c r="E717" s="1" t="n">
        <v>46305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46305</v>
      </c>
      <c r="F718" t="inlineStr">
        <is>
          <t>SÖDERMANLANDS LÄN</t>
        </is>
      </c>
      <c r="G718" t="inlineStr">
        <is>
          <t>NYKÖPING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46305</v>
      </c>
      <c r="F719" t="inlineStr">
        <is>
          <t>SÖDERMANLANDS LÄN</t>
        </is>
      </c>
      <c r="G719" t="inlineStr">
        <is>
          <t>NYKÖPING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30695-2026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46211</v>
      </c>
      <c r="E720" s="1" t="n">
        <v>46305</v>
      </c>
      <c r="F720" t="inlineStr">
        <is>
          <t>SÖDERMANLANDS LÄN</t>
        </is>
      </c>
      <c r="G720" t="inlineStr">
        <is>
          <t>NYKÖPING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46305</v>
      </c>
      <c r="F721" t="inlineStr">
        <is>
          <t>SÖDERMANLANDS LÄN</t>
        </is>
      </c>
      <c r="G721" t="inlineStr">
        <is>
          <t>NYKÖPING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31469-2026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46222</v>
      </c>
      <c r="E722" s="1" t="n">
        <v>46305</v>
      </c>
      <c r="F722" t="inlineStr">
        <is>
          <t>SÖDERMANLANDS LÄN</t>
        </is>
      </c>
      <c r="G722" t="inlineStr">
        <is>
          <t>NYKÖPING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46228</v>
      </c>
      <c r="E723" s="1" t="n">
        <v>46305</v>
      </c>
      <c r="F723" t="inlineStr">
        <is>
          <t>SÖDERMANLANDS LÄN</t>
        </is>
      </c>
      <c r="G723" t="inlineStr">
        <is>
          <t>NYKÖPING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46125</v>
      </c>
      <c r="E724" s="1" t="n">
        <v>46305</v>
      </c>
      <c r="F724" t="inlineStr">
        <is>
          <t>SÖDERMANLANDS LÄN</t>
        </is>
      </c>
      <c r="G724" t="inlineStr">
        <is>
          <t>NYKÖPING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32295-2026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46305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Sveaskog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46280</v>
      </c>
      <c r="E726" s="1" t="n">
        <v>46305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32120-2026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46234</v>
      </c>
      <c r="E727" s="1" t="n">
        <v>46305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46239</v>
      </c>
      <c r="E728" s="1" t="n">
        <v>46305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Sveaskog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46240</v>
      </c>
      <c r="E729" s="1" t="n">
        <v>46305</v>
      </c>
      <c r="F729" t="inlineStr">
        <is>
          <t>SÖDERMANLANDS LÄN</t>
        </is>
      </c>
      <c r="G729" t="inlineStr">
        <is>
          <t>NYKÖPING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46305</v>
      </c>
      <c r="F730" t="inlineStr">
        <is>
          <t>SÖDERMANLANDS LÄN</t>
        </is>
      </c>
      <c r="G730" t="inlineStr">
        <is>
          <t>NYKÖPING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46283</v>
      </c>
      <c r="E731" s="1" t="n">
        <v>46305</v>
      </c>
      <c r="F731" t="inlineStr">
        <is>
          <t>SÖDERMANLANDS LÄN</t>
        </is>
      </c>
      <c r="G731" t="inlineStr">
        <is>
          <t>NYKÖPING</t>
        </is>
      </c>
      <c r="I731" t="n">
        <v>13.9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39040-2026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46287</v>
      </c>
      <c r="E732" s="1" t="n">
        <v>46305</v>
      </c>
      <c r="F732" t="inlineStr">
        <is>
          <t>SÖDERMANLANDS LÄN</t>
        </is>
      </c>
      <c r="G732" t="inlineStr">
        <is>
          <t>NYKÖPING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46305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46305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46245</v>
      </c>
      <c r="E735" s="1" t="n">
        <v>46305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33088-2026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46245</v>
      </c>
      <c r="E736" s="1" t="n">
        <v>46305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817-2026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46305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46247</v>
      </c>
      <c r="E738" s="1" t="n">
        <v>46305</v>
      </c>
      <c r="F738" t="inlineStr">
        <is>
          <t>SÖDERMANLANDS LÄN</t>
        </is>
      </c>
      <c r="G738" t="inlineStr">
        <is>
          <t>NYKÖPING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39776-2026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46290</v>
      </c>
      <c r="E739" s="1" t="n">
        <v>46305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46247</v>
      </c>
      <c r="E740" s="1" t="n">
        <v>46305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40160-2026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46293</v>
      </c>
      <c r="E741" s="1" t="n">
        <v>46305</v>
      </c>
      <c r="F741" t="inlineStr">
        <is>
          <t>SÖDERMANLANDS LÄN</t>
        </is>
      </c>
      <c r="G741" t="inlineStr">
        <is>
          <t>NYKÖPING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40145-2026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46293</v>
      </c>
      <c r="E742" s="1" t="n">
        <v>46305</v>
      </c>
      <c r="F742" t="inlineStr">
        <is>
          <t>SÖDERMANLANDS LÄN</t>
        </is>
      </c>
      <c r="G742" t="inlineStr">
        <is>
          <t>NYKÖPING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50688-2025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45945</v>
      </c>
      <c r="E743" s="1" t="n">
        <v>46305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Kyrkan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40133-2026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46293</v>
      </c>
      <c r="E744" s="1" t="n">
        <v>46305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40126-2026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46293</v>
      </c>
      <c r="E745" s="1" t="n">
        <v>46305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Kyrkan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34049-2026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46252</v>
      </c>
      <c r="E746" s="1" t="n">
        <v>46305</v>
      </c>
      <c r="F746" t="inlineStr">
        <is>
          <t>SÖDERMANLANDS LÄN</t>
        </is>
      </c>
      <c r="G746" t="inlineStr">
        <is>
          <t>NYKÖPING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34161-2026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46253</v>
      </c>
      <c r="E747" s="1" t="n">
        <v>46305</v>
      </c>
      <c r="F747" t="inlineStr">
        <is>
          <t>SÖDERMANLANDS LÄN</t>
        </is>
      </c>
      <c r="G747" t="inlineStr">
        <is>
          <t>NYKÖPING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34169-2026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46253</v>
      </c>
      <c r="E748" s="1" t="n">
        <v>46305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14384-2026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46100</v>
      </c>
      <c r="E749" s="1" t="n">
        <v>46305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58685-2025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45986</v>
      </c>
      <c r="E750" s="1" t="n">
        <v>46305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46003</v>
      </c>
      <c r="E751" s="1" t="n">
        <v>46305</v>
      </c>
      <c r="F751" t="inlineStr">
        <is>
          <t>SÖDERMANLANDS LÄN</t>
        </is>
      </c>
      <c r="G751" t="inlineStr">
        <is>
          <t>NYKÖPING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1999-2020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44092</v>
      </c>
      <c r="E752" s="1" t="n">
        <v>46305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Kommuner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1573-2020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44013</v>
      </c>
      <c r="E753" s="1" t="n">
        <v>46305</v>
      </c>
      <c r="F753" t="inlineStr">
        <is>
          <t>SÖDERMANLANDS LÄN</t>
        </is>
      </c>
      <c r="G753" t="inlineStr">
        <is>
          <t>NYKÖPING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2311-2022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44684</v>
      </c>
      <c r="E754" s="1" t="n">
        <v>46305</v>
      </c>
      <c r="F754" t="inlineStr">
        <is>
          <t>SÖDERMANLANDS LÄN</t>
        </is>
      </c>
      <c r="G754" t="inlineStr">
        <is>
          <t>NYKÖPING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3579-2022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44735</v>
      </c>
      <c r="E755" s="1" t="n">
        <v>46305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3783-2023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45223</v>
      </c>
      <c r="E756" s="1" t="n">
        <v>46305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46305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1224-2023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45029</v>
      </c>
      <c r="E758" s="1" t="n">
        <v>46305</v>
      </c>
      <c r="F758" t="inlineStr">
        <is>
          <t>SÖDERMANLANDS LÄN</t>
        </is>
      </c>
      <c r="G758" t="inlineStr">
        <is>
          <t>NYKÖPING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633-2025</t>
        </is>
      </c>
      <c r="B759" t="inlineStr">
        <is>
          <t>samrådsanmälan</t>
        </is>
      </c>
      <c r="C759" t="inlineStr">
        <is>
          <t>Skogsgödsling</t>
        </is>
      </c>
      <c r="D759" s="1" t="n">
        <v>45714</v>
      </c>
      <c r="E759" s="1" t="n">
        <v>46305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39.6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3071-2024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45517</v>
      </c>
      <c r="E760" s="1" t="n">
        <v>46305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2818-2025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45939</v>
      </c>
      <c r="E761" s="1" t="n">
        <v>46305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641-2026</t>
        </is>
      </c>
      <c r="B762" t="inlineStr">
        <is>
          <t>samrådsanmälan</t>
        </is>
      </c>
      <c r="C762" t="inlineStr">
        <is>
          <t>Skogsgödsling</t>
        </is>
      </c>
      <c r="D762" s="1" t="n">
        <v>46090</v>
      </c>
      <c r="E762" s="1" t="n">
        <v>46305</v>
      </c>
      <c r="F762" t="inlineStr">
        <is>
          <t>SÖDERMANLANDS LÄN</t>
        </is>
      </c>
      <c r="G762" t="inlineStr">
        <is>
          <t>NYKÖPING</t>
        </is>
      </c>
      <c r="I762" t="n">
        <v>46.2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>
      <c r="A763" t="inlineStr">
        <is>
          <t>S 248-2026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46050</v>
      </c>
      <c r="E763" s="1" t="n">
        <v>46305</v>
      </c>
      <c r="F763" t="inlineStr">
        <is>
          <t>SÖDERMANLANDS LÄN</t>
        </is>
      </c>
      <c r="G763" t="inlineStr">
        <is>
          <t>NYKÖPING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2026-10-10T02:03:21Z</dcterms:created>
  <dcterms:modified xmlns:dcterms="http://purl.org/dc/terms/" xmlns:xsi="http://www.w3.org/2001/XMLSchema-instance" xsi:type="dcterms:W3CDTF">2026-10-10T02:03:22Z</dcterms:modified>
</cp:coreProperties>
</file>