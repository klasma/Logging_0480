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45827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45827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45827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45827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45827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45827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45827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45827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45827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45827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45827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45827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45827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45827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45827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45827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45827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45827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45827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45827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45827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45827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45827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45827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45827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45827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45827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45827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45827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45827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45827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45827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45827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45827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45827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45827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45827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45827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45827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45827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45827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45827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45827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45827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45827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45827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45827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45827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45827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45827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45827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45827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45827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45827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45827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45827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45827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45827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45827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45827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45827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45827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45827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45827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45827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45827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45827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45827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45827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45827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45827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47107-2021</t>
        </is>
      </c>
      <c r="B112" s="1" t="n">
        <v>44446</v>
      </c>
      <c r="C112" s="1" t="n">
        <v>45827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Enkelbeckasin</t>
        </is>
      </c>
      <c r="S112">
        <f>HYPERLINK("https://klasma.github.io/Logging_0480/artfynd/A 47107-2021 artfynd.xlsx", "A 47107-2021")</f>
        <v/>
      </c>
      <c r="T112">
        <f>HYPERLINK("https://klasma.github.io/Logging_0480/kartor/A 47107-2021 karta.png", "A 47107-2021")</f>
        <v/>
      </c>
      <c r="V112">
        <f>HYPERLINK("https://klasma.github.io/Logging_0480/klagomål/A 47107-2021 FSC-klagomål.docx", "A 47107-2021")</f>
        <v/>
      </c>
      <c r="W112">
        <f>HYPERLINK("https://klasma.github.io/Logging_0480/klagomålsmail/A 47107-2021 FSC-klagomål mail.docx", "A 47107-2021")</f>
        <v/>
      </c>
      <c r="X112">
        <f>HYPERLINK("https://klasma.github.io/Logging_0480/tillsyn/A 47107-2021 tillsynsbegäran.docx", "A 47107-2021")</f>
        <v/>
      </c>
      <c r="Y112">
        <f>HYPERLINK("https://klasma.github.io/Logging_0480/tillsynsmail/A 47107-2021 tillsynsbegäran mail.docx", "A 47107-2021")</f>
        <v/>
      </c>
      <c r="Z112">
        <f>HYPERLINK("https://klasma.github.io/Logging_0480/fåglar/A 47107-2021 prioriterade fågelarter.docx", "A 47107-2021")</f>
        <v/>
      </c>
    </row>
    <row r="113" ht="15" customHeight="1">
      <c r="A113" t="inlineStr">
        <is>
          <t>A 58396-2021</t>
        </is>
      </c>
      <c r="B113" s="1" t="n">
        <v>44488</v>
      </c>
      <c r="C113" s="1" t="n">
        <v>45827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HYPERLINK("https://klasma.github.io/Logging_0480/artfynd/A 58396-2021 artfynd.xlsx", "A 58396-2021")</f>
        <v/>
      </c>
      <c r="T113">
        <f>HYPERLINK("https://klasma.github.io/Logging_0480/kartor/A 58396-2021 karta.png", "A 58396-2021")</f>
        <v/>
      </c>
      <c r="V113">
        <f>HYPERLINK("https://klasma.github.io/Logging_0480/klagomål/A 58396-2021 FSC-klagomål.docx", "A 58396-2021")</f>
        <v/>
      </c>
      <c r="W113">
        <f>HYPERLINK("https://klasma.github.io/Logging_0480/klagomålsmail/A 58396-2021 FSC-klagomål mail.docx", "A 58396-2021")</f>
        <v/>
      </c>
      <c r="X113">
        <f>HYPERLINK("https://klasma.github.io/Logging_0480/tillsyn/A 58396-2021 tillsynsbegäran.docx", "A 58396-2021")</f>
        <v/>
      </c>
      <c r="Y113">
        <f>HYPERLINK("https://klasma.github.io/Logging_0480/tillsynsmail/A 58396-2021 tillsynsbegäran mail.docx", "A 58396-2021")</f>
        <v/>
      </c>
      <c r="Z113">
        <f>HYPERLINK("https://klasma.github.io/Logging_0480/fåglar/A 58396-2021 prioriterade fågelarter.docx", "A 58396-2021")</f>
        <v/>
      </c>
    </row>
    <row r="114" ht="15" customHeight="1">
      <c r="A114" t="inlineStr">
        <is>
          <t>A 61071-2021</t>
        </is>
      </c>
      <c r="B114" s="1" t="n">
        <v>44497</v>
      </c>
      <c r="C114" s="1" t="n">
        <v>45827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Bronshjon</t>
        </is>
      </c>
      <c r="S114">
        <f>HYPERLINK("https://klasma.github.io/Logging_0480/artfynd/A 61071-2021 artfynd.xlsx", "A 61071-2021")</f>
        <v/>
      </c>
      <c r="T114">
        <f>HYPERLINK("https://klasma.github.io/Logging_0480/kartor/A 61071-2021 karta.png", "A 61071-2021")</f>
        <v/>
      </c>
      <c r="V114">
        <f>HYPERLINK("https://klasma.github.io/Logging_0480/klagomål/A 61071-2021 FSC-klagomål.docx", "A 61071-2021")</f>
        <v/>
      </c>
      <c r="W114">
        <f>HYPERLINK("https://klasma.github.io/Logging_0480/klagomålsmail/A 61071-2021 FSC-klagomål mail.docx", "A 61071-2021")</f>
        <v/>
      </c>
      <c r="X114">
        <f>HYPERLINK("https://klasma.github.io/Logging_0480/tillsyn/A 61071-2021 tillsynsbegäran.docx", "A 61071-2021")</f>
        <v/>
      </c>
      <c r="Y114">
        <f>HYPERLINK("https://klasma.github.io/Logging_0480/tillsynsmail/A 61071-2021 tillsynsbegäran mail.docx", "A 61071-2021")</f>
        <v/>
      </c>
    </row>
    <row r="115" ht="15" customHeight="1">
      <c r="A115" t="inlineStr">
        <is>
          <t>A 62716-2021</t>
        </is>
      </c>
      <c r="B115" s="1" t="n">
        <v>44503</v>
      </c>
      <c r="C115" s="1" t="n">
        <v>45827</v>
      </c>
      <c r="D115" t="inlineStr">
        <is>
          <t>SÖDERMANLANDS LÄN</t>
        </is>
      </c>
      <c r="E115" t="inlineStr">
        <is>
          <t>NYKÖPING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62716-2021 artfynd.xlsx", "A 62716-2021")</f>
        <v/>
      </c>
      <c r="T115">
        <f>HYPERLINK("https://klasma.github.io/Logging_0480/kartor/A 62716-2021 karta.png", "A 62716-2021")</f>
        <v/>
      </c>
      <c r="V115">
        <f>HYPERLINK("https://klasma.github.io/Logging_0480/klagomål/A 62716-2021 FSC-klagomål.docx", "A 62716-2021")</f>
        <v/>
      </c>
      <c r="W115">
        <f>HYPERLINK("https://klasma.github.io/Logging_0480/klagomålsmail/A 62716-2021 FSC-klagomål mail.docx", "A 62716-2021")</f>
        <v/>
      </c>
      <c r="X115">
        <f>HYPERLINK("https://klasma.github.io/Logging_0480/tillsyn/A 62716-2021 tillsynsbegäran.docx", "A 62716-2021")</f>
        <v/>
      </c>
      <c r="Y115">
        <f>HYPERLINK("https://klasma.github.io/Logging_0480/tillsynsmail/A 62716-2021 tillsynsbegäran mail.docx", "A 62716-2021")</f>
        <v/>
      </c>
    </row>
    <row r="116" ht="15" customHeight="1">
      <c r="A116" t="inlineStr">
        <is>
          <t>A 65889-2021</t>
        </is>
      </c>
      <c r="B116" s="1" t="n">
        <v>44517</v>
      </c>
      <c r="C116" s="1" t="n">
        <v>45827</v>
      </c>
      <c r="D116" t="inlineStr">
        <is>
          <t>SÖDERMANLANDS LÄN</t>
        </is>
      </c>
      <c r="E116" t="inlineStr">
        <is>
          <t>NYKÖPING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Backstarr</t>
        </is>
      </c>
      <c r="S116">
        <f>HYPERLINK("https://klasma.github.io/Logging_0480/artfynd/A 65889-2021 artfynd.xlsx", "A 65889-2021")</f>
        <v/>
      </c>
      <c r="T116">
        <f>HYPERLINK("https://klasma.github.io/Logging_0480/kartor/A 65889-2021 karta.png", "A 65889-2021")</f>
        <v/>
      </c>
      <c r="V116">
        <f>HYPERLINK("https://klasma.github.io/Logging_0480/klagomål/A 65889-2021 FSC-klagomål.docx", "A 65889-2021")</f>
        <v/>
      </c>
      <c r="W116">
        <f>HYPERLINK("https://klasma.github.io/Logging_0480/klagomålsmail/A 65889-2021 FSC-klagomål mail.docx", "A 65889-2021")</f>
        <v/>
      </c>
      <c r="X116">
        <f>HYPERLINK("https://klasma.github.io/Logging_0480/tillsyn/A 65889-2021 tillsynsbegäran.docx", "A 65889-2021")</f>
        <v/>
      </c>
      <c r="Y116">
        <f>HYPERLINK("https://klasma.github.io/Logging_0480/tillsynsmail/A 65889-2021 tillsynsbegäran mail.docx", "A 65889-2021")</f>
        <v/>
      </c>
    </row>
    <row r="117" ht="15" customHeight="1">
      <c r="A117" t="inlineStr">
        <is>
          <t>A 65892-2021</t>
        </is>
      </c>
      <c r="B117" s="1" t="n">
        <v>44517</v>
      </c>
      <c r="C117" s="1" t="n">
        <v>45827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65892-2021 artfynd.xlsx", "A 65892-2021")</f>
        <v/>
      </c>
      <c r="T117">
        <f>HYPERLINK("https://klasma.github.io/Logging_0480/kartor/A 65892-2021 karta.png", "A 65892-2021")</f>
        <v/>
      </c>
      <c r="V117">
        <f>HYPERLINK("https://klasma.github.io/Logging_0480/klagomål/A 65892-2021 FSC-klagomål.docx", "A 65892-2021")</f>
        <v/>
      </c>
      <c r="W117">
        <f>HYPERLINK("https://klasma.github.io/Logging_0480/klagomålsmail/A 65892-2021 FSC-klagomål mail.docx", "A 65892-2021")</f>
        <v/>
      </c>
      <c r="X117">
        <f>HYPERLINK("https://klasma.github.io/Logging_0480/tillsyn/A 65892-2021 tillsynsbegäran.docx", "A 65892-2021")</f>
        <v/>
      </c>
      <c r="Y117">
        <f>HYPERLINK("https://klasma.github.io/Logging_0480/tillsynsmail/A 65892-2021 tillsynsbegäran mail.docx", "A 65892-2021")</f>
        <v/>
      </c>
    </row>
    <row r="118" ht="15" customHeight="1">
      <c r="A118" t="inlineStr">
        <is>
          <t>A 67819-2021</t>
        </is>
      </c>
      <c r="B118" s="1" t="n">
        <v>44525</v>
      </c>
      <c r="C118" s="1" t="n">
        <v>45827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HYPERLINK("https://klasma.github.io/Logging_0480/artfynd/A 67819-2021 artfynd.xlsx", "A 67819-2021")</f>
        <v/>
      </c>
      <c r="T118">
        <f>HYPERLINK("https://klasma.github.io/Logging_0480/kartor/A 67819-2021 karta.png", "A 67819-2021")</f>
        <v/>
      </c>
      <c r="V118">
        <f>HYPERLINK("https://klasma.github.io/Logging_0480/klagomål/A 67819-2021 FSC-klagomål.docx", "A 67819-2021")</f>
        <v/>
      </c>
      <c r="W118">
        <f>HYPERLINK("https://klasma.github.io/Logging_0480/klagomålsmail/A 67819-2021 FSC-klagomål mail.docx", "A 67819-2021")</f>
        <v/>
      </c>
      <c r="X118">
        <f>HYPERLINK("https://klasma.github.io/Logging_0480/tillsyn/A 67819-2021 tillsynsbegäran.docx", "A 67819-2021")</f>
        <v/>
      </c>
      <c r="Y118">
        <f>HYPERLINK("https://klasma.github.io/Logging_0480/tillsynsmail/A 67819-2021 tillsynsbegäran mail.docx", "A 67819-2021")</f>
        <v/>
      </c>
    </row>
    <row r="119" ht="15" customHeight="1">
      <c r="A119" t="inlineStr">
        <is>
          <t>A 69612-2021</t>
        </is>
      </c>
      <c r="B119" s="1" t="n">
        <v>44531</v>
      </c>
      <c r="C119" s="1" t="n">
        <v>45827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HYPERLINK("https://klasma.github.io/Logging_0480/artfynd/A 69612-2021 artfynd.xlsx", "A 69612-2021")</f>
        <v/>
      </c>
      <c r="T119">
        <f>HYPERLINK("https://klasma.github.io/Logging_0480/kartor/A 69612-2021 karta.png", "A 69612-2021")</f>
        <v/>
      </c>
      <c r="V119">
        <f>HYPERLINK("https://klasma.github.io/Logging_0480/klagomål/A 69612-2021 FSC-klagomål.docx", "A 69612-2021")</f>
        <v/>
      </c>
      <c r="W119">
        <f>HYPERLINK("https://klasma.github.io/Logging_0480/klagomålsmail/A 69612-2021 FSC-klagomål mail.docx", "A 69612-2021")</f>
        <v/>
      </c>
      <c r="X119">
        <f>HYPERLINK("https://klasma.github.io/Logging_0480/tillsyn/A 69612-2021 tillsynsbegäran.docx", "A 69612-2021")</f>
        <v/>
      </c>
      <c r="Y119">
        <f>HYPERLINK("https://klasma.github.io/Logging_0480/tillsynsmail/A 69612-2021 tillsynsbegäran mail.docx", "A 69612-2021")</f>
        <v/>
      </c>
    </row>
    <row r="120" ht="15" customHeight="1">
      <c r="A120" t="inlineStr">
        <is>
          <t>A 9973-2022</t>
        </is>
      </c>
      <c r="B120" s="1" t="n">
        <v>44621</v>
      </c>
      <c r="C120" s="1" t="n">
        <v>45827</v>
      </c>
      <c r="D120" t="inlineStr">
        <is>
          <t>SÖDERMANLANDS LÄN</t>
        </is>
      </c>
      <c r="E120" t="inlineStr">
        <is>
          <t>NYKÖPING</t>
        </is>
      </c>
      <c r="G120" t="n">
        <v>18.3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HYPERLINK("https://klasma.github.io/Logging_0480/artfynd/A 9973-2022 artfynd.xlsx", "A 9973-2022")</f>
        <v/>
      </c>
      <c r="T120">
        <f>HYPERLINK("https://klasma.github.io/Logging_0480/kartor/A 9973-2022 karta.png", "A 9973-2022")</f>
        <v/>
      </c>
      <c r="V120">
        <f>HYPERLINK("https://klasma.github.io/Logging_0480/klagomål/A 9973-2022 FSC-klagomål.docx", "A 9973-2022")</f>
        <v/>
      </c>
      <c r="W120">
        <f>HYPERLINK("https://klasma.github.io/Logging_0480/klagomålsmail/A 9973-2022 FSC-klagomål mail.docx", "A 9973-2022")</f>
        <v/>
      </c>
      <c r="X120">
        <f>HYPERLINK("https://klasma.github.io/Logging_0480/tillsyn/A 9973-2022 tillsynsbegäran.docx", "A 9973-2022")</f>
        <v/>
      </c>
      <c r="Y120">
        <f>HYPERLINK("https://klasma.github.io/Logging_0480/tillsynsmail/A 9973-2022 tillsynsbegäran mail.docx", "A 9973-2022")</f>
        <v/>
      </c>
    </row>
    <row r="121" ht="15" customHeight="1">
      <c r="A121" t="inlineStr">
        <is>
          <t>A 11751-2022</t>
        </is>
      </c>
      <c r="B121" s="1" t="n">
        <v>44634</v>
      </c>
      <c r="C121" s="1" t="n">
        <v>45827</v>
      </c>
      <c r="D121" t="inlineStr">
        <is>
          <t>SÖDERMANLANDS LÄN</t>
        </is>
      </c>
      <c r="E121" t="inlineStr">
        <is>
          <t>NYKÖPING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Ljungögontröst</t>
        </is>
      </c>
      <c r="S121">
        <f>HYPERLINK("https://klasma.github.io/Logging_0480/artfynd/A 11751-2022 artfynd.xlsx", "A 11751-2022")</f>
        <v/>
      </c>
      <c r="T121">
        <f>HYPERLINK("https://klasma.github.io/Logging_0480/kartor/A 11751-2022 karta.png", "A 11751-2022")</f>
        <v/>
      </c>
      <c r="V121">
        <f>HYPERLINK("https://klasma.github.io/Logging_0480/klagomål/A 11751-2022 FSC-klagomål.docx", "A 11751-2022")</f>
        <v/>
      </c>
      <c r="W121">
        <f>HYPERLINK("https://klasma.github.io/Logging_0480/klagomålsmail/A 11751-2022 FSC-klagomål mail.docx", "A 11751-2022")</f>
        <v/>
      </c>
      <c r="X121">
        <f>HYPERLINK("https://klasma.github.io/Logging_0480/tillsyn/A 11751-2022 tillsynsbegäran.docx", "A 11751-2022")</f>
        <v/>
      </c>
      <c r="Y121">
        <f>HYPERLINK("https://klasma.github.io/Logging_0480/tillsynsmail/A 11751-2022 tillsynsbegäran mail.docx", "A 11751-2022")</f>
        <v/>
      </c>
    </row>
    <row r="122" ht="15" customHeight="1">
      <c r="A122" t="inlineStr">
        <is>
          <t>A 13464-2022</t>
        </is>
      </c>
      <c r="B122" s="1" t="n">
        <v>44645</v>
      </c>
      <c r="C122" s="1" t="n">
        <v>45827</v>
      </c>
      <c r="D122" t="inlineStr">
        <is>
          <t>SÖDERMANLANDS LÄN</t>
        </is>
      </c>
      <c r="E122" t="inlineStr">
        <is>
          <t>NYKÖPING</t>
        </is>
      </c>
      <c r="G122" t="n">
        <v>12.6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HYPERLINK("https://klasma.github.io/Logging_0480/artfynd/A 13464-2022 artfynd.xlsx", "A 13464-2022")</f>
        <v/>
      </c>
      <c r="T122">
        <f>HYPERLINK("https://klasma.github.io/Logging_0480/kartor/A 13464-2022 karta.png", "A 13464-2022")</f>
        <v/>
      </c>
      <c r="V122">
        <f>HYPERLINK("https://klasma.github.io/Logging_0480/klagomål/A 13464-2022 FSC-klagomål.docx", "A 13464-2022")</f>
        <v/>
      </c>
      <c r="W122">
        <f>HYPERLINK("https://klasma.github.io/Logging_0480/klagomålsmail/A 13464-2022 FSC-klagomål mail.docx", "A 13464-2022")</f>
        <v/>
      </c>
      <c r="X122">
        <f>HYPERLINK("https://klasma.github.io/Logging_0480/tillsyn/A 13464-2022 tillsynsbegäran.docx", "A 13464-2022")</f>
        <v/>
      </c>
      <c r="Y122">
        <f>HYPERLINK("https://klasma.github.io/Logging_0480/tillsynsmail/A 13464-2022 tillsynsbegäran mail.docx", "A 13464-2022")</f>
        <v/>
      </c>
    </row>
    <row r="123" ht="15" customHeight="1">
      <c r="A123" t="inlineStr">
        <is>
          <t>A 36996-2022</t>
        </is>
      </c>
      <c r="B123" s="1" t="n">
        <v>44806</v>
      </c>
      <c r="C123" s="1" t="n">
        <v>45827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HYPERLINK("https://klasma.github.io/Logging_0480/artfynd/A 36996-2022 artfynd.xlsx", "A 36996-2022")</f>
        <v/>
      </c>
      <c r="T123">
        <f>HYPERLINK("https://klasma.github.io/Logging_0480/kartor/A 36996-2022 karta.png", "A 36996-2022")</f>
        <v/>
      </c>
      <c r="V123">
        <f>HYPERLINK("https://klasma.github.io/Logging_0480/klagomål/A 36996-2022 FSC-klagomål.docx", "A 36996-2022")</f>
        <v/>
      </c>
      <c r="W123">
        <f>HYPERLINK("https://klasma.github.io/Logging_0480/klagomålsmail/A 36996-2022 FSC-klagomål mail.docx", "A 36996-2022")</f>
        <v/>
      </c>
      <c r="X123">
        <f>HYPERLINK("https://klasma.github.io/Logging_0480/tillsyn/A 36996-2022 tillsynsbegäran.docx", "A 36996-2022")</f>
        <v/>
      </c>
      <c r="Y123">
        <f>HYPERLINK("https://klasma.github.io/Logging_0480/tillsynsmail/A 36996-2022 tillsynsbegäran mail.docx", "A 36996-2022")</f>
        <v/>
      </c>
    </row>
    <row r="124" ht="15" customHeight="1">
      <c r="A124" t="inlineStr">
        <is>
          <t>A 39740-2022</t>
        </is>
      </c>
      <c r="B124" s="1" t="n">
        <v>44817</v>
      </c>
      <c r="C124" s="1" t="n">
        <v>45827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39740-2022 artfynd.xlsx", "A 39740-2022")</f>
        <v/>
      </c>
      <c r="T124">
        <f>HYPERLINK("https://klasma.github.io/Logging_0480/kartor/A 39740-2022 karta.png", "A 39740-2022")</f>
        <v/>
      </c>
      <c r="V124">
        <f>HYPERLINK("https://klasma.github.io/Logging_0480/klagomål/A 39740-2022 FSC-klagomål.docx", "A 39740-2022")</f>
        <v/>
      </c>
      <c r="W124">
        <f>HYPERLINK("https://klasma.github.io/Logging_0480/klagomålsmail/A 39740-2022 FSC-klagomål mail.docx", "A 39740-2022")</f>
        <v/>
      </c>
      <c r="X124">
        <f>HYPERLINK("https://klasma.github.io/Logging_0480/tillsyn/A 39740-2022 tillsynsbegäran.docx", "A 39740-2022")</f>
        <v/>
      </c>
      <c r="Y124">
        <f>HYPERLINK("https://klasma.github.io/Logging_0480/tillsynsmail/A 39740-2022 tillsynsbegäran mail.docx", "A 39740-2022")</f>
        <v/>
      </c>
    </row>
    <row r="125" ht="15" customHeight="1">
      <c r="A125" t="inlineStr">
        <is>
          <t>A 41242-2022</t>
        </is>
      </c>
      <c r="B125" s="1" t="n">
        <v>44826</v>
      </c>
      <c r="C125" s="1" t="n">
        <v>45827</v>
      </c>
      <c r="D125" t="inlineStr">
        <is>
          <t>SÖDERMANLANDS LÄN</t>
        </is>
      </c>
      <c r="E125" t="inlineStr">
        <is>
          <t>NYKÖPING</t>
        </is>
      </c>
      <c r="G125" t="n">
        <v>17.2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Gullviva</t>
        </is>
      </c>
      <c r="S125">
        <f>HYPERLINK("https://klasma.github.io/Logging_0480/artfynd/A 41242-2022 artfynd.xlsx", "A 41242-2022")</f>
        <v/>
      </c>
      <c r="T125">
        <f>HYPERLINK("https://klasma.github.io/Logging_0480/kartor/A 41242-2022 karta.png", "A 41242-2022")</f>
        <v/>
      </c>
      <c r="V125">
        <f>HYPERLINK("https://klasma.github.io/Logging_0480/klagomål/A 41242-2022 FSC-klagomål.docx", "A 41242-2022")</f>
        <v/>
      </c>
      <c r="W125">
        <f>HYPERLINK("https://klasma.github.io/Logging_0480/klagomålsmail/A 41242-2022 FSC-klagomål mail.docx", "A 41242-2022")</f>
        <v/>
      </c>
      <c r="X125">
        <f>HYPERLINK("https://klasma.github.io/Logging_0480/tillsyn/A 41242-2022 tillsynsbegäran.docx", "A 41242-2022")</f>
        <v/>
      </c>
      <c r="Y125">
        <f>HYPERLINK("https://klasma.github.io/Logging_0480/tillsynsmail/A 41242-2022 tillsynsbegäran mail.docx", "A 41242-2022")</f>
        <v/>
      </c>
    </row>
    <row r="126" ht="15" customHeight="1">
      <c r="A126" t="inlineStr">
        <is>
          <t>A 52095-2022</t>
        </is>
      </c>
      <c r="B126" s="1" t="n">
        <v>44873</v>
      </c>
      <c r="C126" s="1" t="n">
        <v>45827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Drillsnäppa</t>
        </is>
      </c>
      <c r="S126">
        <f>HYPERLINK("https://klasma.github.io/Logging_0480/artfynd/A 52095-2022 artfynd.xlsx", "A 52095-2022")</f>
        <v/>
      </c>
      <c r="T126">
        <f>HYPERLINK("https://klasma.github.io/Logging_0480/kartor/A 52095-2022 karta.png", "A 52095-2022")</f>
        <v/>
      </c>
      <c r="V126">
        <f>HYPERLINK("https://klasma.github.io/Logging_0480/klagomål/A 52095-2022 FSC-klagomål.docx", "A 52095-2022")</f>
        <v/>
      </c>
      <c r="W126">
        <f>HYPERLINK("https://klasma.github.io/Logging_0480/klagomålsmail/A 52095-2022 FSC-klagomål mail.docx", "A 52095-2022")</f>
        <v/>
      </c>
      <c r="X126">
        <f>HYPERLINK("https://klasma.github.io/Logging_0480/tillsyn/A 52095-2022 tillsynsbegäran.docx", "A 52095-2022")</f>
        <v/>
      </c>
      <c r="Y126">
        <f>HYPERLINK("https://klasma.github.io/Logging_0480/tillsynsmail/A 52095-2022 tillsynsbegäran mail.docx", "A 52095-2022")</f>
        <v/>
      </c>
    </row>
    <row r="127" ht="15" customHeight="1">
      <c r="A127" t="inlineStr">
        <is>
          <t>A 2842-2023</t>
        </is>
      </c>
      <c r="B127" s="1" t="n">
        <v>44945</v>
      </c>
      <c r="C127" s="1" t="n">
        <v>45827</v>
      </c>
      <c r="D127" t="inlineStr">
        <is>
          <t>SÖDERMANLANDS LÄN</t>
        </is>
      </c>
      <c r="E127" t="inlineStr">
        <is>
          <t>NYKÖPING</t>
        </is>
      </c>
      <c r="G127" t="n">
        <v>6.7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Svavelriska</t>
        </is>
      </c>
      <c r="S127">
        <f>HYPERLINK("https://klasma.github.io/Logging_0480/artfynd/A 2842-2023 artfynd.xlsx", "A 2842-2023")</f>
        <v/>
      </c>
      <c r="T127">
        <f>HYPERLINK("https://klasma.github.io/Logging_0480/kartor/A 2842-2023 karta.png", "A 2842-2023")</f>
        <v/>
      </c>
      <c r="V127">
        <f>HYPERLINK("https://klasma.github.io/Logging_0480/klagomål/A 2842-2023 FSC-klagomål.docx", "A 2842-2023")</f>
        <v/>
      </c>
      <c r="W127">
        <f>HYPERLINK("https://klasma.github.io/Logging_0480/klagomålsmail/A 2842-2023 FSC-klagomål mail.docx", "A 2842-2023")</f>
        <v/>
      </c>
      <c r="X127">
        <f>HYPERLINK("https://klasma.github.io/Logging_0480/tillsyn/A 2842-2023 tillsynsbegäran.docx", "A 2842-2023")</f>
        <v/>
      </c>
      <c r="Y127">
        <f>HYPERLINK("https://klasma.github.io/Logging_0480/tillsynsmail/A 2842-2023 tillsynsbegäran mail.docx", "A 2842-2023")</f>
        <v/>
      </c>
    </row>
    <row r="128" ht="15" customHeight="1">
      <c r="A128" t="inlineStr">
        <is>
          <t>A 9221-2023</t>
        </is>
      </c>
      <c r="B128" s="1" t="n">
        <v>44977</v>
      </c>
      <c r="C128" s="1" t="n">
        <v>45827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HYPERLINK("https://klasma.github.io/Logging_0480/artfynd/A 9221-2023 artfynd.xlsx", "A 9221-2023")</f>
        <v/>
      </c>
      <c r="T128">
        <f>HYPERLINK("https://klasma.github.io/Logging_0480/kartor/A 9221-2023 karta.png", "A 9221-2023")</f>
        <v/>
      </c>
      <c r="V128">
        <f>HYPERLINK("https://klasma.github.io/Logging_0480/klagomål/A 9221-2023 FSC-klagomål.docx", "A 9221-2023")</f>
        <v/>
      </c>
      <c r="W128">
        <f>HYPERLINK("https://klasma.github.io/Logging_0480/klagomålsmail/A 9221-2023 FSC-klagomål mail.docx", "A 9221-2023")</f>
        <v/>
      </c>
      <c r="X128">
        <f>HYPERLINK("https://klasma.github.io/Logging_0480/tillsyn/A 9221-2023 tillsynsbegäran.docx", "A 9221-2023")</f>
        <v/>
      </c>
      <c r="Y128">
        <f>HYPERLINK("https://klasma.github.io/Logging_0480/tillsynsmail/A 9221-2023 tillsynsbegäran mail.docx", "A 9221-2023")</f>
        <v/>
      </c>
    </row>
    <row r="129" ht="15" customHeight="1">
      <c r="A129" t="inlineStr">
        <is>
          <t>A 12891-2023</t>
        </is>
      </c>
      <c r="B129" s="1" t="n">
        <v>45001</v>
      </c>
      <c r="C129" s="1" t="n">
        <v>45827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HYPERLINK("https://klasma.github.io/Logging_0480/artfynd/A 12891-2023 artfynd.xlsx", "A 12891-2023")</f>
        <v/>
      </c>
      <c r="T129">
        <f>HYPERLINK("https://klasma.github.io/Logging_0480/kartor/A 12891-2023 karta.png", "A 12891-2023")</f>
        <v/>
      </c>
      <c r="V129">
        <f>HYPERLINK("https://klasma.github.io/Logging_0480/klagomål/A 12891-2023 FSC-klagomål.docx", "A 12891-2023")</f>
        <v/>
      </c>
      <c r="W129">
        <f>HYPERLINK("https://klasma.github.io/Logging_0480/klagomålsmail/A 12891-2023 FSC-klagomål mail.docx", "A 12891-2023")</f>
        <v/>
      </c>
      <c r="X129">
        <f>HYPERLINK("https://klasma.github.io/Logging_0480/tillsyn/A 12891-2023 tillsynsbegäran.docx", "A 12891-2023")</f>
        <v/>
      </c>
      <c r="Y129">
        <f>HYPERLINK("https://klasma.github.io/Logging_0480/tillsynsmail/A 12891-2023 tillsynsbegäran mail.docx", "A 12891-2023")</f>
        <v/>
      </c>
    </row>
    <row r="130" ht="15" customHeight="1">
      <c r="A130" t="inlineStr">
        <is>
          <t>A 16078-2023</t>
        </is>
      </c>
      <c r="B130" s="1" t="n">
        <v>45027</v>
      </c>
      <c r="C130" s="1" t="n">
        <v>45827</v>
      </c>
      <c r="D130" t="inlineStr">
        <is>
          <t>SÖDERMANLANDS LÄN</t>
        </is>
      </c>
      <c r="E130" t="inlineStr">
        <is>
          <t>NYKÖPING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Rödlånke</t>
        </is>
      </c>
      <c r="S130">
        <f>HYPERLINK("https://klasma.github.io/Logging_0480/artfynd/A 16078-2023 artfynd.xlsx", "A 16078-2023")</f>
        <v/>
      </c>
      <c r="T130">
        <f>HYPERLINK("https://klasma.github.io/Logging_0480/kartor/A 16078-2023 karta.png", "A 16078-2023")</f>
        <v/>
      </c>
      <c r="V130">
        <f>HYPERLINK("https://klasma.github.io/Logging_0480/klagomål/A 16078-2023 FSC-klagomål.docx", "A 16078-2023")</f>
        <v/>
      </c>
      <c r="W130">
        <f>HYPERLINK("https://klasma.github.io/Logging_0480/klagomålsmail/A 16078-2023 FSC-klagomål mail.docx", "A 16078-2023")</f>
        <v/>
      </c>
      <c r="X130">
        <f>HYPERLINK("https://klasma.github.io/Logging_0480/tillsyn/A 16078-2023 tillsynsbegäran.docx", "A 16078-2023")</f>
        <v/>
      </c>
      <c r="Y130">
        <f>HYPERLINK("https://klasma.github.io/Logging_0480/tillsynsmail/A 16078-2023 tillsynsbegäran mail.docx", "A 16078-2023")</f>
        <v/>
      </c>
    </row>
    <row r="131" ht="15" customHeight="1">
      <c r="A131" t="inlineStr">
        <is>
          <t>A 20325-2023</t>
        </is>
      </c>
      <c r="B131" s="1" t="n">
        <v>45056</v>
      </c>
      <c r="C131" s="1" t="n">
        <v>45827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HYPERLINK("https://klasma.github.io/Logging_0480/artfynd/A 20325-2023 artfynd.xlsx", "A 20325-2023")</f>
        <v/>
      </c>
      <c r="T131">
        <f>HYPERLINK("https://klasma.github.io/Logging_0480/kartor/A 20325-2023 karta.png", "A 20325-2023")</f>
        <v/>
      </c>
      <c r="V131">
        <f>HYPERLINK("https://klasma.github.io/Logging_0480/klagomål/A 20325-2023 FSC-klagomål.docx", "A 20325-2023")</f>
        <v/>
      </c>
      <c r="W131">
        <f>HYPERLINK("https://klasma.github.io/Logging_0480/klagomålsmail/A 20325-2023 FSC-klagomål mail.docx", "A 20325-2023")</f>
        <v/>
      </c>
      <c r="X131">
        <f>HYPERLINK("https://klasma.github.io/Logging_0480/tillsyn/A 20325-2023 tillsynsbegäran.docx", "A 20325-2023")</f>
        <v/>
      </c>
      <c r="Y131">
        <f>HYPERLINK("https://klasma.github.io/Logging_0480/tillsynsmail/A 20325-2023 tillsynsbegäran mail.docx", "A 20325-2023")</f>
        <v/>
      </c>
    </row>
    <row r="132" ht="15" customHeight="1">
      <c r="A132" t="inlineStr">
        <is>
          <t>A 28542-2023</t>
        </is>
      </c>
      <c r="B132" s="1" t="n">
        <v>45103</v>
      </c>
      <c r="C132" s="1" t="n">
        <v>45827</v>
      </c>
      <c r="D132" t="inlineStr">
        <is>
          <t>SÖDERMANLANDS LÄN</t>
        </is>
      </c>
      <c r="E132" t="inlineStr">
        <is>
          <t>NYKÖPING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HYPERLINK("https://klasma.github.io/Logging_0480/artfynd/A 28542-2023 artfynd.xlsx", "A 28542-2023")</f>
        <v/>
      </c>
      <c r="T132">
        <f>HYPERLINK("https://klasma.github.io/Logging_0480/kartor/A 28542-2023 karta.png", "A 28542-2023")</f>
        <v/>
      </c>
      <c r="U132">
        <f>HYPERLINK("https://klasma.github.io/Logging_0480/knärot/A 28542-2023 karta knärot.png", "A 28542-2023")</f>
        <v/>
      </c>
      <c r="V132">
        <f>HYPERLINK("https://klasma.github.io/Logging_0480/klagomål/A 28542-2023 FSC-klagomål.docx", "A 28542-2023")</f>
        <v/>
      </c>
      <c r="W132">
        <f>HYPERLINK("https://klasma.github.io/Logging_0480/klagomålsmail/A 28542-2023 FSC-klagomål mail.docx", "A 28542-2023")</f>
        <v/>
      </c>
      <c r="X132">
        <f>HYPERLINK("https://klasma.github.io/Logging_0480/tillsyn/A 28542-2023 tillsynsbegäran.docx", "A 28542-2023")</f>
        <v/>
      </c>
      <c r="Y132">
        <f>HYPERLINK("https://klasma.github.io/Logging_0480/tillsynsmail/A 28542-2023 tillsynsbegäran mail.docx", "A 28542-2023")</f>
        <v/>
      </c>
    </row>
    <row r="133" ht="15" customHeight="1">
      <c r="A133" t="inlineStr">
        <is>
          <t>A 35122-2023</t>
        </is>
      </c>
      <c r="B133" s="1" t="n">
        <v>45145</v>
      </c>
      <c r="C133" s="1" t="n">
        <v>45827</v>
      </c>
      <c r="D133" t="inlineStr">
        <is>
          <t>SÖDERMANLANDS LÄN</t>
        </is>
      </c>
      <c r="E133" t="inlineStr">
        <is>
          <t>NYKÖPING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35122-2023 artfynd.xlsx", "A 35122-2023")</f>
        <v/>
      </c>
      <c r="T133">
        <f>HYPERLINK("https://klasma.github.io/Logging_0480/kartor/A 35122-2023 karta.png", "A 35122-2023")</f>
        <v/>
      </c>
      <c r="V133">
        <f>HYPERLINK("https://klasma.github.io/Logging_0480/klagomål/A 35122-2023 FSC-klagomål.docx", "A 35122-2023")</f>
        <v/>
      </c>
      <c r="W133">
        <f>HYPERLINK("https://klasma.github.io/Logging_0480/klagomålsmail/A 35122-2023 FSC-klagomål mail.docx", "A 35122-2023")</f>
        <v/>
      </c>
      <c r="X133">
        <f>HYPERLINK("https://klasma.github.io/Logging_0480/tillsyn/A 35122-2023 tillsynsbegäran.docx", "A 35122-2023")</f>
        <v/>
      </c>
      <c r="Y133">
        <f>HYPERLINK("https://klasma.github.io/Logging_0480/tillsynsmail/A 35122-2023 tillsynsbegäran mail.docx", "A 35122-2023")</f>
        <v/>
      </c>
    </row>
    <row r="134" ht="15" customHeight="1">
      <c r="A134" t="inlineStr">
        <is>
          <t>A 39019-2023</t>
        </is>
      </c>
      <c r="B134" s="1" t="n">
        <v>45163</v>
      </c>
      <c r="C134" s="1" t="n">
        <v>45827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12.3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hackspett</t>
        </is>
      </c>
      <c r="S134">
        <f>HYPERLINK("https://klasma.github.io/Logging_0480/artfynd/A 39019-2023 artfynd.xlsx", "A 39019-2023")</f>
        <v/>
      </c>
      <c r="T134">
        <f>HYPERLINK("https://klasma.github.io/Logging_0480/kartor/A 39019-2023 karta.png", "A 39019-2023")</f>
        <v/>
      </c>
      <c r="V134">
        <f>HYPERLINK("https://klasma.github.io/Logging_0480/klagomål/A 39019-2023 FSC-klagomål.docx", "A 39019-2023")</f>
        <v/>
      </c>
      <c r="W134">
        <f>HYPERLINK("https://klasma.github.io/Logging_0480/klagomålsmail/A 39019-2023 FSC-klagomål mail.docx", "A 39019-2023")</f>
        <v/>
      </c>
      <c r="X134">
        <f>HYPERLINK("https://klasma.github.io/Logging_0480/tillsyn/A 39019-2023 tillsynsbegäran.docx", "A 39019-2023")</f>
        <v/>
      </c>
      <c r="Y134">
        <f>HYPERLINK("https://klasma.github.io/Logging_0480/tillsynsmail/A 39019-2023 tillsynsbegäran mail.docx", "A 39019-2023")</f>
        <v/>
      </c>
      <c r="Z134">
        <f>HYPERLINK("https://klasma.github.io/Logging_0480/fåglar/A 39019-2023 prioriterade fågelarter.docx", "A 39019-2023")</f>
        <v/>
      </c>
    </row>
    <row r="135" ht="15" customHeight="1">
      <c r="A135" t="inlineStr">
        <is>
          <t>A 43756-2023</t>
        </is>
      </c>
      <c r="B135" s="1" t="n">
        <v>45187</v>
      </c>
      <c r="C135" s="1" t="n">
        <v>45827</v>
      </c>
      <c r="D135" t="inlineStr">
        <is>
          <t>SÖDERMANLANDS LÄN</t>
        </is>
      </c>
      <c r="E135" t="inlineStr">
        <is>
          <t>NYKÖPING</t>
        </is>
      </c>
      <c r="G135" t="n">
        <v>5.4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Svedjenäva</t>
        </is>
      </c>
      <c r="S135">
        <f>HYPERLINK("https://klasma.github.io/Logging_0480/artfynd/A 43756-2023 artfynd.xlsx", "A 43756-2023")</f>
        <v/>
      </c>
      <c r="T135">
        <f>HYPERLINK("https://klasma.github.io/Logging_0480/kartor/A 43756-2023 karta.png", "A 43756-2023")</f>
        <v/>
      </c>
      <c r="V135">
        <f>HYPERLINK("https://klasma.github.io/Logging_0480/klagomål/A 43756-2023 FSC-klagomål.docx", "A 43756-2023")</f>
        <v/>
      </c>
      <c r="W135">
        <f>HYPERLINK("https://klasma.github.io/Logging_0480/klagomålsmail/A 43756-2023 FSC-klagomål mail.docx", "A 43756-2023")</f>
        <v/>
      </c>
      <c r="X135">
        <f>HYPERLINK("https://klasma.github.io/Logging_0480/tillsyn/A 43756-2023 tillsynsbegäran.docx", "A 43756-2023")</f>
        <v/>
      </c>
      <c r="Y135">
        <f>HYPERLINK("https://klasma.github.io/Logging_0480/tillsynsmail/A 43756-2023 tillsynsbegäran mail.docx", "A 43756-2023")</f>
        <v/>
      </c>
    </row>
    <row r="136" ht="15" customHeight="1">
      <c r="A136" t="inlineStr">
        <is>
          <t>A 54498-2023</t>
        </is>
      </c>
      <c r="B136" s="1" t="n">
        <v>45226</v>
      </c>
      <c r="C136" s="1" t="n">
        <v>45827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HYPERLINK("https://klasma.github.io/Logging_0480/artfynd/A 54498-2023 artfynd.xlsx", "A 54498-2023")</f>
        <v/>
      </c>
      <c r="T136">
        <f>HYPERLINK("https://klasma.github.io/Logging_0480/kartor/A 54498-2023 karta.png", "A 54498-2023")</f>
        <v/>
      </c>
      <c r="V136">
        <f>HYPERLINK("https://klasma.github.io/Logging_0480/klagomål/A 54498-2023 FSC-klagomål.docx", "A 54498-2023")</f>
        <v/>
      </c>
      <c r="W136">
        <f>HYPERLINK("https://klasma.github.io/Logging_0480/klagomålsmail/A 54498-2023 FSC-klagomål mail.docx", "A 54498-2023")</f>
        <v/>
      </c>
      <c r="X136">
        <f>HYPERLINK("https://klasma.github.io/Logging_0480/tillsyn/A 54498-2023 tillsynsbegäran.docx", "A 54498-2023")</f>
        <v/>
      </c>
      <c r="Y136">
        <f>HYPERLINK("https://klasma.github.io/Logging_0480/tillsynsmail/A 54498-2023 tillsynsbegäran mail.docx", "A 54498-2023")</f>
        <v/>
      </c>
      <c r="Z136">
        <f>HYPERLINK("https://klasma.github.io/Logging_0480/fåglar/A 54498-2023 prioriterade fågelarter.docx", "A 54498-2023")</f>
        <v/>
      </c>
    </row>
    <row r="137" ht="15" customHeight="1">
      <c r="A137" t="inlineStr">
        <is>
          <t>A 53340-2023</t>
        </is>
      </c>
      <c r="B137" s="1" t="n">
        <v>45229</v>
      </c>
      <c r="C137" s="1" t="n">
        <v>45827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53340-2023 artfynd.xlsx", "A 53340-2023")</f>
        <v/>
      </c>
      <c r="T137">
        <f>HYPERLINK("https://klasma.github.io/Logging_0480/kartor/A 53340-2023 karta.png", "A 53340-2023")</f>
        <v/>
      </c>
      <c r="V137">
        <f>HYPERLINK("https://klasma.github.io/Logging_0480/klagomål/A 53340-2023 FSC-klagomål.docx", "A 53340-2023")</f>
        <v/>
      </c>
      <c r="W137">
        <f>HYPERLINK("https://klasma.github.io/Logging_0480/klagomålsmail/A 53340-2023 FSC-klagomål mail.docx", "A 53340-2023")</f>
        <v/>
      </c>
      <c r="X137">
        <f>HYPERLINK("https://klasma.github.io/Logging_0480/tillsyn/A 53340-2023 tillsynsbegäran.docx", "A 53340-2023")</f>
        <v/>
      </c>
      <c r="Y137">
        <f>HYPERLINK("https://klasma.github.io/Logging_0480/tillsynsmail/A 53340-2023 tillsynsbegäran mail.docx", "A 53340-2023")</f>
        <v/>
      </c>
    </row>
    <row r="138" ht="15" customHeight="1">
      <c r="A138" t="inlineStr">
        <is>
          <t>A 59329-2023</t>
        </is>
      </c>
      <c r="B138" s="1" t="n">
        <v>45252</v>
      </c>
      <c r="C138" s="1" t="n">
        <v>45827</v>
      </c>
      <c r="D138" t="inlineStr">
        <is>
          <t>SÖDERMANLANDS LÄN</t>
        </is>
      </c>
      <c r="E138" t="inlineStr">
        <is>
          <t>NYKÖPING</t>
        </is>
      </c>
      <c r="G138" t="n">
        <v>22.1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HYPERLINK("https://klasma.github.io/Logging_0480/artfynd/A 59329-2023 artfynd.xlsx", "A 59329-2023")</f>
        <v/>
      </c>
      <c r="T138">
        <f>HYPERLINK("https://klasma.github.io/Logging_0480/kartor/A 59329-2023 karta.png", "A 59329-2023")</f>
        <v/>
      </c>
      <c r="V138">
        <f>HYPERLINK("https://klasma.github.io/Logging_0480/klagomål/A 59329-2023 FSC-klagomål.docx", "A 59329-2023")</f>
        <v/>
      </c>
      <c r="W138">
        <f>HYPERLINK("https://klasma.github.io/Logging_0480/klagomålsmail/A 59329-2023 FSC-klagomål mail.docx", "A 59329-2023")</f>
        <v/>
      </c>
      <c r="X138">
        <f>HYPERLINK("https://klasma.github.io/Logging_0480/tillsyn/A 59329-2023 tillsynsbegäran.docx", "A 59329-2023")</f>
        <v/>
      </c>
      <c r="Y138">
        <f>HYPERLINK("https://klasma.github.io/Logging_0480/tillsynsmail/A 59329-2023 tillsynsbegäran mail.docx", "A 59329-2023")</f>
        <v/>
      </c>
    </row>
    <row r="139" ht="15" customHeight="1">
      <c r="A139" t="inlineStr">
        <is>
          <t>A 891-2024</t>
        </is>
      </c>
      <c r="B139" s="1" t="n">
        <v>45301</v>
      </c>
      <c r="C139" s="1" t="n">
        <v>45827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HYPERLINK("https://klasma.github.io/Logging_0480/artfynd/A 891-2024 artfynd.xlsx", "A 891-2024")</f>
        <v/>
      </c>
      <c r="T139">
        <f>HYPERLINK("https://klasma.github.io/Logging_0480/kartor/A 891-2024 karta.png", "A 891-2024")</f>
        <v/>
      </c>
      <c r="V139">
        <f>HYPERLINK("https://klasma.github.io/Logging_0480/klagomål/A 891-2024 FSC-klagomål.docx", "A 891-2024")</f>
        <v/>
      </c>
      <c r="W139">
        <f>HYPERLINK("https://klasma.github.io/Logging_0480/klagomålsmail/A 891-2024 FSC-klagomål mail.docx", "A 891-2024")</f>
        <v/>
      </c>
      <c r="X139">
        <f>HYPERLINK("https://klasma.github.io/Logging_0480/tillsyn/A 891-2024 tillsynsbegäran.docx", "A 891-2024")</f>
        <v/>
      </c>
      <c r="Y139">
        <f>HYPERLINK("https://klasma.github.io/Logging_0480/tillsynsmail/A 891-2024 tillsynsbegäran mail.docx", "A 891-2024")</f>
        <v/>
      </c>
    </row>
    <row r="140" ht="15" customHeight="1">
      <c r="A140" t="inlineStr">
        <is>
          <t>A 2902-2024</t>
        </is>
      </c>
      <c r="B140" s="1" t="n">
        <v>45315</v>
      </c>
      <c r="C140" s="1" t="n">
        <v>45827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3.7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Stubbspretmossa</t>
        </is>
      </c>
      <c r="S140">
        <f>HYPERLINK("https://klasma.github.io/Logging_0480/artfynd/A 2902-2024 artfynd.xlsx", "A 2902-2024")</f>
        <v/>
      </c>
      <c r="T140">
        <f>HYPERLINK("https://klasma.github.io/Logging_0480/kartor/A 2902-2024 karta.png", "A 2902-2024")</f>
        <v/>
      </c>
      <c r="V140">
        <f>HYPERLINK("https://klasma.github.io/Logging_0480/klagomål/A 2902-2024 FSC-klagomål.docx", "A 2902-2024")</f>
        <v/>
      </c>
      <c r="W140">
        <f>HYPERLINK("https://klasma.github.io/Logging_0480/klagomålsmail/A 2902-2024 FSC-klagomål mail.docx", "A 2902-2024")</f>
        <v/>
      </c>
      <c r="X140">
        <f>HYPERLINK("https://klasma.github.io/Logging_0480/tillsyn/A 2902-2024 tillsynsbegäran.docx", "A 2902-2024")</f>
        <v/>
      </c>
      <c r="Y140">
        <f>HYPERLINK("https://klasma.github.io/Logging_0480/tillsynsmail/A 2902-2024 tillsynsbegäran mail.docx", "A 2902-2024")</f>
        <v/>
      </c>
    </row>
    <row r="141" ht="15" customHeight="1">
      <c r="A141" t="inlineStr">
        <is>
          <t>A 4725-2024</t>
        </is>
      </c>
      <c r="B141" s="1" t="n">
        <v>45328</v>
      </c>
      <c r="C141" s="1" t="n">
        <v>45827</v>
      </c>
      <c r="D141" t="inlineStr">
        <is>
          <t>SÖDERMANLANDS LÄN</t>
        </is>
      </c>
      <c r="E141" t="inlineStr">
        <is>
          <t>NYKÖPING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Plattsäv</t>
        </is>
      </c>
      <c r="S141">
        <f>HYPERLINK("https://klasma.github.io/Logging_0480/artfynd/A 4725-2024 artfynd.xlsx", "A 4725-2024")</f>
        <v/>
      </c>
      <c r="T141">
        <f>HYPERLINK("https://klasma.github.io/Logging_0480/kartor/A 4725-2024 karta.png", "A 4725-2024")</f>
        <v/>
      </c>
      <c r="V141">
        <f>HYPERLINK("https://klasma.github.io/Logging_0480/klagomål/A 4725-2024 FSC-klagomål.docx", "A 4725-2024")</f>
        <v/>
      </c>
      <c r="W141">
        <f>HYPERLINK("https://klasma.github.io/Logging_0480/klagomålsmail/A 4725-2024 FSC-klagomål mail.docx", "A 4725-2024")</f>
        <v/>
      </c>
      <c r="X141">
        <f>HYPERLINK("https://klasma.github.io/Logging_0480/tillsyn/A 4725-2024 tillsynsbegäran.docx", "A 4725-2024")</f>
        <v/>
      </c>
      <c r="Y141">
        <f>HYPERLINK("https://klasma.github.io/Logging_0480/tillsynsmail/A 4725-2024 tillsynsbegäran mail.docx", "A 4725-2024")</f>
        <v/>
      </c>
    </row>
    <row r="142" ht="15" customHeight="1">
      <c r="A142" t="inlineStr">
        <is>
          <t>A 9184-2024</t>
        </is>
      </c>
      <c r="B142" s="1" t="n">
        <v>45357</v>
      </c>
      <c r="C142" s="1" t="n">
        <v>45827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Raggtaggsvamp</t>
        </is>
      </c>
      <c r="S142">
        <f>HYPERLINK("https://klasma.github.io/Logging_0480/artfynd/A 9184-2024 artfynd.xlsx", "A 9184-2024")</f>
        <v/>
      </c>
      <c r="T142">
        <f>HYPERLINK("https://klasma.github.io/Logging_0480/kartor/A 9184-2024 karta.png", "A 9184-2024")</f>
        <v/>
      </c>
      <c r="V142">
        <f>HYPERLINK("https://klasma.github.io/Logging_0480/klagomål/A 9184-2024 FSC-klagomål.docx", "A 9184-2024")</f>
        <v/>
      </c>
      <c r="W142">
        <f>HYPERLINK("https://klasma.github.io/Logging_0480/klagomålsmail/A 9184-2024 FSC-klagomål mail.docx", "A 9184-2024")</f>
        <v/>
      </c>
      <c r="X142">
        <f>HYPERLINK("https://klasma.github.io/Logging_0480/tillsyn/A 9184-2024 tillsynsbegäran.docx", "A 9184-2024")</f>
        <v/>
      </c>
      <c r="Y142">
        <f>HYPERLINK("https://klasma.github.io/Logging_0480/tillsynsmail/A 9184-2024 tillsynsbegäran mail.docx", "A 9184-2024")</f>
        <v/>
      </c>
    </row>
    <row r="143" ht="15" customHeight="1">
      <c r="A143" t="inlineStr">
        <is>
          <t>A 13038-2024</t>
        </is>
      </c>
      <c r="B143" s="1" t="n">
        <v>45385</v>
      </c>
      <c r="C143" s="1" t="n">
        <v>45827</v>
      </c>
      <c r="D143" t="inlineStr">
        <is>
          <t>SÖDERMANLANDS LÄN</t>
        </is>
      </c>
      <c r="E143" t="inlineStr">
        <is>
          <t>NYKÖPING</t>
        </is>
      </c>
      <c r="G143" t="n">
        <v>3.8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HYPERLINK("https://klasma.github.io/Logging_0480/artfynd/A 13038-2024 artfynd.xlsx", "A 13038-2024")</f>
        <v/>
      </c>
      <c r="T143">
        <f>HYPERLINK("https://klasma.github.io/Logging_0480/kartor/A 13038-2024 karta.png", "A 13038-2024")</f>
        <v/>
      </c>
      <c r="U143">
        <f>HYPERLINK("https://klasma.github.io/Logging_0480/knärot/A 13038-2024 karta knärot.png", "A 13038-2024")</f>
        <v/>
      </c>
      <c r="V143">
        <f>HYPERLINK("https://klasma.github.io/Logging_0480/klagomål/A 13038-2024 FSC-klagomål.docx", "A 13038-2024")</f>
        <v/>
      </c>
      <c r="W143">
        <f>HYPERLINK("https://klasma.github.io/Logging_0480/klagomålsmail/A 13038-2024 FSC-klagomål mail.docx", "A 13038-2024")</f>
        <v/>
      </c>
      <c r="X143">
        <f>HYPERLINK("https://klasma.github.io/Logging_0480/tillsyn/A 13038-2024 tillsynsbegäran.docx", "A 13038-2024")</f>
        <v/>
      </c>
      <c r="Y143">
        <f>HYPERLINK("https://klasma.github.io/Logging_0480/tillsynsmail/A 13038-2024 tillsynsbegäran mail.docx", "A 13038-2024")</f>
        <v/>
      </c>
    </row>
    <row r="144" ht="15" customHeight="1">
      <c r="A144" t="inlineStr">
        <is>
          <t>A 13724-2024</t>
        </is>
      </c>
      <c r="B144" s="1" t="n">
        <v>45390</v>
      </c>
      <c r="C144" s="1" t="n">
        <v>45827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HYPERLINK("https://klasma.github.io/Logging_0480/artfynd/A 13724-2024 artfynd.xlsx", "A 13724-2024")</f>
        <v/>
      </c>
      <c r="T144">
        <f>HYPERLINK("https://klasma.github.io/Logging_0480/kartor/A 13724-2024 karta.png", "A 13724-2024")</f>
        <v/>
      </c>
      <c r="V144">
        <f>HYPERLINK("https://klasma.github.io/Logging_0480/klagomål/A 13724-2024 FSC-klagomål.docx", "A 13724-2024")</f>
        <v/>
      </c>
      <c r="W144">
        <f>HYPERLINK("https://klasma.github.io/Logging_0480/klagomålsmail/A 13724-2024 FSC-klagomål mail.docx", "A 13724-2024")</f>
        <v/>
      </c>
      <c r="X144">
        <f>HYPERLINK("https://klasma.github.io/Logging_0480/tillsyn/A 13724-2024 tillsynsbegäran.docx", "A 13724-2024")</f>
        <v/>
      </c>
      <c r="Y144">
        <f>HYPERLINK("https://klasma.github.io/Logging_0480/tillsynsmail/A 13724-2024 tillsynsbegäran mail.docx", "A 13724-2024")</f>
        <v/>
      </c>
    </row>
    <row r="145" ht="15" customHeight="1">
      <c r="A145" t="inlineStr">
        <is>
          <t>A 13851-2024</t>
        </is>
      </c>
      <c r="B145" s="1" t="n">
        <v>45391</v>
      </c>
      <c r="C145" s="1" t="n">
        <v>45827</v>
      </c>
      <c r="D145" t="inlineStr">
        <is>
          <t>SÖDERMANLANDS LÄN</t>
        </is>
      </c>
      <c r="E145" t="inlineStr">
        <is>
          <t>NYKÖPING</t>
        </is>
      </c>
      <c r="G145" t="n">
        <v>15.8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HYPERLINK("https://klasma.github.io/Logging_0480/artfynd/A 13851-2024 artfynd.xlsx", "A 13851-2024")</f>
        <v/>
      </c>
      <c r="T145">
        <f>HYPERLINK("https://klasma.github.io/Logging_0480/kartor/A 13851-2024 karta.png", "A 13851-2024")</f>
        <v/>
      </c>
      <c r="V145">
        <f>HYPERLINK("https://klasma.github.io/Logging_0480/klagomål/A 13851-2024 FSC-klagomål.docx", "A 13851-2024")</f>
        <v/>
      </c>
      <c r="W145">
        <f>HYPERLINK("https://klasma.github.io/Logging_0480/klagomålsmail/A 13851-2024 FSC-klagomål mail.docx", "A 13851-2024")</f>
        <v/>
      </c>
      <c r="X145">
        <f>HYPERLINK("https://klasma.github.io/Logging_0480/tillsyn/A 13851-2024 tillsynsbegäran.docx", "A 13851-2024")</f>
        <v/>
      </c>
      <c r="Y145">
        <f>HYPERLINK("https://klasma.github.io/Logging_0480/tillsynsmail/A 13851-2024 tillsynsbegäran mail.docx", "A 13851-2024")</f>
        <v/>
      </c>
    </row>
    <row r="146" ht="15" customHeight="1">
      <c r="A146" t="inlineStr">
        <is>
          <t>A 21173-2024</t>
        </is>
      </c>
      <c r="B146" s="1" t="n">
        <v>45440</v>
      </c>
      <c r="C146" s="1" t="n">
        <v>45827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HYPERLINK("https://klasma.github.io/Logging_0480/artfynd/A 21173-2024 artfynd.xlsx", "A 21173-2024")</f>
        <v/>
      </c>
      <c r="T146">
        <f>HYPERLINK("https://klasma.github.io/Logging_0480/kartor/A 21173-2024 karta.png", "A 21173-2024")</f>
        <v/>
      </c>
      <c r="V146">
        <f>HYPERLINK("https://klasma.github.io/Logging_0480/klagomål/A 21173-2024 FSC-klagomål.docx", "A 21173-2024")</f>
        <v/>
      </c>
      <c r="W146">
        <f>HYPERLINK("https://klasma.github.io/Logging_0480/klagomålsmail/A 21173-2024 FSC-klagomål mail.docx", "A 21173-2024")</f>
        <v/>
      </c>
      <c r="X146">
        <f>HYPERLINK("https://klasma.github.io/Logging_0480/tillsyn/A 21173-2024 tillsynsbegäran.docx", "A 21173-2024")</f>
        <v/>
      </c>
      <c r="Y146">
        <f>HYPERLINK("https://klasma.github.io/Logging_0480/tillsynsmail/A 21173-2024 tillsynsbegäran mail.docx", "A 21173-2024")</f>
        <v/>
      </c>
    </row>
    <row r="147" ht="15" customHeight="1">
      <c r="A147" t="inlineStr">
        <is>
          <t>A 23913-2024</t>
        </is>
      </c>
      <c r="B147" s="1" t="n">
        <v>45455</v>
      </c>
      <c r="C147" s="1" t="n">
        <v>45827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Allmännings- och besparingsskogar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HYPERLINK("https://klasma.github.io/Logging_0480/artfynd/A 23913-2024 artfynd.xlsx", "A 23913-2024")</f>
        <v/>
      </c>
      <c r="T147">
        <f>HYPERLINK("https://klasma.github.io/Logging_0480/kartor/A 23913-2024 karta.png", "A 23913-2024")</f>
        <v/>
      </c>
      <c r="V147">
        <f>HYPERLINK("https://klasma.github.io/Logging_0480/klagomål/A 23913-2024 FSC-klagomål.docx", "A 23913-2024")</f>
        <v/>
      </c>
      <c r="W147">
        <f>HYPERLINK("https://klasma.github.io/Logging_0480/klagomålsmail/A 23913-2024 FSC-klagomål mail.docx", "A 23913-2024")</f>
        <v/>
      </c>
      <c r="X147">
        <f>HYPERLINK("https://klasma.github.io/Logging_0480/tillsyn/A 23913-2024 tillsynsbegäran.docx", "A 23913-2024")</f>
        <v/>
      </c>
      <c r="Y147">
        <f>HYPERLINK("https://klasma.github.io/Logging_0480/tillsynsmail/A 23913-2024 tillsynsbegäran mail.docx", "A 23913-2024")</f>
        <v/>
      </c>
    </row>
    <row r="148" ht="15" customHeight="1">
      <c r="A148" t="inlineStr">
        <is>
          <t>A 29797-2024</t>
        </is>
      </c>
      <c r="B148" s="1" t="n">
        <v>45485</v>
      </c>
      <c r="C148" s="1" t="n">
        <v>45827</v>
      </c>
      <c r="D148" t="inlineStr">
        <is>
          <t>SÖDERMANLANDS LÄN</t>
        </is>
      </c>
      <c r="E148" t="inlineStr">
        <is>
          <t>NYKÖPING</t>
        </is>
      </c>
      <c r="G148" t="n">
        <v>22.2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HYPERLINK("https://klasma.github.io/Logging_0480/artfynd/A 29797-2024 artfynd.xlsx", "A 29797-2024")</f>
        <v/>
      </c>
      <c r="T148">
        <f>HYPERLINK("https://klasma.github.io/Logging_0480/kartor/A 29797-2024 karta.png", "A 29797-2024")</f>
        <v/>
      </c>
      <c r="V148">
        <f>HYPERLINK("https://klasma.github.io/Logging_0480/klagomål/A 29797-2024 FSC-klagomål.docx", "A 29797-2024")</f>
        <v/>
      </c>
      <c r="W148">
        <f>HYPERLINK("https://klasma.github.io/Logging_0480/klagomålsmail/A 29797-2024 FSC-klagomål mail.docx", "A 29797-2024")</f>
        <v/>
      </c>
      <c r="X148">
        <f>HYPERLINK("https://klasma.github.io/Logging_0480/tillsyn/A 29797-2024 tillsynsbegäran.docx", "A 29797-2024")</f>
        <v/>
      </c>
      <c r="Y148">
        <f>HYPERLINK("https://klasma.github.io/Logging_0480/tillsynsmail/A 29797-2024 tillsynsbegäran mail.docx", "A 29797-2024")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45827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45827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45827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45827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45827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45827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45827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45827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45827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45827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45827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45827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45827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45827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45827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45827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45827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45827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45827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45827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45827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45827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45827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45827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45827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45827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45827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45827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45827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45827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45827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45827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45827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45827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45827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45827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45827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45827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45827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45827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45827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45827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45827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45827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45827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45827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45827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45827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45827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45827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45827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45827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45827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45827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45827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45827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45827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45827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45827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45827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45827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45827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45827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45827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45827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45827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45827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45827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45827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45827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45827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45827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45827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45827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45827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45827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45827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45827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45827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45827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45827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45827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45827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45827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45827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45827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45827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45827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45827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45827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45827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45827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45827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45827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45827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45827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45827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45827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45827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45827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45827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45827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45827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45827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45827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45827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45827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45827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45827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45827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45827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45827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45827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45827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45827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45827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45827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45827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45827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45827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45827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45827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45827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45827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45827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45827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45827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45827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45827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45827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45827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45827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45827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45827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45827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45827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45827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45827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45827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45827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45827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45827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45827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45827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45827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45827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45827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45827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45827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45827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45827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45827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45827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45827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45827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45827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45827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45827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45827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45827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45827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45827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45827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45827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45827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45827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45827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45827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45827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45827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45827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45827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45827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45827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45827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45827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45827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45827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45827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45827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45827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45827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45827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45827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45827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45827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45827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45827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45827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45827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45827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45827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45827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45827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45827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45827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45827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45827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45827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45827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45827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45827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45827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45827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45827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45827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45827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45827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45827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45827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45827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45827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45827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45827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45827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45827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45827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45827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45827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45827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45827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45827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45827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45827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45827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45827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45827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45827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45827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45827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45827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45827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45827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45827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45827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45827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45827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45827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45827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45827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45827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45827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45827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45827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45827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45827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45827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45827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45827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45827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45827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45827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45827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45827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45827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45827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45827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45827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45827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45827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45827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45827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45827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45827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45827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45827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45827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45827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45827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45827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45827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45827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45827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45827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45827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45827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45827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45827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45827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45827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45827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45827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45827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45827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45827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45827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45827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45827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45827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45827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45827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45827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45827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45827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45827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45827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45827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45827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45827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45827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45827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45827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45827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45827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45827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45827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45827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45827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45827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45827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45827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45827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45827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45827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45827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45827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45827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45827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45827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45827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45827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45827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45827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45827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45827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45827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45827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45827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45827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45827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45827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45827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45827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45827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45827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45827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45827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45827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45827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45827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45827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45827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45827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45827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45827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45827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45827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45827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45827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45827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45827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45827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45827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45827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45827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45827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45827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45827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45827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45827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45827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45827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45827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45827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45827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45827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45827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45827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45827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45827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45827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45827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45827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45827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45827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45827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45827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45827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45827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45827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45827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45827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45827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45827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45827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45827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45827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45827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45827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45827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45827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45827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45827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45827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45827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45827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45827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45827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45827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45827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45827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45827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45827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45827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45827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45827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45827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45827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45827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45827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45827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45827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45827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45827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45827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45827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45827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45827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45827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45827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45827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45827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45827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45827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45827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45827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45827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45827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45827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45827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45827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45827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45827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45827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45827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45827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45827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45827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45827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45827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45827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45827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45827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45827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45827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45827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45827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45827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45827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45827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45827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45827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45827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45827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45827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45827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45827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45827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45827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45827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45827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45827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45827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45827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45827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45827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45827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45827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45827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45827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45827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45827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45827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45827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45827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45827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45827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45827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45827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45827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45827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45827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45827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45827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45827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45827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45827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45827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45827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45827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45827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45827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45827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45827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45827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45827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45827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45827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45827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45827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45827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45827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45827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45827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45827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45827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45827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45827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45827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45827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45827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45827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45827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45827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45827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45827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45827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45827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45827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45827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45827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45827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45827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45827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45827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45827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45827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45827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45827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45827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45827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45827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45827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45827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45827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45827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45827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45827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45827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45827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45827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45827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45827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45827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45827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45827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45827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45827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45827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45827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45827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45827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45827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45827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45827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45827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45827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45827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45827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45827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45827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45827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45827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45827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45827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45827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45827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45827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45827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45827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45827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45827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45827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45827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45827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45827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45827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45827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45827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45827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45827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45827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45827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45827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45827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45827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45827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45827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45827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45827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45827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45827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45827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45827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45827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45827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45827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45827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45827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45827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45827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45827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45827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45827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45827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45827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45827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45827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45827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45827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45827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45827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45827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45827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45827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45827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45827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45827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45827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45827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45827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45827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45827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45827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45827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45827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45827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45827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45827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45827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45827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45827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45827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45827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45827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45827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45827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45827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45827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45827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45827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45827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45827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45827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45827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45827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45827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45827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45827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45827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45827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45827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45827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45827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45827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45827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45827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45827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45827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45827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45827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45827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45827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45827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45827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45827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45827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45827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45827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45827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45827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45827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45827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45827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45827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45827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45827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45827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45827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45827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45827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45827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45827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45827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45827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45827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45827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45827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45827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45827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45827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45827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45827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45827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45827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45827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45827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45827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45827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45827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45827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45827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45827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45827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45827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45827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45827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45827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45827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45827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45827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45827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45827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45827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45827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45827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45827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45827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45827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45827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45827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45827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45827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45827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45827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45827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45827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45827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45827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45827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45827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45827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45827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45827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45827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45827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45827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45827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45827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45827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45827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45827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45827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45827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45827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45827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45827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45827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45827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45827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45827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45827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45827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45827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45827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45827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45827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45827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45827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45827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45827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45827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45827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45827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45827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45827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45827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45827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45827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45827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45827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45827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45827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45827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45827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45827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45827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45827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45827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45827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45827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45827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45827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45827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45827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45827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45827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45827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45827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45827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45827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45827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45827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45827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45827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45827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45827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45827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45827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45827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45827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45827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45827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45827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45827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45827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45827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45827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45827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45827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45827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45827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45827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45827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45827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45827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45827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45827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45827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45827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45827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45827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45827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45827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45827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45827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45827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45827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45827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45827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45827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45827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45827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45827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45827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45827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45827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45827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45827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45827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45827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45827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45827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45827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45827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45827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45827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45827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45827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45827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45827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45827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45827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45827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45827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45827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45827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45827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45827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45827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45827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45827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45827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45827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45827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45827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45827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45827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45827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45827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45827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45827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45827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45827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45827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45827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45827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45827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45827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45827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45827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45827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45827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45827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45827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45827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45827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45827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45827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45827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45827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45827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45827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45827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45827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45827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45827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45827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45827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45827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45827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45827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45827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45827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45827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45827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45827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45827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45827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45827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45827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45827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45827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45827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45827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45827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45827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45827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45827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45827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45827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45827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45827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45827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45827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45827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45827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45827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45827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45827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45827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45827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45827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45827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45827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45827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45827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45827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45827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45827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45827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45827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45827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45827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45827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45827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45827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45827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45827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45827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45827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45827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45827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45827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45827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45827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45827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45827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45827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45827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45827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45827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45827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45827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45827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45827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45827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45827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45827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45827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45827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45827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45827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45827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45827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45827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45827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45827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45827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45827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45827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45827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45827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45827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45827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45827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45827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45827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45827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45827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45827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45827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45827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45827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45827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45827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45827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45827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45827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45827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45827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45827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45827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45827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45827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45827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45827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45827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45827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45827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45827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45827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45827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45827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45827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45827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45827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45827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45827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45827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45827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45827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45827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45827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45827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45827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45827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45827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45827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45827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45827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45827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45827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45827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45827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45827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45827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45827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45827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45827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45827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45827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45827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45827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45827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45827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45827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45827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45827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45827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45827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45827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45827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45827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45827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45827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45827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45827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45827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45827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45827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45827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45827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45827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45827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45827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45827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45827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45827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45827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45827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45827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45827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45827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45827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45827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45827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45827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45827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45827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45827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45827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45827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45827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45827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45827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45827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45827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45827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45827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45827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45827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45827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45827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45827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45827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45827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45827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45827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45827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45827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45827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45827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45827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45827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45827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45827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45827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45827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45827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45827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45827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45827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45827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45827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45827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45827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45827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45827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45827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45827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45827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45827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45827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45827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45827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45827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45827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45827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45827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45827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45827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45827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45827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45827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45827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45827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45827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45827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45827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45827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45827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45827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45827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45827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45827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45827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45827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45827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45827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45827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45827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45827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45827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45827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45827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45827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45827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45827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45827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45827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45827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45827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45827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45827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45827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45827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45827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45827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45827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45827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45827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45827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45827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45827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45827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45827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45827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45827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45827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45827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45827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45827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45827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45827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45827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45827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24504-2025</t>
        </is>
      </c>
      <c r="B1832" s="1" t="n">
        <v>45798</v>
      </c>
      <c r="C1832" s="1" t="n">
        <v>45827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45827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45827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45827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45827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45827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45827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45827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45827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45827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45827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27871-2025</t>
        </is>
      </c>
      <c r="B1843" s="1" t="n">
        <v>45817</v>
      </c>
      <c r="C1843" s="1" t="n">
        <v>45827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27805-2025</t>
        </is>
      </c>
      <c r="B1844" s="1" t="n">
        <v>45817</v>
      </c>
      <c r="C1844" s="1" t="n">
        <v>45827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27873-2025</t>
        </is>
      </c>
      <c r="B1845" s="1" t="n">
        <v>45817</v>
      </c>
      <c r="C1845" s="1" t="n">
        <v>45827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45827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45827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45827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45827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45827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45827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45827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28646-2025</t>
        </is>
      </c>
      <c r="B1853" s="1" t="n">
        <v>45819</v>
      </c>
      <c r="C1853" s="1" t="n">
        <v>45827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28652-2025</t>
        </is>
      </c>
      <c r="B1854" s="1" t="n">
        <v>45819</v>
      </c>
      <c r="C1854" s="1" t="n">
        <v>45827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45827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28705-2025</t>
        </is>
      </c>
      <c r="B1856" s="1" t="n">
        <v>45820</v>
      </c>
      <c r="C1856" s="1" t="n">
        <v>45827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Holmen skog AB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28868-2025</t>
        </is>
      </c>
      <c r="B1857" s="1" t="n">
        <v>45820</v>
      </c>
      <c r="C1857" s="1" t="n">
        <v>45827</v>
      </c>
      <c r="D1857" t="inlineStr">
        <is>
          <t>SÖDERMANLANDS LÄN</t>
        </is>
      </c>
      <c r="E1857" t="inlineStr">
        <is>
          <t>NYKÖPING</t>
        </is>
      </c>
      <c r="G1857" t="n">
        <v>11.8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28839-2025</t>
        </is>
      </c>
      <c r="B1858" s="1" t="n">
        <v>45820</v>
      </c>
      <c r="C1858" s="1" t="n">
        <v>45827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28841-2025</t>
        </is>
      </c>
      <c r="B1859" s="1" t="n">
        <v>45820</v>
      </c>
      <c r="C1859" s="1" t="n">
        <v>45827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45827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45827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45827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30034-2025</t>
        </is>
      </c>
      <c r="B1863" s="1" t="n">
        <v>45826</v>
      </c>
      <c r="C1863" s="1" t="n">
        <v>45827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29846-2025</t>
        </is>
      </c>
      <c r="B1864" s="1" t="n">
        <v>45826</v>
      </c>
      <c r="C1864" s="1" t="n">
        <v>45827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2025-06-19T19:17:20Z</dcterms:created>
  <dcterms:modified xmlns:dcterms="http://purl.org/dc/terms/" xmlns:xsi="http://www.w3.org/2001/XMLSchema-instance" xsi:type="dcterms:W3CDTF">2025-06-19T19:17:22Z</dcterms:modified>
</cp:coreProperties>
</file>