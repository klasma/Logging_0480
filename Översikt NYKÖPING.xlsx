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46291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46291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46291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46291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46291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46291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46291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46291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46291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46291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46291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46291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46291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46291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46291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46291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46291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46291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46291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46291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46291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46291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46291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46291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46291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46291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46291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46291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46291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46291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58783-2025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46291</v>
      </c>
      <c r="F36" t="inlineStr">
        <is>
          <t>SÖDERMANLANDS LÄN</t>
        </is>
      </c>
      <c r="G36" t="inlineStr">
        <is>
          <t>NYKÖPING</t>
        </is>
      </c>
      <c r="H36" t="inlineStr">
        <is>
          <t>Sveaskog</t>
        </is>
      </c>
      <c r="I36" t="n">
        <v>1.3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Skogshare
Nattskärra
Revlummer</t>
        </is>
      </c>
      <c r="W36">
        <f>HYPERLINK("https://klasma.github.io/Logging_0480/artfynd/A 58783-2025 artfynd.xlsx", "A 58783-2025")</f>
        <v/>
      </c>
      <c r="X36">
        <f>HYPERLINK("https://klasma.github.io/Logging_0480/kartor/A 58783-2025 karta.png", "A 58783-2025")</f>
        <v/>
      </c>
      <c r="Y36">
        <f>HYPERLINK("https://klasma.github.io/Logging_0480/kartor_geotiff/A 58783-2025 georefererad karta.tif", "A 58783-2025")</f>
        <v/>
      </c>
      <c r="AA36">
        <f>HYPERLINK("https://klasma.github.io/Logging_0480/klagomål/A 58783-2025 FSC-klagomål.docx", "A 58783-2025")</f>
        <v/>
      </c>
      <c r="AB36">
        <f>HYPERLINK("https://klasma.github.io/Logging_0480/klagomålsmail/A 58783-2025 FSC-klagomål mail.docx", "A 58783-2025")</f>
        <v/>
      </c>
      <c r="AC36">
        <f>HYPERLINK("https://klasma.github.io/Logging_0480/tillsyn/A 58783-2025 tillsynsbegäran.docx", "A 58783-2025")</f>
        <v/>
      </c>
      <c r="AD36">
        <f>HYPERLINK("https://klasma.github.io/Logging_0480/tillsynsmail/A 58783-2025 tillsynsbegäran mail.docx", "A 58783-2025")</f>
        <v/>
      </c>
      <c r="AE36">
        <f>HYPERLINK("https://klasma.github.io/Logging_0480/fåglar/A 58783-2025 prioriterade fågelarter.docx", "A 58783-2025")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46291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46291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46291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46291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46291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46291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22417-2023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45070</v>
      </c>
      <c r="E43" s="1" t="n">
        <v>46291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Backstarr
Sjöhjortron
Vanlig snok</t>
        </is>
      </c>
      <c r="W43">
        <f>HYPERLINK("https://klasma.github.io/Logging_0480/artfynd/A 22417-2023 artfynd.xlsx", "A 22417-2023")</f>
        <v/>
      </c>
      <c r="X43">
        <f>HYPERLINK("https://klasma.github.io/Logging_0480/kartor/A 22417-2023 karta.png", "A 22417-2023")</f>
        <v/>
      </c>
      <c r="Y43">
        <f>HYPERLINK("https://klasma.github.io/Logging_0480/kartor_geotiff/A 22417-2023 georefererad karta.tif", "A 22417-2023")</f>
        <v/>
      </c>
      <c r="AA43">
        <f>HYPERLINK("https://klasma.github.io/Logging_0480/klagomål/A 22417-2023 FSC-klagomål.docx", "A 22417-2023")</f>
        <v/>
      </c>
      <c r="AB43">
        <f>HYPERLINK("https://klasma.github.io/Logging_0480/klagomålsmail/A 22417-2023 FSC-klagomål mail.docx", "A 22417-2023")</f>
        <v/>
      </c>
      <c r="AC43">
        <f>HYPERLINK("https://klasma.github.io/Logging_0480/tillsyn/A 22417-2023 tillsynsbegäran.docx", "A 22417-2023")</f>
        <v/>
      </c>
      <c r="AD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46291</v>
      </c>
      <c r="F44" t="inlineStr">
        <is>
          <t>SÖDERMANLANDS LÄN</t>
        </is>
      </c>
      <c r="G44" t="inlineStr">
        <is>
          <t>NYKÖPING</t>
        </is>
      </c>
      <c r="I44" t="n">
        <v>4.7</v>
      </c>
      <c r="J44" t="n">
        <v>3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Brun glada
Trana
Utter</t>
        </is>
      </c>
      <c r="W44">
        <f>HYPERLINK("https://klasma.github.io/Logging_0480/artfynd/A 54498-2023 artfynd.xlsx", "A 54498-2023")</f>
        <v/>
      </c>
      <c r="X44">
        <f>HYPERLINK("https://klasma.github.io/Logging_0480/kartor/A 54498-2023 karta.png", "A 54498-2023")</f>
        <v/>
      </c>
      <c r="Y44">
        <f>HYPERLINK("https://klasma.github.io/Logging_0480/kartor_geotiff/A 54498-2023 georefererad karta.tif", "A 54498-2023")</f>
        <v/>
      </c>
      <c r="AA44">
        <f>HYPERLINK("https://klasma.github.io/Logging_0480/klagomål/A 54498-2023 FSC-klagomål.docx", "A 54498-2023")</f>
        <v/>
      </c>
      <c r="AB44">
        <f>HYPERLINK("https://klasma.github.io/Logging_0480/klagomålsmail/A 54498-2023 FSC-klagomål mail.docx", "A 54498-2023")</f>
        <v/>
      </c>
      <c r="AC44">
        <f>HYPERLINK("https://klasma.github.io/Logging_0480/tillsyn/A 54498-2023 tillsynsbegäran.docx", "A 54498-2023")</f>
        <v/>
      </c>
      <c r="AD44">
        <f>HYPERLINK("https://klasma.github.io/Logging_0480/tillsynsmail/A 54498-2023 tillsynsbegäran mail.docx", "A 54498-2023")</f>
        <v/>
      </c>
      <c r="AE44">
        <f>HYPERLINK("https://klasma.github.io/Logging_0480/fåglar/A 54498-2023 prioriterade fågelarter.docx", "A 54498-2023")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46291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46291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46291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46291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46291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46291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46291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46291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46291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46291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5865-2024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45335</v>
      </c>
      <c r="E55" s="1" t="n">
        <v>46291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4.9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Entita
Fläcknycklar</t>
        </is>
      </c>
      <c r="W55">
        <f>HYPERLINK("https://klasma.github.io/Logging_0480/artfynd/A 5865-2024 artfynd.xlsx", "A 5865-2024")</f>
        <v/>
      </c>
      <c r="X55">
        <f>HYPERLINK("https://klasma.github.io/Logging_0480/kartor/A 5865-2024 karta.png", "A 5865-2024")</f>
        <v/>
      </c>
      <c r="Y55">
        <f>HYPERLINK("https://klasma.github.io/Logging_0480/kartor_geotiff/A 5865-2024 georefererad karta.tif", "A 5865-2024")</f>
        <v/>
      </c>
      <c r="AA55">
        <f>HYPERLINK("https://klasma.github.io/Logging_0480/klagomål/A 5865-2024 FSC-klagomål.docx", "A 5865-2024")</f>
        <v/>
      </c>
      <c r="AB55">
        <f>HYPERLINK("https://klasma.github.io/Logging_0480/klagomålsmail/A 5865-2024 FSC-klagomål mail.docx", "A 5865-2024")</f>
        <v/>
      </c>
      <c r="AC55">
        <f>HYPERLINK("https://klasma.github.io/Logging_0480/tillsyn/A 5865-2024 tillsynsbegäran.docx", "A 5865-2024")</f>
        <v/>
      </c>
      <c r="AD55">
        <f>HYPERLINK("https://klasma.github.io/Logging_0480/tillsynsmail/A 5865-2024 tillsynsbegäran mail.docx", "A 5865-2024")</f>
        <v/>
      </c>
      <c r="AE55">
        <f>HYPERLINK("https://klasma.github.io/Logging_0480/fåglar/A 5865-2024 prioriterade fågelarter.docx", "A 5865-2024")</f>
        <v/>
      </c>
    </row>
    <row r="56" ht="15" customHeight="1">
      <c r="A56" t="inlineStr">
        <is>
          <t>A 34310-2022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46291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7</v>
      </c>
      <c r="U56" t="n">
        <v>0</v>
      </c>
      <c r="V56" s="2" t="inlineStr">
        <is>
          <t>Bombmurkla
Grönpyrola</t>
        </is>
      </c>
      <c r="W56">
        <f>HYPERLINK("https://klasma.github.io/Logging_0480/artfynd/A 34310-2022 artfynd.xlsx", "A 34310-2022")</f>
        <v/>
      </c>
      <c r="X56">
        <f>HYPERLINK("https://klasma.github.io/Logging_0480/kartor/A 34310-2022 karta.png", "A 34310-2022")</f>
        <v/>
      </c>
      <c r="Y56">
        <f>HYPERLINK("https://klasma.github.io/Logging_0480/kartor_geotiff/A 34310-2022 georefererad karta.tif", "A 34310-2022")</f>
        <v/>
      </c>
      <c r="AA56">
        <f>HYPERLINK("https://klasma.github.io/Logging_0480/klagomål/A 34310-2022 FSC-klagomål.docx", "A 34310-2022")</f>
        <v/>
      </c>
      <c r="AB56">
        <f>HYPERLINK("https://klasma.github.io/Logging_0480/klagomålsmail/A 34310-2022 FSC-klagomål mail.docx", "A 34310-2022")</f>
        <v/>
      </c>
      <c r="AC56">
        <f>HYPERLINK("https://klasma.github.io/Logging_0480/tillsyn/A 34310-2022 tillsynsbegäran.docx", "A 34310-2022")</f>
        <v/>
      </c>
      <c r="AD56">
        <f>HYPERLINK("https://klasma.github.io/Logging_0480/tillsynsmail/A 34310-2022 tillsynsbegäran mail.docx", "A 34310-2022")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46291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56728-2025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46291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2.5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Sandödla
Vanlig snok</t>
        </is>
      </c>
      <c r="W58">
        <f>HYPERLINK("https://klasma.github.io/Logging_0480/artfynd/A 56728-2025 artfynd.xlsx", "A 56728-2025")</f>
        <v/>
      </c>
      <c r="X58">
        <f>HYPERLINK("https://klasma.github.io/Logging_0480/kartor/A 56728-2025 karta.png", "A 56728-2025")</f>
        <v/>
      </c>
      <c r="Y58">
        <f>HYPERLINK("https://klasma.github.io/Logging_0480/kartor_geotiff/A 56728-2025 georefererad karta.tif", "A 56728-2025")</f>
        <v/>
      </c>
      <c r="AA58">
        <f>HYPERLINK("https://klasma.github.io/Logging_0480/klagomål/A 56728-2025 FSC-klagomål.docx", "A 56728-2025")</f>
        <v/>
      </c>
      <c r="AB58">
        <f>HYPERLINK("https://klasma.github.io/Logging_0480/klagomålsmail/A 56728-2025 FSC-klagomål mail.docx", "A 56728-2025")</f>
        <v/>
      </c>
      <c r="AC58">
        <f>HYPERLINK("https://klasma.github.io/Logging_0480/tillsyn/A 56728-2025 tillsynsbegäran.docx", "A 56728-2025")</f>
        <v/>
      </c>
      <c r="AD58">
        <f>HYPERLINK("https://klasma.github.io/Logging_0480/tillsynsmail/A 56728-2025 tillsynsbegäran mail.docx", "A 56728-2025")</f>
        <v/>
      </c>
    </row>
    <row r="59" ht="15" customHeight="1">
      <c r="A59" t="inlineStr">
        <is>
          <t>A 16078-2023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46291</v>
      </c>
      <c r="F59" t="inlineStr">
        <is>
          <t>SÖDERMANLANDS LÄN</t>
        </is>
      </c>
      <c r="G59" t="inlineStr">
        <is>
          <t>NYKÖPING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Rödlånke
Fläcknycklar</t>
        </is>
      </c>
      <c r="W59">
        <f>HYPERLINK("https://klasma.github.io/Logging_0480/artfynd/A 16078-2023 artfynd.xlsx", "A 16078-2023")</f>
        <v/>
      </c>
      <c r="X59">
        <f>HYPERLINK("https://klasma.github.io/Logging_0480/kartor/A 16078-2023 karta.png", "A 16078-2023")</f>
        <v/>
      </c>
      <c r="Y59">
        <f>HYPERLINK("https://klasma.github.io/Logging_0480/kartor_geotiff/A 16078-2023 georefererad karta.tif", "A 16078-2023")</f>
        <v/>
      </c>
      <c r="AA59">
        <f>HYPERLINK("https://klasma.github.io/Logging_0480/klagomål/A 16078-2023 FSC-klagomål.docx", "A 16078-2023")</f>
        <v/>
      </c>
      <c r="AB59">
        <f>HYPERLINK("https://klasma.github.io/Logging_0480/klagomålsmail/A 16078-2023 FSC-klagomål mail.docx", "A 16078-2023")</f>
        <v/>
      </c>
      <c r="AC59">
        <f>HYPERLINK("https://klasma.github.io/Logging_0480/tillsyn/A 16078-2023 tillsynsbegäran.docx", "A 16078-2023")</f>
        <v/>
      </c>
      <c r="AD59">
        <f>HYPERLINK("https://klasma.github.io/Logging_0480/tillsynsmail/A 16078-2023 tillsynsbegäran mail.docx", "A 16078-2023")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46291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38757-2026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46291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Blanksvart spiklav
Motaggsvamp</t>
        </is>
      </c>
      <c r="W61">
        <f>HYPERLINK("https://klasma.github.io/Logging_0480/artfynd/A 38757-2026 artfynd.xlsx", "A 38757-2026")</f>
        <v/>
      </c>
      <c r="X61">
        <f>HYPERLINK("https://klasma.github.io/Logging_0480/kartor/A 38757-2026 karta.png", "A 38757-2026")</f>
        <v/>
      </c>
      <c r="Y61">
        <f>HYPERLINK("https://klasma.github.io/Logging_0480/kartor_geotiff/A 38757-2026 georefererad karta.tif", "A 38757-2026")</f>
        <v/>
      </c>
      <c r="AA61">
        <f>HYPERLINK("https://klasma.github.io/Logging_0480/klagomål/A 38757-2026 FSC-klagomål.docx", "A 38757-2026")</f>
        <v/>
      </c>
      <c r="AB61">
        <f>HYPERLINK("https://klasma.github.io/Logging_0480/klagomålsmail/A 38757-2026 FSC-klagomål mail.docx", "A 38757-2026")</f>
        <v/>
      </c>
      <c r="AC61">
        <f>HYPERLINK("https://klasma.github.io/Logging_0480/tillsyn/A 38757-2026 tillsynsbegäran.docx", "A 38757-2026")</f>
        <v/>
      </c>
      <c r="AD61">
        <f>HYPERLINK("https://klasma.github.io/Logging_0480/tillsynsmail/A 38757-2026 tillsynsbegäran mail.docx", "A 38757-2026")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46291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1037-2026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46291</v>
      </c>
      <c r="F63" t="inlineStr">
        <is>
          <t>SÖDERMANLANDS LÄN</t>
        </is>
      </c>
      <c r="G63" t="inlineStr">
        <is>
          <t>NYKÖPING</t>
        </is>
      </c>
      <c r="I63" t="n">
        <v>11.6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Talltita
Spillkråka</t>
        </is>
      </c>
      <c r="W63">
        <f>HYPERLINK("https://klasma.github.io/Logging_0480/artfynd/A 1037-2026 artfynd.xlsx", "A 1037-2026")</f>
        <v/>
      </c>
      <c r="X63">
        <f>HYPERLINK("https://klasma.github.io/Logging_0480/kartor/A 1037-2026 karta.png", "A 1037-2026")</f>
        <v/>
      </c>
      <c r="Y63">
        <f>HYPERLINK("https://klasma.github.io/Logging_0480/kartor_geotiff/A 1037-2026 georefererad karta.tif", "A 1037-2026")</f>
        <v/>
      </c>
      <c r="AA63">
        <f>HYPERLINK("https://klasma.github.io/Logging_0480/klagomål/A 1037-2026 FSC-klagomål.docx", "A 1037-2026")</f>
        <v/>
      </c>
      <c r="AB63">
        <f>HYPERLINK("https://klasma.github.io/Logging_0480/klagomålsmail/A 1037-2026 FSC-klagomål mail.docx", "A 1037-2026")</f>
        <v/>
      </c>
      <c r="AC63">
        <f>HYPERLINK("https://klasma.github.io/Logging_0480/tillsyn/A 1037-2026 tillsynsbegäran.docx", "A 1037-2026")</f>
        <v/>
      </c>
      <c r="AD63">
        <f>HYPERLINK("https://klasma.github.io/Logging_0480/tillsynsmail/A 1037-2026 tillsynsbegäran mail.docx", "A 1037-2026")</f>
        <v/>
      </c>
      <c r="AE63">
        <f>HYPERLINK("https://klasma.github.io/Logging_0480/fåglar/A 1037-2026 prioriterade fågelarter.docx", "A 1037-2026")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46291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46291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46291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46291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46291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46291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46291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46291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46291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46291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46291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8387-2024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46291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HYPERLINK("https://klasma.github.io/Logging_0480/artfynd/A 8387-2024 artfynd.xlsx", "A 8387-2024")</f>
        <v/>
      </c>
      <c r="X75">
        <f>HYPERLINK("https://klasma.github.io/Logging_0480/kartor/A 8387-2024 karta.png", "A 8387-2024")</f>
        <v/>
      </c>
      <c r="Y75">
        <f>HYPERLINK("https://klasma.github.io/Logging_0480/kartor_geotiff/A 8387-2024 georefererad karta.tif", "A 8387-2024")</f>
        <v/>
      </c>
      <c r="AA75">
        <f>HYPERLINK("https://klasma.github.io/Logging_0480/klagomål/A 8387-2024 FSC-klagomål.docx", "A 8387-2024")</f>
        <v/>
      </c>
      <c r="AB75">
        <f>HYPERLINK("https://klasma.github.io/Logging_0480/klagomålsmail/A 8387-2024 FSC-klagomål mail.docx", "A 8387-2024")</f>
        <v/>
      </c>
      <c r="AC75">
        <f>HYPERLINK("https://klasma.github.io/Logging_0480/tillsyn/A 8387-2024 tillsynsbegäran.docx", "A 8387-2024")</f>
        <v/>
      </c>
      <c r="AD75">
        <f>HYPERLINK("https://klasma.github.io/Logging_0480/tillsynsmail/A 8387-2024 tillsynsbegäran mail.docx", "A 8387-2024")</f>
        <v/>
      </c>
      <c r="AE75">
        <f>HYPERLINK("https://klasma.github.io/Logging_0480/fåglar/A 8387-2024 prioriterade fågelarter.docx", "A 8387-2024")</f>
        <v/>
      </c>
    </row>
    <row r="76" ht="15" customHeight="1">
      <c r="A76" t="inlineStr">
        <is>
          <t>A 4305-2026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46291</v>
      </c>
      <c r="F76" t="inlineStr">
        <is>
          <t>SÖDERMANLANDS LÄN</t>
        </is>
      </c>
      <c r="G76" t="inlineStr">
        <is>
          <t>NYKÖPING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HYPERLINK("https://klasma.github.io/Logging_0480/artfynd/A 4305-2026 artfynd.xlsx", "A 4305-2026")</f>
        <v/>
      </c>
      <c r="X76">
        <f>HYPERLINK("https://klasma.github.io/Logging_0480/kartor/A 4305-2026 karta.png", "A 4305-2026")</f>
        <v/>
      </c>
      <c r="Y76">
        <f>HYPERLINK("https://klasma.github.io/Logging_0480/kartor_geotiff/A 4305-2026 georefererad karta.tif", "A 4305-2026")</f>
        <v/>
      </c>
      <c r="AA76">
        <f>HYPERLINK("https://klasma.github.io/Logging_0480/klagomål/A 4305-2026 FSC-klagomål.docx", "A 4305-2026")</f>
        <v/>
      </c>
      <c r="AB76">
        <f>HYPERLINK("https://klasma.github.io/Logging_0480/klagomålsmail/A 4305-2026 FSC-klagomål mail.docx", "A 4305-2026")</f>
        <v/>
      </c>
      <c r="AC76">
        <f>HYPERLINK("https://klasma.github.io/Logging_0480/tillsyn/A 4305-2026 tillsynsbegäran.docx", "A 4305-2026")</f>
        <v/>
      </c>
      <c r="AD76">
        <f>HYPERLINK("https://klasma.github.io/Logging_0480/tillsynsmail/A 4305-2026 tillsynsbegäran mail.docx", "A 4305-2026")</f>
        <v/>
      </c>
    </row>
    <row r="77" ht="15" customHeight="1">
      <c r="A77" t="inlineStr">
        <is>
          <t>A 45122-2025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46291</v>
      </c>
      <c r="F77" t="inlineStr">
        <is>
          <t>SÖDERMANLANDS LÄN</t>
        </is>
      </c>
      <c r="G77" t="inlineStr">
        <is>
          <t>NYKÖPING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HYPERLINK("https://klasma.github.io/Logging_0480/artfynd/A 45122-2025 artfynd.xlsx", "A 45122-2025")</f>
        <v/>
      </c>
      <c r="X77">
        <f>HYPERLINK("https://klasma.github.io/Logging_0480/kartor/A 45122-2025 karta.png", "A 45122-2025")</f>
        <v/>
      </c>
      <c r="Y77">
        <f>HYPERLINK("https://klasma.github.io/Logging_0480/kartor_geotiff/A 45122-2025 georefererad karta.tif", "A 45122-2025")</f>
        <v/>
      </c>
      <c r="AA77">
        <f>HYPERLINK("https://klasma.github.io/Logging_0480/klagomål/A 45122-2025 FSC-klagomål.docx", "A 45122-2025")</f>
        <v/>
      </c>
      <c r="AB77">
        <f>HYPERLINK("https://klasma.github.io/Logging_0480/klagomålsmail/A 45122-2025 FSC-klagomål mail.docx", "A 45122-2025")</f>
        <v/>
      </c>
      <c r="AC77">
        <f>HYPERLINK("https://klasma.github.io/Logging_0480/tillsyn/A 45122-2025 tillsynsbegäran.docx", "A 45122-2025")</f>
        <v/>
      </c>
      <c r="AD77">
        <f>HYPERLINK("https://klasma.github.io/Logging_0480/tillsynsmail/A 45122-2025 tillsynsbegäran mail.docx", "A 45122-2025")</f>
        <v/>
      </c>
      <c r="AE77">
        <f>HYPERLINK("https://klasma.github.io/Logging_0480/fåglar/A 45122-2025 prioriterade fågelarter.docx", "A 45122-2025")</f>
        <v/>
      </c>
    </row>
    <row r="78" ht="15" customHeight="1">
      <c r="A78" t="inlineStr">
        <is>
          <t>A 10886-2026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46291</v>
      </c>
      <c r="F78" t="inlineStr">
        <is>
          <t>SÖDERMANLANDS LÄN</t>
        </is>
      </c>
      <c r="G78" t="inlineStr">
        <is>
          <t>NYKÖPING</t>
        </is>
      </c>
      <c r="I78" t="n">
        <v>2.5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HYPERLINK("https://klasma.github.io/Logging_0480/artfynd/A 10886-2026 artfynd.xlsx", "A 10886-2026")</f>
        <v/>
      </c>
      <c r="X78">
        <f>HYPERLINK("https://klasma.github.io/Logging_0480/kartor/A 10886-2026 karta.png", "A 10886-2026")</f>
        <v/>
      </c>
      <c r="Y78">
        <f>HYPERLINK("https://klasma.github.io/Logging_0480/kartor_geotiff/A 10886-2026 georefererad karta.tif", "A 10886-2026")</f>
        <v/>
      </c>
      <c r="AA78">
        <f>HYPERLINK("https://klasma.github.io/Logging_0480/klagomål/A 10886-2026 FSC-klagomål.docx", "A 10886-2026")</f>
        <v/>
      </c>
      <c r="AB78">
        <f>HYPERLINK("https://klasma.github.io/Logging_0480/klagomålsmail/A 10886-2026 FSC-klagomål mail.docx", "A 10886-2026")</f>
        <v/>
      </c>
      <c r="AC78">
        <f>HYPERLINK("https://klasma.github.io/Logging_0480/tillsyn/A 10886-2026 tillsynsbegäran.docx", "A 10886-2026")</f>
        <v/>
      </c>
      <c r="AD78">
        <f>HYPERLINK("https://klasma.github.io/Logging_0480/tillsynsmail/A 10886-2026 tillsynsbegäran mail.docx", "A 10886-2026")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46291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46291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46291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35122-2023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46291</v>
      </c>
      <c r="F82" t="inlineStr">
        <is>
          <t>SÖDERMANLANDS LÄN</t>
        </is>
      </c>
      <c r="G82" t="inlineStr">
        <is>
          <t>NYKÖPING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35122-2023 artfynd.xlsx", "A 35122-2023")</f>
        <v/>
      </c>
      <c r="X82">
        <f>HYPERLINK("https://klasma.github.io/Logging_0480/kartor/A 35122-2023 karta.png", "A 35122-2023")</f>
        <v/>
      </c>
      <c r="Y82">
        <f>HYPERLINK("https://klasma.github.io/Logging_0480/kartor_geotiff/A 35122-2023 georefererad karta.tif", "A 35122-2023")</f>
        <v/>
      </c>
      <c r="AA82">
        <f>HYPERLINK("https://klasma.github.io/Logging_0480/klagomål/A 35122-2023 FSC-klagomål.docx", "A 35122-2023")</f>
        <v/>
      </c>
      <c r="AB82">
        <f>HYPERLINK("https://klasma.github.io/Logging_0480/klagomålsmail/A 35122-2023 FSC-klagomål mail.docx", "A 35122-2023")</f>
        <v/>
      </c>
      <c r="AC82">
        <f>HYPERLINK("https://klasma.github.io/Logging_0480/tillsyn/A 35122-2023 tillsynsbegäran.docx", "A 35122-2023")</f>
        <v/>
      </c>
      <c r="AD82">
        <f>HYPERLINK("https://klasma.github.io/Logging_0480/tillsynsmail/A 35122-2023 tillsynsbegäran mail.docx", "A 35122-2023")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46291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28704-2025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46291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HYPERLINK("https://klasma.github.io/Logging_0480/artfynd/A 28704-2025 artfynd.xlsx", "A 28704-2025")</f>
        <v/>
      </c>
      <c r="X84">
        <f>HYPERLINK("https://klasma.github.io/Logging_0480/kartor/A 28704-2025 karta.png", "A 28704-2025")</f>
        <v/>
      </c>
      <c r="Y84">
        <f>HYPERLINK("https://klasma.github.io/Logging_0480/kartor_geotiff/A 28704-2025 georefererad karta.tif", "A 28704-2025")</f>
        <v/>
      </c>
      <c r="AA84">
        <f>HYPERLINK("https://klasma.github.io/Logging_0480/klagomål/A 28704-2025 FSC-klagomål.docx", "A 28704-2025")</f>
        <v/>
      </c>
      <c r="AB84">
        <f>HYPERLINK("https://klasma.github.io/Logging_0480/klagomålsmail/A 28704-2025 FSC-klagomål mail.docx", "A 28704-2025")</f>
        <v/>
      </c>
      <c r="AC84">
        <f>HYPERLINK("https://klasma.github.io/Logging_0480/tillsyn/A 28704-2025 tillsynsbegäran.docx", "A 28704-2025")</f>
        <v/>
      </c>
      <c r="AD84">
        <f>HYPERLINK("https://klasma.github.io/Logging_0480/tillsynsmail/A 28704-2025 tillsynsbegäran mail.docx", "A 28704-2025")</f>
        <v/>
      </c>
    </row>
    <row r="85" ht="15" customHeight="1">
      <c r="A85" t="inlineStr">
        <is>
          <t>A 35318-2024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46291</v>
      </c>
      <c r="F85" t="inlineStr">
        <is>
          <t>SÖDERMANLANDS LÄN</t>
        </is>
      </c>
      <c r="G85" t="inlineStr">
        <is>
          <t>NYKÖPING</t>
        </is>
      </c>
      <c r="I85" t="n">
        <v>7.6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Gullviva</t>
        </is>
      </c>
      <c r="W85">
        <f>HYPERLINK("https://klasma.github.io/Logging_0480/artfynd/A 35318-2024 artfynd.xlsx", "A 35318-2024")</f>
        <v/>
      </c>
      <c r="X85">
        <f>HYPERLINK("https://klasma.github.io/Logging_0480/kartor/A 35318-2024 karta.png", "A 35318-2024")</f>
        <v/>
      </c>
      <c r="Y85">
        <f>HYPERLINK("https://klasma.github.io/Logging_0480/kartor_geotiff/A 35318-2024 georefererad karta.tif", "A 35318-2024")</f>
        <v/>
      </c>
      <c r="AA85">
        <f>HYPERLINK("https://klasma.github.io/Logging_0480/klagomål/A 35318-2024 FSC-klagomål.docx", "A 35318-2024")</f>
        <v/>
      </c>
      <c r="AB85">
        <f>HYPERLINK("https://klasma.github.io/Logging_0480/klagomålsmail/A 35318-2024 FSC-klagomål mail.docx", "A 35318-2024")</f>
        <v/>
      </c>
      <c r="AC85">
        <f>HYPERLINK("https://klasma.github.io/Logging_0480/tillsyn/A 35318-2024 tillsynsbegäran.docx", "A 35318-2024")</f>
        <v/>
      </c>
      <c r="AD85">
        <f>HYPERLINK("https://klasma.github.io/Logging_0480/tillsynsmail/A 35318-2024 tillsynsbegäran mail.docx", "A 35318-2024")</f>
        <v/>
      </c>
    </row>
    <row r="86" ht="15" customHeight="1">
      <c r="A86" t="inlineStr">
        <is>
          <t>A 63423-2025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46291</v>
      </c>
      <c r="F86" t="inlineStr">
        <is>
          <t>SÖDERMANLANDS LÄN</t>
        </is>
      </c>
      <c r="G86" t="inlineStr">
        <is>
          <t>NYKÖPING</t>
        </is>
      </c>
      <c r="I86" t="n">
        <v>7.4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63423-2025 artfynd.xlsx", "A 63423-2025")</f>
        <v/>
      </c>
      <c r="X86">
        <f>HYPERLINK("https://klasma.github.io/Logging_0480/kartor/A 63423-2025 karta.png", "A 63423-2025")</f>
        <v/>
      </c>
      <c r="Y86">
        <f>HYPERLINK("https://klasma.github.io/Logging_0480/kartor_geotiff/A 63423-2025 georefererad karta.tif", "A 63423-2025")</f>
        <v/>
      </c>
      <c r="AA86">
        <f>HYPERLINK("https://klasma.github.io/Logging_0480/klagomål/A 63423-2025 FSC-klagomål.docx", "A 63423-2025")</f>
        <v/>
      </c>
      <c r="AB86">
        <f>HYPERLINK("https://klasma.github.io/Logging_0480/klagomålsmail/A 63423-2025 FSC-klagomål mail.docx", "A 63423-2025")</f>
        <v/>
      </c>
      <c r="AC86">
        <f>HYPERLINK("https://klasma.github.io/Logging_0480/tillsyn/A 63423-2025 tillsynsbegäran.docx", "A 63423-2025")</f>
        <v/>
      </c>
      <c r="AD86">
        <f>HYPERLINK("https://klasma.github.io/Logging_0480/tillsynsmail/A 63423-2025 tillsynsbegäran mail.docx", "A 63423-2025")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46291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21021-2026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46145</v>
      </c>
      <c r="E88" s="1" t="n">
        <v>46291</v>
      </c>
      <c r="F88" t="inlineStr">
        <is>
          <t>SÖDERMANLANDS LÄN</t>
        </is>
      </c>
      <c r="G88" t="inlineStr">
        <is>
          <t>NYKÖPING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HYPERLINK("https://klasma.github.io/Logging_0480/artfynd/A 21021-2026 artfynd.xlsx", "A 21021-2026")</f>
        <v/>
      </c>
      <c r="X88">
        <f>HYPERLINK("https://klasma.github.io/Logging_0480/kartor/A 21021-2026 karta.png", "A 21021-2026")</f>
        <v/>
      </c>
      <c r="Y88">
        <f>HYPERLINK("https://klasma.github.io/Logging_0480/kartor_geotiff/A 21021-2026 georefererad karta.tif", "A 21021-2026")</f>
        <v/>
      </c>
      <c r="AA88">
        <f>HYPERLINK("https://klasma.github.io/Logging_0480/klagomål/A 21021-2026 FSC-klagomål.docx", "A 21021-2026")</f>
        <v/>
      </c>
      <c r="AB88">
        <f>HYPERLINK("https://klasma.github.io/Logging_0480/klagomålsmail/A 21021-2026 FSC-klagomål mail.docx", "A 21021-2026")</f>
        <v/>
      </c>
      <c r="AC88">
        <f>HYPERLINK("https://klasma.github.io/Logging_0480/tillsyn/A 21021-2026 tillsynsbegäran.docx", "A 21021-2026")</f>
        <v/>
      </c>
      <c r="AD88">
        <f>HYPERLINK("https://klasma.github.io/Logging_0480/tillsynsmail/A 21021-2026 tillsynsbegäran mail.docx", "A 21021-2026")</f>
        <v/>
      </c>
    </row>
    <row r="89" ht="15" customHeight="1">
      <c r="A89" t="inlineStr">
        <is>
          <t>A 22495-2026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46291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Vedticka</t>
        </is>
      </c>
      <c r="W89">
        <f>HYPERLINK("https://klasma.github.io/Logging_0480/artfynd/A 22495-2026 artfynd.xlsx", "A 22495-2026")</f>
        <v/>
      </c>
      <c r="X89">
        <f>HYPERLINK("https://klasma.github.io/Logging_0480/kartor/A 22495-2026 karta.png", "A 22495-2026")</f>
        <v/>
      </c>
      <c r="Y89">
        <f>HYPERLINK("https://klasma.github.io/Logging_0480/kartor_geotiff/A 22495-2026 georefererad karta.tif", "A 22495-2026")</f>
        <v/>
      </c>
      <c r="AA89">
        <f>HYPERLINK("https://klasma.github.io/Logging_0480/klagomål/A 22495-2026 FSC-klagomål.docx", "A 22495-2026")</f>
        <v/>
      </c>
      <c r="AB89">
        <f>HYPERLINK("https://klasma.github.io/Logging_0480/klagomålsmail/A 22495-2026 FSC-klagomål mail.docx", "A 22495-2026")</f>
        <v/>
      </c>
      <c r="AC89">
        <f>HYPERLINK("https://klasma.github.io/Logging_0480/tillsyn/A 22495-2026 tillsynsbegäran.docx", "A 22495-2026")</f>
        <v/>
      </c>
      <c r="AD89">
        <f>HYPERLINK("https://klasma.github.io/Logging_0480/tillsynsmail/A 22495-2026 tillsynsbegäran mail.docx", "A 22495-2026")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46291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28542-2023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46291</v>
      </c>
      <c r="F91" t="inlineStr">
        <is>
          <t>SÖDERMANLANDS LÄN</t>
        </is>
      </c>
      <c r="G91" t="inlineStr">
        <is>
          <t>NYKÖPING</t>
        </is>
      </c>
      <c r="I91" t="n">
        <v>2.8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HYPERLINK("https://klasma.github.io/Logging_0480/artfynd/A 28542-2023 artfynd.xlsx", "A 28542-2023")</f>
        <v/>
      </c>
      <c r="X91">
        <f>HYPERLINK("https://klasma.github.io/Logging_0480/kartor/A 28542-2023 karta.png", "A 28542-2023")</f>
        <v/>
      </c>
      <c r="Y91">
        <f>HYPERLINK("https://klasma.github.io/Logging_0480/kartor_geotiff/A 28542-2023 georefererad karta.tif", "A 28542-2023")</f>
        <v/>
      </c>
      <c r="Z91">
        <f>HYPERLINK("https://klasma.github.io/Logging_0480/knärot/A 28542-2023 karta knärot.png", "A 28542-2023")</f>
        <v/>
      </c>
      <c r="AA91">
        <f>HYPERLINK("https://klasma.github.io/Logging_0480/klagomål/A 28542-2023 FSC-klagomål.docx", "A 28542-2023")</f>
        <v/>
      </c>
      <c r="AB91">
        <f>HYPERLINK("https://klasma.github.io/Logging_0480/klagomålsmail/A 28542-2023 FSC-klagomål mail.docx", "A 28542-2023")</f>
        <v/>
      </c>
      <c r="AC91">
        <f>HYPERLINK("https://klasma.github.io/Logging_0480/tillsyn/A 28542-2023 tillsynsbegäran.docx", "A 28542-2023")</f>
        <v/>
      </c>
      <c r="AD91">
        <f>HYPERLINK("https://klasma.github.io/Logging_0480/tillsynsmail/A 28542-2023 tillsynsbegäran mail.docx", "A 28542-2023")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46291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46291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46291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46291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9973-2022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46291</v>
      </c>
      <c r="F96" t="inlineStr">
        <is>
          <t>SÖDERMANLANDS LÄN</t>
        </is>
      </c>
      <c r="G96" t="inlineStr">
        <is>
          <t>NYKÖPING</t>
        </is>
      </c>
      <c r="I96" t="n">
        <v>18.3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 sköldmossa</t>
        </is>
      </c>
      <c r="W96">
        <f>HYPERLINK("https://klasma.github.io/Logging_0480/artfynd/A 9973-2022 artfynd.xlsx", "A 9973-2022")</f>
        <v/>
      </c>
      <c r="X96">
        <f>HYPERLINK("https://klasma.github.io/Logging_0480/kartor/A 9973-2022 karta.png", "A 9973-2022")</f>
        <v/>
      </c>
      <c r="Y96">
        <f>HYPERLINK("https://klasma.github.io/Logging_0480/kartor_geotiff/A 9973-2022 georefererad karta.tif", "A 9973-2022")</f>
        <v/>
      </c>
      <c r="AA96">
        <f>HYPERLINK("https://klasma.github.io/Logging_0480/klagomål/A 9973-2022 FSC-klagomål.docx", "A 9973-2022")</f>
        <v/>
      </c>
      <c r="AB96">
        <f>HYPERLINK("https://klasma.github.io/Logging_0480/klagomålsmail/A 9973-2022 FSC-klagomål mail.docx", "A 9973-2022")</f>
        <v/>
      </c>
      <c r="AC96">
        <f>HYPERLINK("https://klasma.github.io/Logging_0480/tillsyn/A 9973-2022 tillsynsbegäran.docx", "A 9973-2022")</f>
        <v/>
      </c>
      <c r="AD96">
        <f>HYPERLINK("https://klasma.github.io/Logging_0480/tillsynsmail/A 9973-2022 tillsynsbegäran mail.docx", "A 9973-2022")</f>
        <v/>
      </c>
    </row>
    <row r="97" ht="15" customHeight="1">
      <c r="A97" t="inlineStr">
        <is>
          <t>A 5385-2026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46050</v>
      </c>
      <c r="E97" s="1" t="n">
        <v>46291</v>
      </c>
      <c r="F97" t="inlineStr">
        <is>
          <t>SÖDERMANLANDS LÄN</t>
        </is>
      </c>
      <c r="G97" t="inlineStr">
        <is>
          <t>NYKÖPING</t>
        </is>
      </c>
      <c r="I97" t="n">
        <v>3.5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Spillkråka</t>
        </is>
      </c>
      <c r="W97">
        <f>HYPERLINK("https://klasma.github.io/Logging_0480/artfynd/A 5385-2026 artfynd.xlsx", "A 5385-2026")</f>
        <v/>
      </c>
      <c r="X97">
        <f>HYPERLINK("https://klasma.github.io/Logging_0480/kartor/A 5385-2026 karta.png", "A 5385-2026")</f>
        <v/>
      </c>
      <c r="Y97">
        <f>HYPERLINK("https://klasma.github.io/Logging_0480/kartor_geotiff/A 5385-2026 georefererad karta.tif", "A 5385-2026")</f>
        <v/>
      </c>
      <c r="AA97">
        <f>HYPERLINK("https://klasma.github.io/Logging_0480/klagomål/A 5385-2026 FSC-klagomål.docx", "A 5385-2026")</f>
        <v/>
      </c>
      <c r="AB97">
        <f>HYPERLINK("https://klasma.github.io/Logging_0480/klagomålsmail/A 5385-2026 FSC-klagomål mail.docx", "A 5385-2026")</f>
        <v/>
      </c>
      <c r="AC97">
        <f>HYPERLINK("https://klasma.github.io/Logging_0480/tillsyn/A 5385-2026 tillsynsbegäran.docx", "A 5385-2026")</f>
        <v/>
      </c>
      <c r="AD97">
        <f>HYPERLINK("https://klasma.github.io/Logging_0480/tillsynsmail/A 5385-2026 tillsynsbegäran mail.docx", "A 5385-2026")</f>
        <v/>
      </c>
      <c r="AE97">
        <f>HYPERLINK("https://klasma.github.io/Logging_0480/fåglar/A 5385-2026 prioriterade fågelarter.docx", "A 5385-2026")</f>
        <v/>
      </c>
    </row>
    <row r="98" ht="15" customHeight="1">
      <c r="A98" t="inlineStr">
        <is>
          <t>A 31182-2026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46291</v>
      </c>
      <c r="F98" t="inlineStr">
        <is>
          <t>SÖDERMANLANDS LÄN</t>
        </is>
      </c>
      <c r="G98" t="inlineStr">
        <is>
          <t>NYKÖPING</t>
        </is>
      </c>
      <c r="I98" t="n">
        <v>5.1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31182-2026 artfynd.xlsx", "A 31182-2026")</f>
        <v/>
      </c>
      <c r="X98">
        <f>HYPERLINK("https://klasma.github.io/Logging_0480/kartor/A 31182-2026 karta.png", "A 31182-2026")</f>
        <v/>
      </c>
      <c r="Y98">
        <f>HYPERLINK("https://klasma.github.io/Logging_0480/kartor_geotiff/A 31182-2026 georefererad karta.tif", "A 31182-2026")</f>
        <v/>
      </c>
      <c r="AA98">
        <f>HYPERLINK("https://klasma.github.io/Logging_0480/klagomål/A 31182-2026 FSC-klagomål.docx", "A 31182-2026")</f>
        <v/>
      </c>
      <c r="AB98">
        <f>HYPERLINK("https://klasma.github.io/Logging_0480/klagomålsmail/A 31182-2026 FSC-klagomål mail.docx", "A 31182-2026")</f>
        <v/>
      </c>
      <c r="AC98">
        <f>HYPERLINK("https://klasma.github.io/Logging_0480/tillsyn/A 31182-2026 tillsynsbegäran.docx", "A 31182-2026")</f>
        <v/>
      </c>
      <c r="AD98">
        <f>HYPERLINK("https://klasma.github.io/Logging_0480/tillsynsmail/A 31182-2026 tillsynsbegäran mail.docx", "A 31182-2026")</f>
        <v/>
      </c>
    </row>
    <row r="99" ht="15" customHeight="1">
      <c r="A99" t="inlineStr">
        <is>
          <t>A 31998-2026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46232</v>
      </c>
      <c r="E99" s="1" t="n">
        <v>46291</v>
      </c>
      <c r="F99" t="inlineStr">
        <is>
          <t>SÖDERMANLANDS LÄN</t>
        </is>
      </c>
      <c r="G99" t="inlineStr">
        <is>
          <t>NYKÖPING</t>
        </is>
      </c>
      <c r="H99" t="inlineStr">
        <is>
          <t>Sveaskog</t>
        </is>
      </c>
      <c r="I99" t="n">
        <v>12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HYPERLINK("https://klasma.github.io/Logging_0480/artfynd/A 31998-2026 artfynd.xlsx", "A 31998-2026")</f>
        <v/>
      </c>
      <c r="X99">
        <f>HYPERLINK("https://klasma.github.io/Logging_0480/kartor/A 31998-2026 karta.png", "A 31998-2026")</f>
        <v/>
      </c>
      <c r="Y99">
        <f>HYPERLINK("https://klasma.github.io/Logging_0480/kartor_geotiff/A 31998-2026 georefererad karta.tif", "A 31998-2026")</f>
        <v/>
      </c>
      <c r="AA99">
        <f>HYPERLINK("https://klasma.github.io/Logging_0480/klagomål/A 31998-2026 FSC-klagomål.docx", "A 31998-2026")</f>
        <v/>
      </c>
      <c r="AB99">
        <f>HYPERLINK("https://klasma.github.io/Logging_0480/klagomålsmail/A 31998-2026 FSC-klagomål mail.docx", "A 31998-2026")</f>
        <v/>
      </c>
      <c r="AC99">
        <f>HYPERLINK("https://klasma.github.io/Logging_0480/tillsyn/A 31998-2026 tillsynsbegäran.docx", "A 31998-2026")</f>
        <v/>
      </c>
      <c r="AD99">
        <f>HYPERLINK("https://klasma.github.io/Logging_0480/tillsynsmail/A 31998-2026 tillsynsbegäran mail.docx", "A 31998-2026")</f>
        <v/>
      </c>
    </row>
    <row r="100" ht="15" customHeight="1">
      <c r="A100" t="inlineStr">
        <is>
          <t>A 32627-2026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46291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HYPERLINK("https://klasma.github.io/Logging_0480/artfynd/A 32627-2026 artfynd.xlsx", "A 32627-2026")</f>
        <v/>
      </c>
      <c r="X100">
        <f>HYPERLINK("https://klasma.github.io/Logging_0480/kartor/A 32627-2026 karta.png", "A 32627-2026")</f>
        <v/>
      </c>
      <c r="Y100">
        <f>HYPERLINK("https://klasma.github.io/Logging_0480/kartor_geotiff/A 32627-2026 georefererad karta.tif", "A 32627-2026")</f>
        <v/>
      </c>
      <c r="AA100">
        <f>HYPERLINK("https://klasma.github.io/Logging_0480/klagomål/A 32627-2026 FSC-klagomål.docx", "A 32627-2026")</f>
        <v/>
      </c>
      <c r="AB100">
        <f>HYPERLINK("https://klasma.github.io/Logging_0480/klagomålsmail/A 32627-2026 FSC-klagomål mail.docx", "A 32627-2026")</f>
        <v/>
      </c>
      <c r="AC100">
        <f>HYPERLINK("https://klasma.github.io/Logging_0480/tillsyn/A 32627-2026 tillsynsbegäran.docx", "A 32627-2026")</f>
        <v/>
      </c>
      <c r="AD100">
        <f>HYPERLINK("https://klasma.github.io/Logging_0480/tillsynsmail/A 32627-2026 tillsynsbegäran mail.docx", "A 32627-2026")</f>
        <v/>
      </c>
    </row>
    <row r="101" ht="15" customHeight="1">
      <c r="A101" t="inlineStr">
        <is>
          <t>A 4903-2022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46291</v>
      </c>
      <c r="F101" t="inlineStr">
        <is>
          <t>SÖDERMANLANDS LÄN</t>
        </is>
      </c>
      <c r="G101" t="inlineStr">
        <is>
          <t>NYKÖPING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HYPERLINK("https://klasma.github.io/Logging_0480/artfynd/A 4903-2022 artfynd.xlsx", "A 4903-2022")</f>
        <v/>
      </c>
      <c r="X101">
        <f>HYPERLINK("https://klasma.github.io/Logging_0480/kartor/A 4903-2022 karta.png", "A 4903-2022")</f>
        <v/>
      </c>
      <c r="Y101">
        <f>HYPERLINK("https://klasma.github.io/Logging_0480/kartor_geotiff/A 4903-2022 georefererad karta.tif", "A 4903-2022")</f>
        <v/>
      </c>
      <c r="Z101">
        <f>HYPERLINK("https://klasma.github.io/Logging_0480/knärot/A 4903-2022 karta knärot.png", "A 4903-2022")</f>
        <v/>
      </c>
      <c r="AA101">
        <f>HYPERLINK("https://klasma.github.io/Logging_0480/klagomål/A 4903-2022 FSC-klagomål.docx", "A 4903-2022")</f>
        <v/>
      </c>
      <c r="AB101">
        <f>HYPERLINK("https://klasma.github.io/Logging_0480/klagomålsmail/A 4903-2022 FSC-klagomål mail.docx", "A 4903-2022")</f>
        <v/>
      </c>
      <c r="AC101">
        <f>HYPERLINK("https://klasma.github.io/Logging_0480/tillsyn/A 4903-2022 tillsynsbegäran.docx", "A 4903-2022")</f>
        <v/>
      </c>
      <c r="AD101">
        <f>HYPERLINK("https://klasma.github.io/Logging_0480/tillsynsmail/A 4903-2022 tillsynsbegäran mail.docx", "A 4903-2022")</f>
        <v/>
      </c>
    </row>
    <row r="102" ht="15" customHeight="1">
      <c r="A102" t="inlineStr">
        <is>
          <t>A 52684-2021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46291</v>
      </c>
      <c r="F102" t="inlineStr">
        <is>
          <t>SÖDERMANLANDS LÄN</t>
        </is>
      </c>
      <c r="G102" t="inlineStr">
        <is>
          <t>NYKÖPING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Kråka</t>
        </is>
      </c>
      <c r="W102">
        <f>HYPERLINK("https://klasma.github.io/Logging_0480/artfynd/A 52684-2021 artfynd.xlsx", "A 52684-2021")</f>
        <v/>
      </c>
      <c r="X102">
        <f>HYPERLINK("https://klasma.github.io/Logging_0480/kartor/A 52684-2021 karta.png", "A 52684-2021")</f>
        <v/>
      </c>
      <c r="Y102">
        <f>HYPERLINK("https://klasma.github.io/Logging_0480/kartor_geotiff/A 52684-2021 georefererad karta.tif", "A 52684-2021")</f>
        <v/>
      </c>
      <c r="AA102">
        <f>HYPERLINK("https://klasma.github.io/Logging_0480/klagomål/A 52684-2021 FSC-klagomål.docx", "A 52684-2021")</f>
        <v/>
      </c>
      <c r="AB102">
        <f>HYPERLINK("https://klasma.github.io/Logging_0480/klagomålsmail/A 52684-2021 FSC-klagomål mail.docx", "A 52684-2021")</f>
        <v/>
      </c>
      <c r="AC102">
        <f>HYPERLINK("https://klasma.github.io/Logging_0480/tillsyn/A 52684-2021 tillsynsbegäran.docx", "A 52684-2021")</f>
        <v/>
      </c>
      <c r="AD102">
        <f>HYPERLINK("https://klasma.github.io/Logging_0480/tillsynsmail/A 52684-2021 tillsynsbegäran mail.docx", "A 52684-2021")</f>
        <v/>
      </c>
    </row>
    <row r="103" ht="15" customHeight="1">
      <c r="A103" t="inlineStr">
        <is>
          <t>A 65889-2021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44517</v>
      </c>
      <c r="E103" s="1" t="n">
        <v>46291</v>
      </c>
      <c r="F103" t="inlineStr">
        <is>
          <t>SÖDERMANLANDS LÄN</t>
        </is>
      </c>
      <c r="G103" t="inlineStr">
        <is>
          <t>NYKÖPING</t>
        </is>
      </c>
      <c r="I103" t="n">
        <v>4.8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Backstarr</t>
        </is>
      </c>
      <c r="W103">
        <f>HYPERLINK("https://klasma.github.io/Logging_0480/artfynd/A 65889-2021 artfynd.xlsx", "A 65889-2021")</f>
        <v/>
      </c>
      <c r="X103">
        <f>HYPERLINK("https://klasma.github.io/Logging_0480/kartor/A 65889-2021 karta.png", "A 65889-2021")</f>
        <v/>
      </c>
      <c r="Y103">
        <f>HYPERLINK("https://klasma.github.io/Logging_0480/kartor_geotiff/A 65889-2021 georefererad karta.tif", "A 65889-2021")</f>
        <v/>
      </c>
      <c r="AA103">
        <f>HYPERLINK("https://klasma.github.io/Logging_0480/klagomål/A 65889-2021 FSC-klagomål.docx", "A 65889-2021")</f>
        <v/>
      </c>
      <c r="AB103">
        <f>HYPERLINK("https://klasma.github.io/Logging_0480/klagomålsmail/A 65889-2021 FSC-klagomål mail.docx", "A 65889-2021")</f>
        <v/>
      </c>
      <c r="AC103">
        <f>HYPERLINK("https://klasma.github.io/Logging_0480/tillsyn/A 65889-2021 tillsynsbegäran.docx", "A 65889-2021")</f>
        <v/>
      </c>
      <c r="AD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46291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Dropptaggsvamp</t>
        </is>
      </c>
      <c r="W104">
        <f>HYPERLINK("https://klasma.github.io/Logging_0480/artfynd/A 13724-2024 artfynd.xlsx", "A 13724-2024")</f>
        <v/>
      </c>
      <c r="X104">
        <f>HYPERLINK("https://klasma.github.io/Logging_0480/kartor/A 13724-2024 karta.png", "A 13724-2024")</f>
        <v/>
      </c>
      <c r="Y104">
        <f>HYPERLINK("https://klasma.github.io/Logging_0480/kartor_geotiff/A 13724-2024 georefererad karta.tif", "A 13724-2024")</f>
        <v/>
      </c>
      <c r="AA104">
        <f>HYPERLINK("https://klasma.github.io/Logging_0480/klagomål/A 13724-2024 FSC-klagomål.docx", "A 13724-2024")</f>
        <v/>
      </c>
      <c r="AB104">
        <f>HYPERLINK("https://klasma.github.io/Logging_0480/klagomålsmail/A 13724-2024 FSC-klagomål mail.docx", "A 13724-2024")</f>
        <v/>
      </c>
      <c r="AC104">
        <f>HYPERLINK("https://klasma.github.io/Logging_0480/tillsyn/A 13724-2024 tillsynsbegäran.docx", "A 13724-2024")</f>
        <v/>
      </c>
      <c r="AD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46291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Allmännings- och besparingsskogar</t>
        </is>
      </c>
      <c r="I105" t="n">
        <v>12.1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HYPERLINK("https://klasma.github.io/Logging_0480/artfynd/A 2829-2025 artfynd.xlsx", "A 2829-2025")</f>
        <v/>
      </c>
      <c r="X105">
        <f>HYPERLINK("https://klasma.github.io/Logging_0480/kartor/A 2829-2025 karta.png", "A 2829-2025")</f>
        <v/>
      </c>
      <c r="Y105">
        <f>HYPERLINK("https://klasma.github.io/Logging_0480/kartor_geotiff/A 2829-2025 georefererad karta.tif", "A 2829-2025")</f>
        <v/>
      </c>
      <c r="AA105">
        <f>HYPERLINK("https://klasma.github.io/Logging_0480/klagomål/A 2829-2025 FSC-klagomål.docx", "A 2829-2025")</f>
        <v/>
      </c>
      <c r="AB105">
        <f>HYPERLINK("https://klasma.github.io/Logging_0480/klagomålsmail/A 2829-2025 FSC-klagomål mail.docx", "A 2829-2025")</f>
        <v/>
      </c>
      <c r="AC105">
        <f>HYPERLINK("https://klasma.github.io/Logging_0480/tillsyn/A 2829-2025 tillsynsbegäran.docx", "A 2829-2025")</f>
        <v/>
      </c>
      <c r="AD105">
        <f>HYPERLINK("https://klasma.github.io/Logging_0480/tillsynsmail/A 2829-2025 tillsynsbegäran mail.docx", "A 2829-2025")</f>
        <v/>
      </c>
      <c r="AE105">
        <f>HYPERLINK("https://klasma.github.io/Logging_0480/fåglar/A 2829-2025 prioriterade fågelarter.docx", "A 2829-2025")</f>
        <v/>
      </c>
    </row>
    <row r="106" ht="15" customHeight="1">
      <c r="A106" t="inlineStr">
        <is>
          <t>A 20425-2024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46291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Skogsalm</t>
        </is>
      </c>
      <c r="W106">
        <f>HYPERLINK("https://klasma.github.io/Logging_0480/artfynd/A 20425-2024 artfynd.xlsx", "A 20425-2024")</f>
        <v/>
      </c>
      <c r="X106">
        <f>HYPERLINK("https://klasma.github.io/Logging_0480/kartor/A 20425-2024 karta.png", "A 20425-2024")</f>
        <v/>
      </c>
      <c r="Y106">
        <f>HYPERLINK("https://klasma.github.io/Logging_0480/kartor_geotiff/A 20425-2024 georefererad karta.tif", "A 20425-2024")</f>
        <v/>
      </c>
      <c r="AA106">
        <f>HYPERLINK("https://klasma.github.io/Logging_0480/klagomål/A 20425-2024 FSC-klagomål.docx", "A 20425-2024")</f>
        <v/>
      </c>
      <c r="AB106">
        <f>HYPERLINK("https://klasma.github.io/Logging_0480/klagomålsmail/A 20425-2024 FSC-klagomål mail.docx", "A 20425-2024")</f>
        <v/>
      </c>
      <c r="AC106">
        <f>HYPERLINK("https://klasma.github.io/Logging_0480/tillsyn/A 20425-2024 tillsynsbegäran.docx", "A 20425-2024")</f>
        <v/>
      </c>
      <c r="AD106">
        <f>HYPERLINK("https://klasma.github.io/Logging_0480/tillsynsmail/A 20425-2024 tillsynsbegäran mail.docx", "A 20425-2024")</f>
        <v/>
      </c>
    </row>
    <row r="107" ht="15" customHeight="1">
      <c r="A107" t="inlineStr">
        <is>
          <t>A 20325-2023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46291</v>
      </c>
      <c r="F107" t="inlineStr">
        <is>
          <t>SÖDERMANLANDS LÄN</t>
        </is>
      </c>
      <c r="G107" t="inlineStr">
        <is>
          <t>NYKÖPING</t>
        </is>
      </c>
      <c r="I107" t="n">
        <v>0.2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Kamjordstjärna</t>
        </is>
      </c>
      <c r="W107">
        <f>HYPERLINK("https://klasma.github.io/Logging_0480/artfynd/A 20325-2023 artfynd.xlsx", "A 20325-2023")</f>
        <v/>
      </c>
      <c r="X107">
        <f>HYPERLINK("https://klasma.github.io/Logging_0480/kartor/A 20325-2023 karta.png", "A 20325-2023")</f>
        <v/>
      </c>
      <c r="Y107">
        <f>HYPERLINK("https://klasma.github.io/Logging_0480/kartor_geotiff/A 20325-2023 georefererad karta.tif", "A 20325-2023")</f>
        <v/>
      </c>
      <c r="AA107">
        <f>HYPERLINK("https://klasma.github.io/Logging_0480/klagomål/A 20325-2023 FSC-klagomål.docx", "A 20325-2023")</f>
        <v/>
      </c>
      <c r="AB107">
        <f>HYPERLINK("https://klasma.github.io/Logging_0480/klagomålsmail/A 20325-2023 FSC-klagomål mail.docx", "A 20325-2023")</f>
        <v/>
      </c>
      <c r="AC107">
        <f>HYPERLINK("https://klasma.github.io/Logging_0480/tillsyn/A 20325-2023 tillsynsbegäran.docx", "A 20325-2023")</f>
        <v/>
      </c>
      <c r="AD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59329-2023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46291</v>
      </c>
      <c r="F108" t="inlineStr">
        <is>
          <t>SÖDERMANLANDS LÄN</t>
        </is>
      </c>
      <c r="G108" t="inlineStr">
        <is>
          <t>NYKÖPING</t>
        </is>
      </c>
      <c r="I108" t="n">
        <v>22.1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HYPERLINK("https://klasma.github.io/Logging_0480/artfynd/A 59329-2023 artfynd.xlsx", "A 59329-2023")</f>
        <v/>
      </c>
      <c r="X108">
        <f>HYPERLINK("https://klasma.github.io/Logging_0480/kartor/A 59329-2023 karta.png", "A 59329-2023")</f>
        <v/>
      </c>
      <c r="Y108">
        <f>HYPERLINK("https://klasma.github.io/Logging_0480/kartor_geotiff/A 59329-2023 georefererad karta.tif", "A 59329-2023")</f>
        <v/>
      </c>
      <c r="AA108">
        <f>HYPERLINK("https://klasma.github.io/Logging_0480/klagomål/A 59329-2023 FSC-klagomål.docx", "A 59329-2023")</f>
        <v/>
      </c>
      <c r="AB108">
        <f>HYPERLINK("https://klasma.github.io/Logging_0480/klagomålsmail/A 59329-2023 FSC-klagomål mail.docx", "A 59329-2023")</f>
        <v/>
      </c>
      <c r="AC108">
        <f>HYPERLINK("https://klasma.github.io/Logging_0480/tillsyn/A 59329-2023 tillsynsbegäran.docx", "A 59329-2023")</f>
        <v/>
      </c>
      <c r="AD108">
        <f>HYPERLINK("https://klasma.github.io/Logging_0480/tillsynsmail/A 59329-2023 tillsynsbegäran mail.docx", "A 59329-2023")</f>
        <v/>
      </c>
    </row>
    <row r="109" ht="15" customHeight="1">
      <c r="A109" t="inlineStr">
        <is>
          <t>A 1105-2023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46291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Skuggblåslav</t>
        </is>
      </c>
      <c r="W109">
        <f>HYPERLINK("https://klasma.github.io/Logging_0480/artfynd/A 1105-2023 artfynd.xlsx", "A 1105-2023")</f>
        <v/>
      </c>
      <c r="X109">
        <f>HYPERLINK("https://klasma.github.io/Logging_0480/kartor/A 1105-2023 karta.png", "A 1105-2023")</f>
        <v/>
      </c>
      <c r="Y109">
        <f>HYPERLINK("https://klasma.github.io/Logging_0480/kartor_geotiff/A 1105-2023 georefererad karta.tif", "A 1105-2023")</f>
        <v/>
      </c>
      <c r="AA109">
        <f>HYPERLINK("https://klasma.github.io/Logging_0480/klagomål/A 1105-2023 FSC-klagomål.docx", "A 1105-2023")</f>
        <v/>
      </c>
      <c r="AB109">
        <f>HYPERLINK("https://klasma.github.io/Logging_0480/klagomålsmail/A 1105-2023 FSC-klagomål mail.docx", "A 1105-2023")</f>
        <v/>
      </c>
      <c r="AC109">
        <f>HYPERLINK("https://klasma.github.io/Logging_0480/tillsyn/A 1105-2023 tillsynsbegäran.docx", "A 1105-2023")</f>
        <v/>
      </c>
      <c r="AD109">
        <f>HYPERLINK("https://klasma.github.io/Logging_0480/tillsynsmail/A 1105-2023 tillsynsbegäran mail.docx", "A 1105-2023")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46291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46291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46291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46291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46291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46291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46291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46291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46291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46291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46291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46291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46291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46291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46291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46291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46291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46291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46291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46291</v>
      </c>
      <c r="F129" t="inlineStr">
        <is>
          <t>SÖDERMANLANDS LÄN</t>
        </is>
      </c>
      <c r="G129" t="inlineStr">
        <is>
          <t>NYKÖPING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46291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46291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46291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46291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46291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46291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46291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46291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46291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46291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46291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46291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46291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46291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46291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46291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46291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46291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46291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46291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46291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46291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46291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46291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46291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46291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46291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46291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46291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46291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46291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46291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46291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46291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46291</v>
      </c>
      <c r="F164" t="inlineStr">
        <is>
          <t>SÖDERMANLANDS LÄN</t>
        </is>
      </c>
      <c r="G164" t="inlineStr">
        <is>
          <t>NYKÖPING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46291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46291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46291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46291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46291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46291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46291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70791-2021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46291</v>
      </c>
      <c r="F172" t="inlineStr">
        <is>
          <t>SÖDERMANLANDS LÄN</t>
        </is>
      </c>
      <c r="G172" t="inlineStr">
        <is>
          <t>NYKÖPING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46291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46291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46291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46291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46291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46291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46291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46291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46291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46291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Allmännings- och besparingsskogar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44652</v>
      </c>
      <c r="E183" s="1" t="n">
        <v>46291</v>
      </c>
      <c r="F183" t="inlineStr">
        <is>
          <t>SÖDERMANLANDS LÄN</t>
        </is>
      </c>
      <c r="G183" t="inlineStr">
        <is>
          <t>NYKÖPING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46291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46291</v>
      </c>
      <c r="F185" t="inlineStr">
        <is>
          <t>SÖDERMANLANDS LÄN</t>
        </is>
      </c>
      <c r="G185" t="inlineStr">
        <is>
          <t>NYKÖPING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46291</v>
      </c>
      <c r="F186" t="inlineStr">
        <is>
          <t>SÖDERMANLANDS LÄN</t>
        </is>
      </c>
      <c r="G186" t="inlineStr">
        <is>
          <t>NYKÖPING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46291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46291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46291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46291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44719</v>
      </c>
      <c r="E191" s="1" t="n">
        <v>46291</v>
      </c>
      <c r="F191" t="inlineStr">
        <is>
          <t>SÖDERMANLANDS LÄN</t>
        </is>
      </c>
      <c r="G191" t="inlineStr">
        <is>
          <t>NYKÖPING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46291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46291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46291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46291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46291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46291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46291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46291</v>
      </c>
      <c r="F199" t="inlineStr">
        <is>
          <t>SÖDERMANLANDS LÄN</t>
        </is>
      </c>
      <c r="G199" t="inlineStr">
        <is>
          <t>NYKÖPING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46291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46291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46291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46291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46291</v>
      </c>
      <c r="F204" t="inlineStr">
        <is>
          <t>SÖDERMANLANDS LÄN</t>
        </is>
      </c>
      <c r="G204" t="inlineStr">
        <is>
          <t>NYKÖPING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46291</v>
      </c>
      <c r="F205" t="inlineStr">
        <is>
          <t>SÖDERMANLANDS LÄN</t>
        </is>
      </c>
      <c r="G205" t="inlineStr">
        <is>
          <t>NYKÖPING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46291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46291</v>
      </c>
      <c r="F207" t="inlineStr">
        <is>
          <t>SÖDERMANLANDS LÄN</t>
        </is>
      </c>
      <c r="G207" t="inlineStr">
        <is>
          <t>NYKÖPING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46291</v>
      </c>
      <c r="F208" t="inlineStr">
        <is>
          <t>SÖDERMANLANDS LÄN</t>
        </is>
      </c>
      <c r="G208" t="inlineStr">
        <is>
          <t>NYKÖPING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46291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46291</v>
      </c>
      <c r="F210" t="inlineStr">
        <is>
          <t>SÖDERMANLANDS LÄN</t>
        </is>
      </c>
      <c r="G210" t="inlineStr">
        <is>
          <t>NYKÖPING</t>
        </is>
      </c>
      <c r="I210" t="n">
        <v>16.2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46291</v>
      </c>
      <c r="F211" t="inlineStr">
        <is>
          <t>SÖDERMANLANDS LÄN</t>
        </is>
      </c>
      <c r="G211" t="inlineStr">
        <is>
          <t>NYKÖPING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46291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statliga verk och myndigheter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46291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46291</v>
      </c>
      <c r="F214" t="inlineStr">
        <is>
          <t>SÖDERMANLANDS LÄN</t>
        </is>
      </c>
      <c r="G214" t="inlineStr">
        <is>
          <t>NYKÖPING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46291</v>
      </c>
      <c r="F215" t="inlineStr">
        <is>
          <t>SÖDERMANLANDS LÄN</t>
        </is>
      </c>
      <c r="G215" t="inlineStr">
        <is>
          <t>NYKÖPING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46291</v>
      </c>
      <c r="F216" t="inlineStr">
        <is>
          <t>SÖDERMANLANDS LÄN</t>
        </is>
      </c>
      <c r="G216" t="inlineStr">
        <is>
          <t>NYKÖPING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45398</v>
      </c>
      <c r="E217" s="1" t="n">
        <v>46291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46291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46291</v>
      </c>
      <c r="F219" t="inlineStr">
        <is>
          <t>SÖDERMANLANDS LÄN</t>
        </is>
      </c>
      <c r="G219" t="inlineStr">
        <is>
          <t>NYKÖPING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46291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45224</v>
      </c>
      <c r="E221" s="1" t="n">
        <v>46291</v>
      </c>
      <c r="F221" t="inlineStr">
        <is>
          <t>SÖDERMANLANDS LÄN</t>
        </is>
      </c>
      <c r="G221" t="inlineStr">
        <is>
          <t>NYKÖPING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46291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46291</v>
      </c>
      <c r="F223" t="inlineStr">
        <is>
          <t>SÖDERMANLANDS LÄN</t>
        </is>
      </c>
      <c r="G223" t="inlineStr">
        <is>
          <t>NYKÖPING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46291</v>
      </c>
      <c r="F224" t="inlineStr">
        <is>
          <t>SÖDERMANLANDS LÄN</t>
        </is>
      </c>
      <c r="G224" t="inlineStr">
        <is>
          <t>NYKÖPING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46291</v>
      </c>
      <c r="F225" t="inlineStr">
        <is>
          <t>SÖDERMANLANDS LÄN</t>
        </is>
      </c>
      <c r="G225" t="inlineStr">
        <is>
          <t>NYKÖPING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46291</v>
      </c>
      <c r="F226" t="inlineStr">
        <is>
          <t>SÖDERMANLANDS LÄN</t>
        </is>
      </c>
      <c r="G226" t="inlineStr">
        <is>
          <t>NYKÖPING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46291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44837</v>
      </c>
      <c r="E228" s="1" t="n">
        <v>46291</v>
      </c>
      <c r="F228" t="inlineStr">
        <is>
          <t>SÖDERMANLANDS LÄN</t>
        </is>
      </c>
      <c r="G228" t="inlineStr">
        <is>
          <t>NYKÖPING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46291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46291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46291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46291</v>
      </c>
      <c r="F232" t="inlineStr">
        <is>
          <t>SÖDERMANLANDS LÄN</t>
        </is>
      </c>
      <c r="G232" t="inlineStr">
        <is>
          <t>NYKÖPING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46291</v>
      </c>
      <c r="F233" t="inlineStr">
        <is>
          <t>SÖDERMANLANDS LÄN</t>
        </is>
      </c>
      <c r="G233" t="inlineStr">
        <is>
          <t>NYKÖPING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46291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46291</v>
      </c>
      <c r="F235" t="inlineStr">
        <is>
          <t>SÖDERMANLANDS LÄN</t>
        </is>
      </c>
      <c r="G235" t="inlineStr">
        <is>
          <t>NYKÖPING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46291</v>
      </c>
      <c r="F236" t="inlineStr">
        <is>
          <t>SÖDERMANLANDS LÄN</t>
        </is>
      </c>
      <c r="G236" t="inlineStr">
        <is>
          <t>NYKÖPING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46291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44477</v>
      </c>
      <c r="E238" s="1" t="n">
        <v>46291</v>
      </c>
      <c r="F238" t="inlineStr">
        <is>
          <t>SÖDERMANLANDS LÄN</t>
        </is>
      </c>
      <c r="G238" t="inlineStr">
        <is>
          <t>NYKÖPING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46291</v>
      </c>
      <c r="F239" t="inlineStr">
        <is>
          <t>SÖDERMANLANDS LÄN</t>
        </is>
      </c>
      <c r="G239" t="inlineStr">
        <is>
          <t>NYKÖPING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46291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46291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46291</v>
      </c>
      <c r="F242" t="inlineStr">
        <is>
          <t>SÖDERMANLANDS LÄN</t>
        </is>
      </c>
      <c r="G242" t="inlineStr">
        <is>
          <t>NYKÖPING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59733-2021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44494</v>
      </c>
      <c r="E243" s="1" t="n">
        <v>46291</v>
      </c>
      <c r="F243" t="inlineStr">
        <is>
          <t>SÖDERMANLANDS LÄN</t>
        </is>
      </c>
      <c r="G243" t="inlineStr">
        <is>
          <t>NYKÖPING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46291</v>
      </c>
      <c r="F244" t="inlineStr">
        <is>
          <t>SÖDERMANLANDS LÄN</t>
        </is>
      </c>
      <c r="G244" t="inlineStr">
        <is>
          <t>NYKÖPING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46291</v>
      </c>
      <c r="F245" t="inlineStr">
        <is>
          <t>SÖDERMANLANDS LÄN</t>
        </is>
      </c>
      <c r="G245" t="inlineStr">
        <is>
          <t>NYKÖPING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46291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46291</v>
      </c>
      <c r="F247" t="inlineStr">
        <is>
          <t>SÖDERMANLANDS LÄN</t>
        </is>
      </c>
      <c r="G247" t="inlineStr">
        <is>
          <t>NYKÖPING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68401-2021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44529</v>
      </c>
      <c r="E248" s="1" t="n">
        <v>46291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16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46291</v>
      </c>
      <c r="F249" t="inlineStr">
        <is>
          <t>SÖDERMANLANDS LÄN</t>
        </is>
      </c>
      <c r="G249" t="inlineStr">
        <is>
          <t>NYKÖPING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46291</v>
      </c>
      <c r="F250" t="inlineStr">
        <is>
          <t>SÖDERMANLANDS LÄN</t>
        </is>
      </c>
      <c r="G250" t="inlineStr">
        <is>
          <t>NYKÖPING</t>
        </is>
      </c>
      <c r="I250" t="n">
        <v>11.7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46291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46291</v>
      </c>
      <c r="F252" t="inlineStr">
        <is>
          <t>SÖDERMANLANDS LÄN</t>
        </is>
      </c>
      <c r="G252" t="inlineStr">
        <is>
          <t>NYKÖPING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46291</v>
      </c>
      <c r="F253" t="inlineStr">
        <is>
          <t>SÖDERMANLANDS LÄN</t>
        </is>
      </c>
      <c r="G253" t="inlineStr">
        <is>
          <t>NYKÖPING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46291</v>
      </c>
      <c r="F254" t="inlineStr">
        <is>
          <t>SÖDERMANLANDS LÄN</t>
        </is>
      </c>
      <c r="G254" t="inlineStr">
        <is>
          <t>NYKÖPING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46291</v>
      </c>
      <c r="F255" t="inlineStr">
        <is>
          <t>SÖDERMANLANDS LÄN</t>
        </is>
      </c>
      <c r="G255" t="inlineStr">
        <is>
          <t>NYKÖPING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46291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46291</v>
      </c>
      <c r="F257" t="inlineStr">
        <is>
          <t>SÖDERMANLANDS LÄN</t>
        </is>
      </c>
      <c r="G257" t="inlineStr">
        <is>
          <t>NYKÖPING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46291</v>
      </c>
      <c r="F258" t="inlineStr">
        <is>
          <t>SÖDERMANLANDS LÄN</t>
        </is>
      </c>
      <c r="G258" t="inlineStr">
        <is>
          <t>NYKÖPING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44978</v>
      </c>
      <c r="E259" s="1" t="n">
        <v>46291</v>
      </c>
      <c r="F259" t="inlineStr">
        <is>
          <t>SÖDERMANLANDS LÄN</t>
        </is>
      </c>
      <c r="G259" t="inlineStr">
        <is>
          <t>NYKÖPING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61007-2021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44497</v>
      </c>
      <c r="E260" s="1" t="n">
        <v>46291</v>
      </c>
      <c r="F260" t="inlineStr">
        <is>
          <t>SÖDERMANLANDS LÄN</t>
        </is>
      </c>
      <c r="G260" t="inlineStr">
        <is>
          <t>NYKÖPING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46291</v>
      </c>
      <c r="F261" t="inlineStr">
        <is>
          <t>SÖDERMANLANDS LÄN</t>
        </is>
      </c>
      <c r="G261" t="inlineStr">
        <is>
          <t>NYKÖPING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68041-2021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46291</v>
      </c>
      <c r="F262" t="inlineStr">
        <is>
          <t>SÖDERMANLANDS LÄN</t>
        </is>
      </c>
      <c r="G262" t="inlineStr">
        <is>
          <t>NYKÖPING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46291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46291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46291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45352</v>
      </c>
      <c r="E266" s="1" t="n">
        <v>46291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45352</v>
      </c>
      <c r="E267" s="1" t="n">
        <v>46291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46291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46291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46291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46291</v>
      </c>
      <c r="F271" t="inlineStr">
        <is>
          <t>SÖDERMANLANDS LÄN</t>
        </is>
      </c>
      <c r="G271" t="inlineStr">
        <is>
          <t>NYKÖPING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46291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46291</v>
      </c>
      <c r="F273" t="inlineStr">
        <is>
          <t>SÖDERMANLANDS LÄN</t>
        </is>
      </c>
      <c r="G273" t="inlineStr">
        <is>
          <t>NYKÖPING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46291</v>
      </c>
      <c r="F274" t="inlineStr">
        <is>
          <t>SÖDERMANLANDS LÄN</t>
        </is>
      </c>
      <c r="G274" t="inlineStr">
        <is>
          <t>NYKÖPING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46291</v>
      </c>
      <c r="F275" t="inlineStr">
        <is>
          <t>SÖDERMANLANDS LÄN</t>
        </is>
      </c>
      <c r="G275" t="inlineStr">
        <is>
          <t>NYKÖPING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46049</v>
      </c>
      <c r="E276" s="1" t="n">
        <v>46291</v>
      </c>
      <c r="F276" t="inlineStr">
        <is>
          <t>SÖDERMANLANDS LÄN</t>
        </is>
      </c>
      <c r="G276" t="inlineStr">
        <is>
          <t>NYKÖPING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46291</v>
      </c>
      <c r="F277" t="inlineStr">
        <is>
          <t>SÖDERMANLANDS LÄN</t>
        </is>
      </c>
      <c r="G277" t="inlineStr">
        <is>
          <t>NYKÖPING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46291</v>
      </c>
      <c r="F278" t="inlineStr">
        <is>
          <t>SÖDERMANLANDS LÄN</t>
        </is>
      </c>
      <c r="G278" t="inlineStr">
        <is>
          <t>NYKÖPING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44525</v>
      </c>
      <c r="E279" s="1" t="n">
        <v>46291</v>
      </c>
      <c r="F279" t="inlineStr">
        <is>
          <t>SÖDERMANLANDS LÄN</t>
        </is>
      </c>
      <c r="G279" t="inlineStr">
        <is>
          <t>NYKÖPING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46291</v>
      </c>
      <c r="F280" t="inlineStr">
        <is>
          <t>SÖDERMANLANDS LÄN</t>
        </is>
      </c>
      <c r="G280" t="inlineStr">
        <is>
          <t>NYKÖPING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46291</v>
      </c>
      <c r="F281" t="inlineStr">
        <is>
          <t>SÖDERMANLANDS LÄN</t>
        </is>
      </c>
      <c r="G281" t="inlineStr">
        <is>
          <t>NYKÖPING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46291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46291</v>
      </c>
      <c r="F283" t="inlineStr">
        <is>
          <t>SÖDERMANLANDS LÄN</t>
        </is>
      </c>
      <c r="G283" t="inlineStr">
        <is>
          <t>NYKÖPING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46291</v>
      </c>
      <c r="F284" t="inlineStr">
        <is>
          <t>SÖDERMANLANDS LÄN</t>
        </is>
      </c>
      <c r="G284" t="inlineStr">
        <is>
          <t>NYKÖPING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46291</v>
      </c>
      <c r="F285" t="inlineStr">
        <is>
          <t>SÖDERMANLANDS LÄN</t>
        </is>
      </c>
      <c r="G285" t="inlineStr">
        <is>
          <t>NYKÖPING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46291</v>
      </c>
      <c r="F286" t="inlineStr">
        <is>
          <t>SÖDERMANLANDS LÄN</t>
        </is>
      </c>
      <c r="G286" t="inlineStr">
        <is>
          <t>NYKÖPING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46291</v>
      </c>
      <c r="F287" t="inlineStr">
        <is>
          <t>SÖDERMANLANDS LÄN</t>
        </is>
      </c>
      <c r="G287" t="inlineStr">
        <is>
          <t>NYKÖPING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46291</v>
      </c>
      <c r="F288" t="inlineStr">
        <is>
          <t>SÖDERMANLANDS LÄN</t>
        </is>
      </c>
      <c r="G288" t="inlineStr">
        <is>
          <t>NYKÖPING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46291</v>
      </c>
      <c r="F289" t="inlineStr">
        <is>
          <t>SÖDERMANLANDS LÄN</t>
        </is>
      </c>
      <c r="G289" t="inlineStr">
        <is>
          <t>NYKÖPING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46291</v>
      </c>
      <c r="F290" t="inlineStr">
        <is>
          <t>SÖDERMANLANDS LÄN</t>
        </is>
      </c>
      <c r="G290" t="inlineStr">
        <is>
          <t>NYKÖPING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46291</v>
      </c>
      <c r="F291" t="inlineStr">
        <is>
          <t>SÖDERMANLANDS LÄN</t>
        </is>
      </c>
      <c r="G291" t="inlineStr">
        <is>
          <t>NYKÖPING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9842-2022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46291</v>
      </c>
      <c r="F292" t="inlineStr">
        <is>
          <t>SÖDERMANLANDS LÄN</t>
        </is>
      </c>
      <c r="G292" t="inlineStr">
        <is>
          <t>NYKÖPING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46291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Kommuner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46291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46291</v>
      </c>
      <c r="F295" t="inlineStr">
        <is>
          <t>SÖDERMANLANDS LÄN</t>
        </is>
      </c>
      <c r="G295" t="inlineStr">
        <is>
          <t>NYKÖPING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46291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46291</v>
      </c>
      <c r="F297" t="inlineStr">
        <is>
          <t>SÖDERMANLANDS LÄN</t>
        </is>
      </c>
      <c r="G297" t="inlineStr">
        <is>
          <t>NYKÖPING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45261</v>
      </c>
      <c r="E298" s="1" t="n">
        <v>46291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46291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71115-2021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46291</v>
      </c>
      <c r="F300" t="inlineStr">
        <is>
          <t>SÖDERMANLANDS LÄN</t>
        </is>
      </c>
      <c r="G300" t="inlineStr">
        <is>
          <t>NYKÖPING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46291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46291</v>
      </c>
      <c r="F302" t="inlineStr">
        <is>
          <t>SÖDERMANLANDS LÄN</t>
        </is>
      </c>
      <c r="G302" t="inlineStr">
        <is>
          <t>NYKÖPING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46291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46291</v>
      </c>
      <c r="F304" t="inlineStr">
        <is>
          <t>SÖDERMANLANDS LÄN</t>
        </is>
      </c>
      <c r="G304" t="inlineStr">
        <is>
          <t>NYKÖPING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45051</v>
      </c>
      <c r="E305" s="1" t="n">
        <v>46291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44944</v>
      </c>
      <c r="E306" s="1" t="n">
        <v>46291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46291</v>
      </c>
      <c r="F307" t="inlineStr">
        <is>
          <t>SÖDERMANLANDS LÄN</t>
        </is>
      </c>
      <c r="G307" t="inlineStr">
        <is>
          <t>NYKÖPING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46291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46291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46291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46291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46291</v>
      </c>
      <c r="F312" t="inlineStr">
        <is>
          <t>SÖDERMANLANDS LÄN</t>
        </is>
      </c>
      <c r="G312" t="inlineStr">
        <is>
          <t>NYKÖPING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46291</v>
      </c>
      <c r="F313" t="inlineStr">
        <is>
          <t>SÖDERMANLANDS LÄN</t>
        </is>
      </c>
      <c r="G313" t="inlineStr">
        <is>
          <t>NYKÖPING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46291</v>
      </c>
      <c r="F314" t="inlineStr">
        <is>
          <t>SÖDERMANLANDS LÄN</t>
        </is>
      </c>
      <c r="G314" t="inlineStr">
        <is>
          <t>NYKÖPING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46291</v>
      </c>
      <c r="F315" t="inlineStr">
        <is>
          <t>SÖDERMANLANDS LÄN</t>
        </is>
      </c>
      <c r="G315" t="inlineStr">
        <is>
          <t>NYKÖPING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32837-2022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44784</v>
      </c>
      <c r="E316" s="1" t="n">
        <v>46291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46291</v>
      </c>
      <c r="F317" t="inlineStr">
        <is>
          <t>SÖDERMANLANDS LÄN</t>
        </is>
      </c>
      <c r="G317" t="inlineStr">
        <is>
          <t>NYKÖPING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46291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46291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Kyrkan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46291</v>
      </c>
      <c r="F320" t="inlineStr">
        <is>
          <t>SÖDERMANLANDS LÄN</t>
        </is>
      </c>
      <c r="G320" t="inlineStr">
        <is>
          <t>NYKÖPING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46291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46291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46100</v>
      </c>
      <c r="E323" s="1" t="n">
        <v>46291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46291</v>
      </c>
      <c r="F324" t="inlineStr">
        <is>
          <t>SÖDERMANLANDS LÄN</t>
        </is>
      </c>
      <c r="G324" t="inlineStr">
        <is>
          <t>NYKÖPING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46291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46291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46291</v>
      </c>
      <c r="F327" t="inlineStr">
        <is>
          <t>SÖDERMANLANDS LÄN</t>
        </is>
      </c>
      <c r="G327" t="inlineStr">
        <is>
          <t>NYKÖPING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46291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58857-2021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46291</v>
      </c>
      <c r="F329" t="inlineStr">
        <is>
          <t>SÖDERMANLANDS LÄN</t>
        </is>
      </c>
      <c r="G329" t="inlineStr">
        <is>
          <t>NYKÖPING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46291</v>
      </c>
      <c r="F330" t="inlineStr">
        <is>
          <t>SÖDERMANLANDS LÄN</t>
        </is>
      </c>
      <c r="G330" t="inlineStr">
        <is>
          <t>NYKÖPING</t>
        </is>
      </c>
      <c r="I330" t="n">
        <v>10.3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44990</v>
      </c>
      <c r="E331" s="1" t="n">
        <v>46291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Allmännings- och besparingsskogar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46291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46291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46291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46291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46291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46291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46291</v>
      </c>
      <c r="F338" t="inlineStr">
        <is>
          <t>SÖDERMANLANDS LÄN</t>
        </is>
      </c>
      <c r="G338" t="inlineStr">
        <is>
          <t>NYKÖPING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46291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46291</v>
      </c>
      <c r="F340" t="inlineStr">
        <is>
          <t>SÖDERMANLANDS LÄN</t>
        </is>
      </c>
      <c r="G340" t="inlineStr">
        <is>
          <t>NYKÖPING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46291</v>
      </c>
      <c r="F341" t="inlineStr">
        <is>
          <t>SÖDERMANLANDS LÄN</t>
        </is>
      </c>
      <c r="G341" t="inlineStr">
        <is>
          <t>NYKÖPING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27975-2022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44744</v>
      </c>
      <c r="E342" s="1" t="n">
        <v>46291</v>
      </c>
      <c r="F342" t="inlineStr">
        <is>
          <t>SÖDERMANLANDS LÄN</t>
        </is>
      </c>
      <c r="G342" t="inlineStr">
        <is>
          <t>NYKÖPING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46291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44893</v>
      </c>
      <c r="E344" s="1" t="n">
        <v>46291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46291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46291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46291</v>
      </c>
      <c r="F347" t="inlineStr">
        <is>
          <t>SÖDERMANLANDS LÄN</t>
        </is>
      </c>
      <c r="G347" t="inlineStr">
        <is>
          <t>NYKÖPING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46291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56228-2024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45624</v>
      </c>
      <c r="E349" s="1" t="n">
        <v>46291</v>
      </c>
      <c r="F349" t="inlineStr">
        <is>
          <t>SÖDERMANLANDS LÄN</t>
        </is>
      </c>
      <c r="G349" t="inlineStr">
        <is>
          <t>NYKÖPING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46291</v>
      </c>
      <c r="F350" t="inlineStr">
        <is>
          <t>SÖDERMANLANDS LÄN</t>
        </is>
      </c>
      <c r="G350" t="inlineStr">
        <is>
          <t>NYKÖPING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46291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46291</v>
      </c>
      <c r="F352" t="inlineStr">
        <is>
          <t>SÖDERMANLANDS LÄN</t>
        </is>
      </c>
      <c r="G352" t="inlineStr">
        <is>
          <t>NYKÖPING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44965</v>
      </c>
      <c r="E353" s="1" t="n">
        <v>46291</v>
      </c>
      <c r="F353" t="inlineStr">
        <is>
          <t>SÖDERMANLANDS LÄN</t>
        </is>
      </c>
      <c r="G353" t="inlineStr">
        <is>
          <t>NYKÖPING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45037</v>
      </c>
      <c r="E354" s="1" t="n">
        <v>46291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44965</v>
      </c>
      <c r="E355" s="1" t="n">
        <v>46291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44988</v>
      </c>
      <c r="E356" s="1" t="n">
        <v>46291</v>
      </c>
      <c r="F356" t="inlineStr">
        <is>
          <t>SÖDERMANLANDS LÄN</t>
        </is>
      </c>
      <c r="G356" t="inlineStr">
        <is>
          <t>NYKÖPING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45970</v>
      </c>
      <c r="E357" s="1" t="n">
        <v>46291</v>
      </c>
      <c r="F357" t="inlineStr">
        <is>
          <t>SÖDERMANLANDS LÄN</t>
        </is>
      </c>
      <c r="G357" t="inlineStr">
        <is>
          <t>NYKÖPING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46291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17315-2024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45414</v>
      </c>
      <c r="E359" s="1" t="n">
        <v>46291</v>
      </c>
      <c r="F359" t="inlineStr">
        <is>
          <t>SÖDERMANLANDS LÄN</t>
        </is>
      </c>
      <c r="G359" t="inlineStr">
        <is>
          <t>NYKÖPING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46291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35019-2023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45143</v>
      </c>
      <c r="E361" s="1" t="n">
        <v>46291</v>
      </c>
      <c r="F361" t="inlineStr">
        <is>
          <t>SÖDERMANLANDS LÄN</t>
        </is>
      </c>
      <c r="G361" t="inlineStr">
        <is>
          <t>NYKÖPING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46291</v>
      </c>
      <c r="F362" t="inlineStr">
        <is>
          <t>SÖDERMANLANDS LÄN</t>
        </is>
      </c>
      <c r="G362" t="inlineStr">
        <is>
          <t>NYKÖPING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46291</v>
      </c>
      <c r="F363" t="inlineStr">
        <is>
          <t>SÖDERMANLANDS LÄN</t>
        </is>
      </c>
      <c r="G363" t="inlineStr">
        <is>
          <t>NYKÖPING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44678</v>
      </c>
      <c r="E364" s="1" t="n">
        <v>46291</v>
      </c>
      <c r="F364" t="inlineStr">
        <is>
          <t>SÖDERMANLANDS LÄN</t>
        </is>
      </c>
      <c r="G364" t="inlineStr">
        <is>
          <t>NYKÖPING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45033</v>
      </c>
      <c r="E365" s="1" t="n">
        <v>46291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46291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45385</v>
      </c>
      <c r="E367" s="1" t="n">
        <v>46291</v>
      </c>
      <c r="F367" t="inlineStr">
        <is>
          <t>SÖDERMANLANDS LÄN</t>
        </is>
      </c>
      <c r="G367" t="inlineStr">
        <is>
          <t>NYKÖPING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46291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46291</v>
      </c>
      <c r="F369" t="inlineStr">
        <is>
          <t>SÖDERMANLANDS LÄN</t>
        </is>
      </c>
      <c r="G369" t="inlineStr">
        <is>
          <t>NYKÖPING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44491</v>
      </c>
      <c r="E370" s="1" t="n">
        <v>46291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45602</v>
      </c>
      <c r="E371" s="1" t="n">
        <v>46291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45062</v>
      </c>
      <c r="E372" s="1" t="n">
        <v>46291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46291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46291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44733</v>
      </c>
      <c r="E375" s="1" t="n">
        <v>46291</v>
      </c>
      <c r="F375" t="inlineStr">
        <is>
          <t>SÖDERMANLANDS LÄN</t>
        </is>
      </c>
      <c r="G375" t="inlineStr">
        <is>
          <t>NYKÖPING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46291</v>
      </c>
      <c r="F376" t="inlineStr">
        <is>
          <t>SÖDERMANLANDS LÄN</t>
        </is>
      </c>
      <c r="G376" t="inlineStr">
        <is>
          <t>NYKÖPING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46291</v>
      </c>
      <c r="F377" t="inlineStr">
        <is>
          <t>SÖDERMANLANDS LÄN</t>
        </is>
      </c>
      <c r="G377" t="inlineStr">
        <is>
          <t>NYKÖPING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46291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46291</v>
      </c>
      <c r="F379" t="inlineStr">
        <is>
          <t>SÖDERMANLANDS LÄN</t>
        </is>
      </c>
      <c r="G379" t="inlineStr">
        <is>
          <t>NYKÖPING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46291</v>
      </c>
      <c r="F380" t="inlineStr">
        <is>
          <t>SÖDERMANLANDS LÄN</t>
        </is>
      </c>
      <c r="G380" t="inlineStr">
        <is>
          <t>NYKÖPING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46291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24631-2022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44727</v>
      </c>
      <c r="E382" s="1" t="n">
        <v>46291</v>
      </c>
      <c r="F382" t="inlineStr">
        <is>
          <t>SÖDERMANLANDS LÄN</t>
        </is>
      </c>
      <c r="G382" t="inlineStr">
        <is>
          <t>NYKÖPING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46291</v>
      </c>
      <c r="F383" t="inlineStr">
        <is>
          <t>SÖDERMANLANDS LÄN</t>
        </is>
      </c>
      <c r="G383" t="inlineStr">
        <is>
          <t>NYKÖPING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46291</v>
      </c>
      <c r="F384" t="inlineStr">
        <is>
          <t>SÖDERMANLANDS LÄN</t>
        </is>
      </c>
      <c r="G384" t="inlineStr">
        <is>
          <t>NYKÖPING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47390-2025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45930</v>
      </c>
      <c r="E385" s="1" t="n">
        <v>46291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44740</v>
      </c>
      <c r="E386" s="1" t="n">
        <v>46291</v>
      </c>
      <c r="F386" t="inlineStr">
        <is>
          <t>SÖDERMANLANDS LÄN</t>
        </is>
      </c>
      <c r="G386" t="inlineStr">
        <is>
          <t>NYKÖPING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46291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46291</v>
      </c>
      <c r="F388" t="inlineStr">
        <is>
          <t>SÖDERMANLANDS LÄN</t>
        </is>
      </c>
      <c r="G388" t="inlineStr">
        <is>
          <t>NYKÖPING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46291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46291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46291</v>
      </c>
      <c r="F391" t="inlineStr">
        <is>
          <t>SÖDERMANLANDS LÄN</t>
        </is>
      </c>
      <c r="G391" t="inlineStr">
        <is>
          <t>NYKÖPING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46291</v>
      </c>
      <c r="F392" t="inlineStr">
        <is>
          <t>SÖDERMANLANDS LÄN</t>
        </is>
      </c>
      <c r="G392" t="inlineStr">
        <is>
          <t>NYKÖPING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46291</v>
      </c>
      <c r="F393" t="inlineStr">
        <is>
          <t>SÖDERMANLANDS LÄN</t>
        </is>
      </c>
      <c r="G393" t="inlineStr">
        <is>
          <t>NYKÖPING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46291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46291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46291</v>
      </c>
      <c r="F396" t="inlineStr">
        <is>
          <t>SÖDERMANLANDS LÄN</t>
        </is>
      </c>
      <c r="G396" t="inlineStr">
        <is>
          <t>NYKÖPING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44977</v>
      </c>
      <c r="E397" s="1" t="n">
        <v>46291</v>
      </c>
      <c r="F397" t="inlineStr">
        <is>
          <t>SÖDERMANLANDS LÄN</t>
        </is>
      </c>
      <c r="G397" t="inlineStr">
        <is>
          <t>NYKÖPING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44676</v>
      </c>
      <c r="E398" s="1" t="n">
        <v>46291</v>
      </c>
      <c r="F398" t="inlineStr">
        <is>
          <t>SÖDERMANLANDS LÄN</t>
        </is>
      </c>
      <c r="G398" t="inlineStr">
        <is>
          <t>NYKÖPING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46291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Allmännings- och besparingsskogar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18551-2024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45425</v>
      </c>
      <c r="E400" s="1" t="n">
        <v>46291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46291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46291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Allmännings- och besparingsskogar</t>
        </is>
      </c>
      <c r="I402" t="n">
        <v>10.6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46291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46291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44582</v>
      </c>
      <c r="E405" s="1" t="n">
        <v>46291</v>
      </c>
      <c r="F405" t="inlineStr">
        <is>
          <t>SÖDERMANLANDS LÄN</t>
        </is>
      </c>
      <c r="G405" t="inlineStr">
        <is>
          <t>NYKÖPING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46291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46291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46291</v>
      </c>
      <c r="F408" t="inlineStr">
        <is>
          <t>SÖDERMANLANDS LÄN</t>
        </is>
      </c>
      <c r="G408" t="inlineStr">
        <is>
          <t>NYKÖPING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46291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46291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45545</v>
      </c>
      <c r="E411" s="1" t="n">
        <v>46291</v>
      </c>
      <c r="F411" t="inlineStr">
        <is>
          <t>SÖDERMANLANDS LÄN</t>
        </is>
      </c>
      <c r="G411" t="inlineStr">
        <is>
          <t>NYKÖPING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46291</v>
      </c>
      <c r="F412" t="inlineStr">
        <is>
          <t>SÖDERMANLANDS LÄN</t>
        </is>
      </c>
      <c r="G412" t="inlineStr">
        <is>
          <t>NYKÖPING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46291</v>
      </c>
      <c r="F413" t="inlineStr">
        <is>
          <t>SÖDERMANLANDS LÄN</t>
        </is>
      </c>
      <c r="G413" t="inlineStr">
        <is>
          <t>NYKÖPING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46291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44757</v>
      </c>
      <c r="E415" s="1" t="n">
        <v>46291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46291</v>
      </c>
      <c r="F416" t="inlineStr">
        <is>
          <t>SÖDERMANLANDS LÄN</t>
        </is>
      </c>
      <c r="G416" t="inlineStr">
        <is>
          <t>NYKÖPING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46291</v>
      </c>
      <c r="F417" t="inlineStr">
        <is>
          <t>SÖDERMANLANDS LÄN</t>
        </is>
      </c>
      <c r="G417" t="inlineStr">
        <is>
          <t>NYKÖPING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46291</v>
      </c>
      <c r="F418" t="inlineStr">
        <is>
          <t>SÖDERMANLANDS LÄN</t>
        </is>
      </c>
      <c r="G418" t="inlineStr">
        <is>
          <t>NYKÖPING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46291</v>
      </c>
      <c r="F419" t="inlineStr">
        <is>
          <t>SÖDERMANLANDS LÄN</t>
        </is>
      </c>
      <c r="G419" t="inlineStr">
        <is>
          <t>NYKÖPING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63322-2025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46291</v>
      </c>
      <c r="F420" t="inlineStr">
        <is>
          <t>SÖDERMANLANDS LÄN</t>
        </is>
      </c>
      <c r="G420" t="inlineStr">
        <is>
          <t>NYKÖPING</t>
        </is>
      </c>
      <c r="I420" t="n">
        <v>21.2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46291</v>
      </c>
      <c r="F421" t="inlineStr">
        <is>
          <t>SÖDERMANLANDS LÄN</t>
        </is>
      </c>
      <c r="G421" t="inlineStr">
        <is>
          <t>NYKÖPING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45729</v>
      </c>
      <c r="E422" s="1" t="n">
        <v>46291</v>
      </c>
      <c r="F422" t="inlineStr">
        <is>
          <t>SÖDERMANLANDS LÄN</t>
        </is>
      </c>
      <c r="G422" t="inlineStr">
        <is>
          <t>NYKÖPING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45743</v>
      </c>
      <c r="E423" s="1" t="n">
        <v>46291</v>
      </c>
      <c r="F423" t="inlineStr">
        <is>
          <t>SÖDERMANLANDS LÄN</t>
        </is>
      </c>
      <c r="G423" t="inlineStr">
        <is>
          <t>NYKÖPING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44575</v>
      </c>
      <c r="E424" s="1" t="n">
        <v>46291</v>
      </c>
      <c r="F424" t="inlineStr">
        <is>
          <t>SÖDERMANLANDS LÄN</t>
        </is>
      </c>
      <c r="G424" t="inlineStr">
        <is>
          <t>NYKÖPING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45729</v>
      </c>
      <c r="E425" s="1" t="n">
        <v>46291</v>
      </c>
      <c r="F425" t="inlineStr">
        <is>
          <t>SÖDERMANLANDS LÄN</t>
        </is>
      </c>
      <c r="G425" t="inlineStr">
        <is>
          <t>NYKÖPING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46291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46291</v>
      </c>
      <c r="F427" t="inlineStr">
        <is>
          <t>SÖDERMANLANDS LÄN</t>
        </is>
      </c>
      <c r="G427" t="inlineStr">
        <is>
          <t>NYKÖPING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46291</v>
      </c>
      <c r="F428" t="inlineStr">
        <is>
          <t>SÖDERMANLANDS LÄN</t>
        </is>
      </c>
      <c r="G428" t="inlineStr">
        <is>
          <t>NYKÖPING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46291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45672</v>
      </c>
      <c r="E430" s="1" t="n">
        <v>46291</v>
      </c>
      <c r="F430" t="inlineStr">
        <is>
          <t>SÖDERMANLANDS LÄN</t>
        </is>
      </c>
      <c r="G430" t="inlineStr">
        <is>
          <t>NYKÖPING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46291</v>
      </c>
      <c r="F431" t="inlineStr">
        <is>
          <t>SÖDERMANLANDS LÄN</t>
        </is>
      </c>
      <c r="G431" t="inlineStr">
        <is>
          <t>NYKÖPING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46291</v>
      </c>
      <c r="F432" t="inlineStr">
        <is>
          <t>SÖDERMANLANDS LÄN</t>
        </is>
      </c>
      <c r="G432" t="inlineStr">
        <is>
          <t>NYKÖPING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46291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44910</v>
      </c>
      <c r="E434" s="1" t="n">
        <v>46291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46291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46291</v>
      </c>
      <c r="F436" t="inlineStr">
        <is>
          <t>SÖDERMANLANDS LÄN</t>
        </is>
      </c>
      <c r="G436" t="inlineStr">
        <is>
          <t>NYKÖPING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46145</v>
      </c>
      <c r="E437" s="1" t="n">
        <v>46291</v>
      </c>
      <c r="F437" t="inlineStr">
        <is>
          <t>SÖDERMANLANDS LÄN</t>
        </is>
      </c>
      <c r="G437" t="inlineStr">
        <is>
          <t>NYKÖPING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46145</v>
      </c>
      <c r="E438" s="1" t="n">
        <v>46291</v>
      </c>
      <c r="F438" t="inlineStr">
        <is>
          <t>SÖDERMANLANDS LÄN</t>
        </is>
      </c>
      <c r="G438" t="inlineStr">
        <is>
          <t>NYKÖPING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46291</v>
      </c>
      <c r="F439" t="inlineStr">
        <is>
          <t>SÖDERMANLANDS LÄN</t>
        </is>
      </c>
      <c r="G439" t="inlineStr">
        <is>
          <t>NYKÖPING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46291</v>
      </c>
      <c r="F440" t="inlineStr">
        <is>
          <t>SÖDERMANLANDS LÄN</t>
        </is>
      </c>
      <c r="G440" t="inlineStr">
        <is>
          <t>NYKÖPING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45076</v>
      </c>
      <c r="E441" s="1" t="n">
        <v>46291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Övriga Aktiebolag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31034-2025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45831</v>
      </c>
      <c r="E442" s="1" t="n">
        <v>46291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46291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53335-2023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45229</v>
      </c>
      <c r="E444" s="1" t="n">
        <v>46291</v>
      </c>
      <c r="F444" t="inlineStr">
        <is>
          <t>SÖDERMANLANDS LÄN</t>
        </is>
      </c>
      <c r="G444" t="inlineStr">
        <is>
          <t>NYKÖPING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46291</v>
      </c>
      <c r="F445" t="inlineStr">
        <is>
          <t>SÖDERMANLANDS LÄN</t>
        </is>
      </c>
      <c r="G445" t="inlineStr">
        <is>
          <t>NYKÖPING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46291</v>
      </c>
      <c r="F446" t="inlineStr">
        <is>
          <t>SÖDERMANLANDS LÄN</t>
        </is>
      </c>
      <c r="G446" t="inlineStr">
        <is>
          <t>NYKÖPING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46291</v>
      </c>
      <c r="F447" t="inlineStr">
        <is>
          <t>SÖDERMANLANDS LÄN</t>
        </is>
      </c>
      <c r="G447" t="inlineStr">
        <is>
          <t>NYKÖPING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22475-2026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46155</v>
      </c>
      <c r="E448" s="1" t="n">
        <v>46291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45940</v>
      </c>
      <c r="E449" s="1" t="n">
        <v>46291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31923-2025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45834</v>
      </c>
      <c r="E450" s="1" t="n">
        <v>46291</v>
      </c>
      <c r="F450" t="inlineStr">
        <is>
          <t>SÖDERMANLANDS LÄN</t>
        </is>
      </c>
      <c r="G450" t="inlineStr">
        <is>
          <t>NYKÖPING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46291</v>
      </c>
      <c r="F451" t="inlineStr">
        <is>
          <t>SÖDERMANLANDS LÄN</t>
        </is>
      </c>
      <c r="G451" t="inlineStr">
        <is>
          <t>NYKÖPING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8378-2024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45351</v>
      </c>
      <c r="E452" s="1" t="n">
        <v>46291</v>
      </c>
      <c r="F452" t="inlineStr">
        <is>
          <t>SÖDERMANLANDS LÄN</t>
        </is>
      </c>
      <c r="G452" t="inlineStr">
        <is>
          <t>NYKÖPING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31922-2025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45834</v>
      </c>
      <c r="E453" s="1" t="n">
        <v>46291</v>
      </c>
      <c r="F453" t="inlineStr">
        <is>
          <t>SÖDERMANLANDS LÄN</t>
        </is>
      </c>
      <c r="G453" t="inlineStr">
        <is>
          <t>NYKÖPING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46291</v>
      </c>
      <c r="F454" t="inlineStr">
        <is>
          <t>SÖDERMANLANDS LÄN</t>
        </is>
      </c>
      <c r="G454" t="inlineStr">
        <is>
          <t>NYKÖPING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46291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46291</v>
      </c>
      <c r="F456" t="inlineStr">
        <is>
          <t>SÖDERMANLANDS LÄN</t>
        </is>
      </c>
      <c r="G456" t="inlineStr">
        <is>
          <t>NYKÖPING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46291</v>
      </c>
      <c r="F457" t="inlineStr">
        <is>
          <t>SÖDERMANLANDS LÄN</t>
        </is>
      </c>
      <c r="G457" t="inlineStr">
        <is>
          <t>NYKÖPING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46291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45058</v>
      </c>
      <c r="E459" s="1" t="n">
        <v>46291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45733</v>
      </c>
      <c r="E460" s="1" t="n">
        <v>46291</v>
      </c>
      <c r="F460" t="inlineStr">
        <is>
          <t>SÖDERMANLANDS LÄN</t>
        </is>
      </c>
      <c r="G460" t="inlineStr">
        <is>
          <t>NYKÖPING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46291</v>
      </c>
      <c r="F461" t="inlineStr">
        <is>
          <t>SÖDERMANLANDS LÄN</t>
        </is>
      </c>
      <c r="G461" t="inlineStr">
        <is>
          <t>NYKÖPING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46291</v>
      </c>
      <c r="F462" t="inlineStr">
        <is>
          <t>SÖDERMANLANDS LÄN</t>
        </is>
      </c>
      <c r="G462" t="inlineStr">
        <is>
          <t>NYKÖPING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45170</v>
      </c>
      <c r="E463" s="1" t="n">
        <v>46291</v>
      </c>
      <c r="F463" t="inlineStr">
        <is>
          <t>SÖDERMANLANDS LÄN</t>
        </is>
      </c>
      <c r="G463" t="inlineStr">
        <is>
          <t>NYKÖPING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45842</v>
      </c>
      <c r="E464" s="1" t="n">
        <v>46291</v>
      </c>
      <c r="F464" t="inlineStr">
        <is>
          <t>SÖDERMANLANDS LÄN</t>
        </is>
      </c>
      <c r="G464" t="inlineStr">
        <is>
          <t>NYKÖPING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46291</v>
      </c>
      <c r="F465" t="inlineStr">
        <is>
          <t>SÖDERMANLANDS LÄN</t>
        </is>
      </c>
      <c r="G465" t="inlineStr">
        <is>
          <t>NYKÖPING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46291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Kommuner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46291</v>
      </c>
      <c r="F467" t="inlineStr">
        <is>
          <t>SÖDERMANLANDS LÄN</t>
        </is>
      </c>
      <c r="G467" t="inlineStr">
        <is>
          <t>NYKÖPING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46291</v>
      </c>
      <c r="F468" t="inlineStr">
        <is>
          <t>SÖDERMANLANDS LÄN</t>
        </is>
      </c>
      <c r="G468" t="inlineStr">
        <is>
          <t>NYKÖPING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46291</v>
      </c>
      <c r="F469" t="inlineStr">
        <is>
          <t>SÖDERMANLANDS LÄN</t>
        </is>
      </c>
      <c r="G469" t="inlineStr">
        <is>
          <t>NYKÖPING</t>
        </is>
      </c>
      <c r="I469" t="n">
        <v>10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44901</v>
      </c>
      <c r="E470" s="1" t="n">
        <v>46291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46291</v>
      </c>
      <c r="F471" t="inlineStr">
        <is>
          <t>SÖDERMANLANDS LÄN</t>
        </is>
      </c>
      <c r="G471" t="inlineStr">
        <is>
          <t>NYKÖPING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45844</v>
      </c>
      <c r="E472" s="1" t="n">
        <v>46291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45356</v>
      </c>
      <c r="E473" s="1" t="n">
        <v>46291</v>
      </c>
      <c r="F473" t="inlineStr">
        <is>
          <t>SÖDERMANLANDS LÄN</t>
        </is>
      </c>
      <c r="G473" t="inlineStr">
        <is>
          <t>NYKÖPING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45307</v>
      </c>
      <c r="E474" s="1" t="n">
        <v>46291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Kommuner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46291</v>
      </c>
      <c r="F475" t="inlineStr">
        <is>
          <t>SÖDERMANLANDS LÄN</t>
        </is>
      </c>
      <c r="G475" t="inlineStr">
        <is>
          <t>NYKÖPING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45379</v>
      </c>
      <c r="E476" s="1" t="n">
        <v>46291</v>
      </c>
      <c r="F476" t="inlineStr">
        <is>
          <t>SÖDERMANLANDS LÄN</t>
        </is>
      </c>
      <c r="G476" t="inlineStr">
        <is>
          <t>NYKÖPING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23637-2026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46163</v>
      </c>
      <c r="E477" s="1" t="n">
        <v>46291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Kyrkan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46291</v>
      </c>
      <c r="F478" t="inlineStr">
        <is>
          <t>SÖDERMANLANDS LÄN</t>
        </is>
      </c>
      <c r="G478" t="inlineStr">
        <is>
          <t>NYKÖPING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45756</v>
      </c>
      <c r="E479" s="1" t="n">
        <v>46291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46291</v>
      </c>
      <c r="F480" t="inlineStr">
        <is>
          <t>SÖDERMANLANDS LÄN</t>
        </is>
      </c>
      <c r="G480" t="inlineStr">
        <is>
          <t>NYKÖPING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46291</v>
      </c>
      <c r="F481" t="inlineStr">
        <is>
          <t>SÖDERMANLANDS LÄN</t>
        </is>
      </c>
      <c r="G481" t="inlineStr">
        <is>
          <t>NYKÖPING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46291</v>
      </c>
      <c r="F482" t="inlineStr">
        <is>
          <t>SÖDERMANLANDS LÄN</t>
        </is>
      </c>
      <c r="G482" t="inlineStr">
        <is>
          <t>NYKÖPING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46291</v>
      </c>
      <c r="F483" t="inlineStr">
        <is>
          <t>SÖDERMANLANDS LÄN</t>
        </is>
      </c>
      <c r="G483" t="inlineStr">
        <is>
          <t>NYKÖPING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46291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Kyrkan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46291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46291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45350</v>
      </c>
      <c r="E487" s="1" t="n">
        <v>46291</v>
      </c>
      <c r="F487" t="inlineStr">
        <is>
          <t>SÖDERMANLANDS LÄN</t>
        </is>
      </c>
      <c r="G487" t="inlineStr">
        <is>
          <t>NYKÖPING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45721</v>
      </c>
      <c r="E488" s="1" t="n">
        <v>46291</v>
      </c>
      <c r="F488" t="inlineStr">
        <is>
          <t>SÖDERMANLANDS LÄN</t>
        </is>
      </c>
      <c r="G488" t="inlineStr">
        <is>
          <t>NYKÖPING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69244-2021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46291</v>
      </c>
      <c r="F489" t="inlineStr">
        <is>
          <t>SÖDERMANLANDS LÄN</t>
        </is>
      </c>
      <c r="G489" t="inlineStr">
        <is>
          <t>NYKÖPING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45132</v>
      </c>
      <c r="E490" s="1" t="n">
        <v>46291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45860</v>
      </c>
      <c r="E491" s="1" t="n">
        <v>46291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60512-2021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44496</v>
      </c>
      <c r="E492" s="1" t="n">
        <v>46291</v>
      </c>
      <c r="F492" t="inlineStr">
        <is>
          <t>SÖDERMANLANDS LÄN</t>
        </is>
      </c>
      <c r="G492" t="inlineStr">
        <is>
          <t>NYKÖPING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10435-2022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46291</v>
      </c>
      <c r="F493" t="inlineStr">
        <is>
          <t>SÖDERMANLANDS LÄN</t>
        </is>
      </c>
      <c r="G493" t="inlineStr">
        <is>
          <t>NYKÖPING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46291</v>
      </c>
      <c r="F494" t="inlineStr">
        <is>
          <t>SÖDERMANLANDS LÄN</t>
        </is>
      </c>
      <c r="G494" t="inlineStr">
        <is>
          <t>NYKÖPING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44579</v>
      </c>
      <c r="E495" s="1" t="n">
        <v>46291</v>
      </c>
      <c r="F495" t="inlineStr">
        <is>
          <t>SÖDERMANLANDS LÄN</t>
        </is>
      </c>
      <c r="G495" t="inlineStr">
        <is>
          <t>NYKÖPING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45335</v>
      </c>
      <c r="E496" s="1" t="n">
        <v>46291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64081-2023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45279</v>
      </c>
      <c r="E497" s="1" t="n">
        <v>46291</v>
      </c>
      <c r="F497" t="inlineStr">
        <is>
          <t>SÖDERMANLANDS LÄN</t>
        </is>
      </c>
      <c r="G497" t="inlineStr">
        <is>
          <t>NYKÖPING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44944</v>
      </c>
      <c r="E498" s="1" t="n">
        <v>46291</v>
      </c>
      <c r="F498" t="inlineStr">
        <is>
          <t>SÖDERMANLANDS LÄN</t>
        </is>
      </c>
      <c r="G498" t="inlineStr">
        <is>
          <t>NYKÖPING</t>
        </is>
      </c>
      <c r="I498" t="n">
        <v>14.9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45419</v>
      </c>
      <c r="E499" s="1" t="n">
        <v>46291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17900-2024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45419</v>
      </c>
      <c r="E500" s="1" t="n">
        <v>46291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46291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46291</v>
      </c>
      <c r="F502" t="inlineStr">
        <is>
          <t>SÖDERMANLANDS LÄN</t>
        </is>
      </c>
      <c r="G502" t="inlineStr">
        <is>
          <t>NYKÖPING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73877-2021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44553</v>
      </c>
      <c r="E503" s="1" t="n">
        <v>46291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46291</v>
      </c>
      <c r="F504" t="inlineStr">
        <is>
          <t>SÖDERMANLANDS LÄN</t>
        </is>
      </c>
      <c r="G504" t="inlineStr">
        <is>
          <t>NYKÖPING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46291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46291</v>
      </c>
      <c r="F506" t="inlineStr">
        <is>
          <t>SÖDERMANLANDS LÄN</t>
        </is>
      </c>
      <c r="G506" t="inlineStr">
        <is>
          <t>NYKÖPING</t>
        </is>
      </c>
      <c r="I506" t="n">
        <v>11.1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46291</v>
      </c>
      <c r="F507" t="inlineStr">
        <is>
          <t>SÖDERMANLANDS LÄN</t>
        </is>
      </c>
      <c r="G507" t="inlineStr">
        <is>
          <t>NYKÖPING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46291</v>
      </c>
      <c r="F508" t="inlineStr">
        <is>
          <t>SÖDERMANLANDS LÄN</t>
        </is>
      </c>
      <c r="G508" t="inlineStr">
        <is>
          <t>NYKÖPING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46291</v>
      </c>
      <c r="F509" t="inlineStr">
        <is>
          <t>SÖDERMANLANDS LÄN</t>
        </is>
      </c>
      <c r="G509" t="inlineStr">
        <is>
          <t>NYKÖPING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46291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67857-2021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44525</v>
      </c>
      <c r="E511" s="1" t="n">
        <v>46291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17832-2024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45418</v>
      </c>
      <c r="E512" s="1" t="n">
        <v>46291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46291</v>
      </c>
      <c r="F513" t="inlineStr">
        <is>
          <t>SÖDERMANLANDS LÄN</t>
        </is>
      </c>
      <c r="G513" t="inlineStr">
        <is>
          <t>NYKÖPING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46291</v>
      </c>
      <c r="F514" t="inlineStr">
        <is>
          <t>SÖDERMANLANDS LÄN</t>
        </is>
      </c>
      <c r="G514" t="inlineStr">
        <is>
          <t>NYKÖPING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46291</v>
      </c>
      <c r="F515" t="inlineStr">
        <is>
          <t>SÖDERMANLANDS LÄN</t>
        </is>
      </c>
      <c r="G515" t="inlineStr">
        <is>
          <t>NYKÖPING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45148</v>
      </c>
      <c r="E516" s="1" t="n">
        <v>46291</v>
      </c>
      <c r="F516" t="inlineStr">
        <is>
          <t>SÖDERMANLANDS LÄN</t>
        </is>
      </c>
      <c r="G516" t="inlineStr">
        <is>
          <t>NYKÖPING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46291</v>
      </c>
      <c r="F517" t="inlineStr">
        <is>
          <t>SÖDERMANLANDS LÄN</t>
        </is>
      </c>
      <c r="G517" t="inlineStr">
        <is>
          <t>NYKÖPING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46176</v>
      </c>
      <c r="E518" s="1" t="n">
        <v>46291</v>
      </c>
      <c r="F518" t="inlineStr">
        <is>
          <t>SÖDERMANLANDS LÄN</t>
        </is>
      </c>
      <c r="G518" t="inlineStr">
        <is>
          <t>NYKÖPING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44582</v>
      </c>
      <c r="E519" s="1" t="n">
        <v>46291</v>
      </c>
      <c r="F519" t="inlineStr">
        <is>
          <t>SÖDERMANLANDS LÄN</t>
        </is>
      </c>
      <c r="G519" t="inlineStr">
        <is>
          <t>NYKÖPING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72679-2021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44546</v>
      </c>
      <c r="E520" s="1" t="n">
        <v>46291</v>
      </c>
      <c r="F520" t="inlineStr">
        <is>
          <t>SÖDERMANLANDS LÄN</t>
        </is>
      </c>
      <c r="G520" t="inlineStr">
        <is>
          <t>NYKÖPING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46291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Övriga Aktiebolag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45630</v>
      </c>
      <c r="E522" s="1" t="n">
        <v>46291</v>
      </c>
      <c r="F522" t="inlineStr">
        <is>
          <t>SÖDERMANLANDS LÄN</t>
        </is>
      </c>
      <c r="G522" t="inlineStr">
        <is>
          <t>NYKÖPING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45306</v>
      </c>
      <c r="E523" s="1" t="n">
        <v>46291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45452</v>
      </c>
      <c r="E524" s="1" t="n">
        <v>46291</v>
      </c>
      <c r="F524" t="inlineStr">
        <is>
          <t>SÖDERMANLANDS LÄN</t>
        </is>
      </c>
      <c r="G524" t="inlineStr">
        <is>
          <t>NYKÖPING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46131</v>
      </c>
      <c r="E525" s="1" t="n">
        <v>46291</v>
      </c>
      <c r="F525" t="inlineStr">
        <is>
          <t>SÖDERMANLANDS LÄN</t>
        </is>
      </c>
      <c r="G525" t="inlineStr">
        <is>
          <t>NYKÖPING</t>
        </is>
      </c>
      <c r="I525" t="n">
        <v>12.4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46291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46291</v>
      </c>
      <c r="F527" t="inlineStr">
        <is>
          <t>SÖDERMANLANDS LÄN</t>
        </is>
      </c>
      <c r="G527" t="inlineStr">
        <is>
          <t>NYKÖPING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46291</v>
      </c>
      <c r="F528" t="inlineStr">
        <is>
          <t>SÖDERMANLANDS LÄN</t>
        </is>
      </c>
      <c r="G528" t="inlineStr">
        <is>
          <t>NYKÖPING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46291</v>
      </c>
      <c r="F529" t="inlineStr">
        <is>
          <t>SÖDERMANLANDS LÄN</t>
        </is>
      </c>
      <c r="G529" t="inlineStr">
        <is>
          <t>NYKÖPING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70092-2021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44536</v>
      </c>
      <c r="E530" s="1" t="n">
        <v>46291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46291</v>
      </c>
      <c r="F531" t="inlineStr">
        <is>
          <t>SÖDERMANLANDS LÄN</t>
        </is>
      </c>
      <c r="G531" t="inlineStr">
        <is>
          <t>NYKÖPING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46291</v>
      </c>
      <c r="F532" t="inlineStr">
        <is>
          <t>SÖDERMANLANDS LÄN</t>
        </is>
      </c>
      <c r="G532" t="inlineStr">
        <is>
          <t>NYKÖPING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46291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33669-2023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46291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45132</v>
      </c>
      <c r="E535" s="1" t="n">
        <v>46291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46291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46291</v>
      </c>
      <c r="F537" t="inlineStr">
        <is>
          <t>SÖDERMANLANDS LÄN</t>
        </is>
      </c>
      <c r="G537" t="inlineStr">
        <is>
          <t>NYKÖPING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46291</v>
      </c>
      <c r="F538" t="inlineStr">
        <is>
          <t>SÖDERMANLANDS LÄN</t>
        </is>
      </c>
      <c r="G538" t="inlineStr">
        <is>
          <t>NYKÖPING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46291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45148</v>
      </c>
      <c r="E540" s="1" t="n">
        <v>46291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46291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45162</v>
      </c>
      <c r="E542" s="1" t="n">
        <v>46291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56322-2023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45243</v>
      </c>
      <c r="E543" s="1" t="n">
        <v>46291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44575</v>
      </c>
      <c r="E544" s="1" t="n">
        <v>46291</v>
      </c>
      <c r="F544" t="inlineStr">
        <is>
          <t>SÖDERMANLANDS LÄN</t>
        </is>
      </c>
      <c r="G544" t="inlineStr">
        <is>
          <t>NYKÖPING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42525-2023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46291</v>
      </c>
      <c r="F545" t="inlineStr">
        <is>
          <t>SÖDERMANLANDS LÄN</t>
        </is>
      </c>
      <c r="G545" t="inlineStr">
        <is>
          <t>NYKÖPING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44581</v>
      </c>
      <c r="E546" s="1" t="n">
        <v>46291</v>
      </c>
      <c r="F546" t="inlineStr">
        <is>
          <t>SÖDERMANLANDS LÄN</t>
        </is>
      </c>
      <c r="G546" t="inlineStr">
        <is>
          <t>NYKÖPING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46291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46291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Kommuner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44995</v>
      </c>
      <c r="E549" s="1" t="n">
        <v>46291</v>
      </c>
      <c r="F549" t="inlineStr">
        <is>
          <t>SÖDERMANLANDS LÄN</t>
        </is>
      </c>
      <c r="G549" t="inlineStr">
        <is>
          <t>NYKÖPING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65109-2021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44515</v>
      </c>
      <c r="E550" s="1" t="n">
        <v>46291</v>
      </c>
      <c r="F550" t="inlineStr">
        <is>
          <t>SÖDERMANLANDS LÄN</t>
        </is>
      </c>
      <c r="G550" t="inlineStr">
        <is>
          <t>NYKÖPING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46291</v>
      </c>
      <c r="F551" t="inlineStr">
        <is>
          <t>SÖDERMANLANDS LÄN</t>
        </is>
      </c>
      <c r="G551" t="inlineStr">
        <is>
          <t>NYKÖPING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46291</v>
      </c>
      <c r="F552" t="inlineStr">
        <is>
          <t>SÖDERMANLANDS LÄN</t>
        </is>
      </c>
      <c r="G552" t="inlineStr">
        <is>
          <t>NYKÖPING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45329</v>
      </c>
      <c r="E553" s="1" t="n">
        <v>46291</v>
      </c>
      <c r="F553" t="inlineStr">
        <is>
          <t>SÖDERMANLANDS LÄN</t>
        </is>
      </c>
      <c r="G553" t="inlineStr">
        <is>
          <t>NYKÖPING</t>
        </is>
      </c>
      <c r="I553" t="n">
        <v>17.8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46291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45798</v>
      </c>
      <c r="E555" s="1" t="n">
        <v>46291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44585</v>
      </c>
      <c r="E556" s="1" t="n">
        <v>46291</v>
      </c>
      <c r="F556" t="inlineStr">
        <is>
          <t>SÖDERMANLANDS LÄN</t>
        </is>
      </c>
      <c r="G556" t="inlineStr">
        <is>
          <t>NYKÖPING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45114</v>
      </c>
      <c r="E557" s="1" t="n">
        <v>46291</v>
      </c>
      <c r="F557" t="inlineStr">
        <is>
          <t>SÖDERMANLANDS LÄN</t>
        </is>
      </c>
      <c r="G557" t="inlineStr">
        <is>
          <t>NYKÖPING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13863-2022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44649</v>
      </c>
      <c r="E558" s="1" t="n">
        <v>46291</v>
      </c>
      <c r="F558" t="inlineStr">
        <is>
          <t>SÖDERMANLANDS LÄN</t>
        </is>
      </c>
      <c r="G558" t="inlineStr">
        <is>
          <t>NYKÖPING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46291</v>
      </c>
      <c r="F559" t="inlineStr">
        <is>
          <t>SÖDERMANLANDS LÄN</t>
        </is>
      </c>
      <c r="G559" t="inlineStr">
        <is>
          <t>NYKÖPING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45170</v>
      </c>
      <c r="E560" s="1" t="n">
        <v>46291</v>
      </c>
      <c r="F560" t="inlineStr">
        <is>
          <t>SÖDERMANLANDS LÄN</t>
        </is>
      </c>
      <c r="G560" t="inlineStr">
        <is>
          <t>NYKÖPING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46291</v>
      </c>
      <c r="F561" t="inlineStr">
        <is>
          <t>SÖDERMANLANDS LÄN</t>
        </is>
      </c>
      <c r="G561" t="inlineStr">
        <is>
          <t>NYKÖPING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46291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7253-2022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44606</v>
      </c>
      <c r="E563" s="1" t="n">
        <v>46291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Allmännings- och besparingsskogar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44988</v>
      </c>
      <c r="E564" s="1" t="n">
        <v>46291</v>
      </c>
      <c r="F564" t="inlineStr">
        <is>
          <t>SÖDERMANLANDS LÄN</t>
        </is>
      </c>
      <c r="G564" t="inlineStr">
        <is>
          <t>NYKÖPING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68401-2021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44529</v>
      </c>
      <c r="E565" s="1" t="n">
        <v>46291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Övriga Aktiebolag</t>
        </is>
      </c>
      <c r="I565" t="n">
        <v>16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45218</v>
      </c>
      <c r="E566" s="1" t="n">
        <v>46291</v>
      </c>
      <c r="F566" t="inlineStr">
        <is>
          <t>SÖDERMANLANDS LÄN</t>
        </is>
      </c>
      <c r="G566" t="inlineStr">
        <is>
          <t>NYKÖPING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44820-2022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44839</v>
      </c>
      <c r="E567" s="1" t="n">
        <v>46291</v>
      </c>
      <c r="F567" t="inlineStr">
        <is>
          <t>SÖDERMANLANDS LÄN</t>
        </is>
      </c>
      <c r="G567" t="inlineStr">
        <is>
          <t>NYKÖPING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44908-2022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44840</v>
      </c>
      <c r="E568" s="1" t="n">
        <v>46291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44690</v>
      </c>
      <c r="E569" s="1" t="n">
        <v>46291</v>
      </c>
      <c r="F569" t="inlineStr">
        <is>
          <t>SÖDERMANLANDS LÄN</t>
        </is>
      </c>
      <c r="G569" t="inlineStr">
        <is>
          <t>NYKÖPING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46291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46291</v>
      </c>
      <c r="F571" t="inlineStr">
        <is>
          <t>SÖDERMANLANDS LÄN</t>
        </is>
      </c>
      <c r="G571" t="inlineStr">
        <is>
          <t>NYKÖPING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46291</v>
      </c>
      <c r="F572" t="inlineStr">
        <is>
          <t>SÖDERMANLANDS LÄN</t>
        </is>
      </c>
      <c r="G572" t="inlineStr">
        <is>
          <t>NYKÖPING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36714-2023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45153</v>
      </c>
      <c r="E573" s="1" t="n">
        <v>46291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Kommuner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44652</v>
      </c>
      <c r="E574" s="1" t="n">
        <v>46291</v>
      </c>
      <c r="F574" t="inlineStr">
        <is>
          <t>SÖDERMANLANDS LÄN</t>
        </is>
      </c>
      <c r="G574" t="inlineStr">
        <is>
          <t>NYKÖPING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45044</v>
      </c>
      <c r="E575" s="1" t="n">
        <v>46291</v>
      </c>
      <c r="F575" t="inlineStr">
        <is>
          <t>SÖDERMANLANDS LÄN</t>
        </is>
      </c>
      <c r="G575" t="inlineStr">
        <is>
          <t>NYKÖPING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46291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45730</v>
      </c>
      <c r="E577" s="1" t="n">
        <v>46291</v>
      </c>
      <c r="F577" t="inlineStr">
        <is>
          <t>SÖDERMANLANDS LÄN</t>
        </is>
      </c>
      <c r="G577" t="inlineStr">
        <is>
          <t>NYKÖPING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44634</v>
      </c>
      <c r="E578" s="1" t="n">
        <v>46291</v>
      </c>
      <c r="F578" t="inlineStr">
        <is>
          <t>SÖDERMANLANDS LÄN</t>
        </is>
      </c>
      <c r="G578" t="inlineStr">
        <is>
          <t>NYKÖPING</t>
        </is>
      </c>
      <c r="I578" t="n">
        <v>11.4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45061</v>
      </c>
      <c r="E579" s="1" t="n">
        <v>46291</v>
      </c>
      <c r="F579" t="inlineStr">
        <is>
          <t>SÖDERMANLANDS LÄN</t>
        </is>
      </c>
      <c r="G579" t="inlineStr">
        <is>
          <t>NYKÖPING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30695-2026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46211</v>
      </c>
      <c r="E580" s="1" t="n">
        <v>46291</v>
      </c>
      <c r="F580" t="inlineStr">
        <is>
          <t>SÖDERMANLANDS LÄN</t>
        </is>
      </c>
      <c r="G580" t="inlineStr">
        <is>
          <t>NYKÖPING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45187</v>
      </c>
      <c r="E581" s="1" t="n">
        <v>46291</v>
      </c>
      <c r="F581" t="inlineStr">
        <is>
          <t>SÖDERMANLANDS LÄN</t>
        </is>
      </c>
      <c r="G581" t="inlineStr">
        <is>
          <t>NYKÖPING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46291</v>
      </c>
      <c r="F582" t="inlineStr">
        <is>
          <t>SÖDERMANLANDS LÄN</t>
        </is>
      </c>
      <c r="G582" t="inlineStr">
        <is>
          <t>NYKÖPING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46291</v>
      </c>
      <c r="F583" t="inlineStr">
        <is>
          <t>SÖDERMANLANDS LÄN</t>
        </is>
      </c>
      <c r="G583" t="inlineStr">
        <is>
          <t>NYKÖPING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2598-2025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45674</v>
      </c>
      <c r="E584" s="1" t="n">
        <v>46291</v>
      </c>
      <c r="F584" t="inlineStr">
        <is>
          <t>SÖDERMANLANDS LÄN</t>
        </is>
      </c>
      <c r="G584" t="inlineStr">
        <is>
          <t>NYKÖPING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46291</v>
      </c>
      <c r="F585" t="inlineStr">
        <is>
          <t>SÖDERMANLANDS LÄN</t>
        </is>
      </c>
      <c r="G585" t="inlineStr">
        <is>
          <t>NYKÖPING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46291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45146</v>
      </c>
      <c r="E587" s="1" t="n">
        <v>46291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46291</v>
      </c>
      <c r="F588" t="inlineStr">
        <is>
          <t>SÖDERMANLANDS LÄN</t>
        </is>
      </c>
      <c r="G588" t="inlineStr">
        <is>
          <t>NYKÖPING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46291</v>
      </c>
      <c r="F589" t="inlineStr">
        <is>
          <t>SÖDERMANLANDS LÄN</t>
        </is>
      </c>
      <c r="G589" t="inlineStr">
        <is>
          <t>NYKÖPING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21925-2022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46291</v>
      </c>
      <c r="F590" t="inlineStr">
        <is>
          <t>SÖDERMANLANDS LÄN</t>
        </is>
      </c>
      <c r="G590" t="inlineStr">
        <is>
          <t>NYKÖPING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34169-2026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46253</v>
      </c>
      <c r="E591" s="1" t="n">
        <v>46291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44649</v>
      </c>
      <c r="E592" s="1" t="n">
        <v>46291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44811</v>
      </c>
      <c r="E593" s="1" t="n">
        <v>46291</v>
      </c>
      <c r="F593" t="inlineStr">
        <is>
          <t>SÖDERMANLANDS LÄN</t>
        </is>
      </c>
      <c r="G593" t="inlineStr">
        <is>
          <t>NYKÖPING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46291</v>
      </c>
      <c r="F594" t="inlineStr">
        <is>
          <t>SÖDERMANLANDS LÄN</t>
        </is>
      </c>
      <c r="G594" t="inlineStr">
        <is>
          <t>NYKÖPING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44838</v>
      </c>
      <c r="E595" s="1" t="n">
        <v>46291</v>
      </c>
      <c r="F595" t="inlineStr">
        <is>
          <t>SÖDERMANLANDS LÄN</t>
        </is>
      </c>
      <c r="G595" t="inlineStr">
        <is>
          <t>NYKÖPING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44191-2022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44839</v>
      </c>
      <c r="E596" s="1" t="n">
        <v>46291</v>
      </c>
      <c r="F596" t="inlineStr">
        <is>
          <t>SÖDERMANLANDS LÄN</t>
        </is>
      </c>
      <c r="G596" t="inlineStr">
        <is>
          <t>NYKÖPING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46291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46291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46291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46291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24280-2022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44725</v>
      </c>
      <c r="E601" s="1" t="n">
        <v>46291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31424-2022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44774</v>
      </c>
      <c r="E602" s="1" t="n">
        <v>46291</v>
      </c>
      <c r="F602" t="inlineStr">
        <is>
          <t>SÖDERMANLANDS LÄN</t>
        </is>
      </c>
      <c r="G602" t="inlineStr">
        <is>
          <t>NYKÖPING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47370-2022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44853</v>
      </c>
      <c r="E603" s="1" t="n">
        <v>46291</v>
      </c>
      <c r="F603" t="inlineStr">
        <is>
          <t>SÖDERMANLANDS LÄN</t>
        </is>
      </c>
      <c r="G603" t="inlineStr">
        <is>
          <t>NYKÖPING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45162</v>
      </c>
      <c r="E604" s="1" t="n">
        <v>46291</v>
      </c>
      <c r="F604" t="inlineStr">
        <is>
          <t>SÖDERMANLANDS LÄN</t>
        </is>
      </c>
      <c r="G604" t="inlineStr">
        <is>
          <t>NYKÖPING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46291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13455-2022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44645</v>
      </c>
      <c r="E606" s="1" t="n">
        <v>46291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46291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Övriga statliga verk och myndigheter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46291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45461</v>
      </c>
      <c r="E609" s="1" t="n">
        <v>46291</v>
      </c>
      <c r="F609" t="inlineStr">
        <is>
          <t>SÖDERMANLANDS LÄN</t>
        </is>
      </c>
      <c r="G609" t="inlineStr">
        <is>
          <t>NYKÖPING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35532-2022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44799</v>
      </c>
      <c r="E610" s="1" t="n">
        <v>46291</v>
      </c>
      <c r="F610" t="inlineStr">
        <is>
          <t>SÖDERMANLANDS LÄN</t>
        </is>
      </c>
      <c r="G610" t="inlineStr">
        <is>
          <t>NYKÖPING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45705</v>
      </c>
      <c r="E611" s="1" t="n">
        <v>46291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46291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46291</v>
      </c>
      <c r="F613" t="inlineStr">
        <is>
          <t>SÖDERMANLANDS LÄN</t>
        </is>
      </c>
      <c r="G613" t="inlineStr">
        <is>
          <t>NYKÖPING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65231-2023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45289</v>
      </c>
      <c r="E614" s="1" t="n">
        <v>46291</v>
      </c>
      <c r="F614" t="inlineStr">
        <is>
          <t>SÖDERMANLANDS LÄN</t>
        </is>
      </c>
      <c r="G614" t="inlineStr">
        <is>
          <t>NYKÖPING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35252-2022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44798</v>
      </c>
      <c r="E615" s="1" t="n">
        <v>46291</v>
      </c>
      <c r="F615" t="inlineStr">
        <is>
          <t>SÖDERMANLANDS LÄN</t>
        </is>
      </c>
      <c r="G615" t="inlineStr">
        <is>
          <t>NYKÖPING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30907-2022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44767</v>
      </c>
      <c r="E616" s="1" t="n">
        <v>46291</v>
      </c>
      <c r="F616" t="inlineStr">
        <is>
          <t>SÖDERMANLANDS LÄN</t>
        </is>
      </c>
      <c r="G616" t="inlineStr">
        <is>
          <t>NYKÖPING</t>
        </is>
      </c>
      <c r="I616" t="n">
        <v>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46291</v>
      </c>
      <c r="F617" t="inlineStr">
        <is>
          <t>SÖDERMANLANDS LÄN</t>
        </is>
      </c>
      <c r="G617" t="inlineStr">
        <is>
          <t>NYKÖPING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7756-2024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45348</v>
      </c>
      <c r="E618" s="1" t="n">
        <v>46291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7824-2024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46291</v>
      </c>
      <c r="F619" t="inlineStr">
        <is>
          <t>SÖDERMANLANDS LÄN</t>
        </is>
      </c>
      <c r="G619" t="inlineStr">
        <is>
          <t>NYKÖPING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44607</v>
      </c>
      <c r="E620" s="1" t="n">
        <v>46291</v>
      </c>
      <c r="F620" t="inlineStr">
        <is>
          <t>SÖDERMANLANDS LÄN</t>
        </is>
      </c>
      <c r="G620" t="inlineStr">
        <is>
          <t>NYKÖPING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46228</v>
      </c>
      <c r="E621" s="1" t="n">
        <v>46291</v>
      </c>
      <c r="F621" t="inlineStr">
        <is>
          <t>SÖDERMANLANDS LÄN</t>
        </is>
      </c>
      <c r="G621" t="inlineStr">
        <is>
          <t>NYKÖPING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37941-2022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44810</v>
      </c>
      <c r="E622" s="1" t="n">
        <v>46291</v>
      </c>
      <c r="F622" t="inlineStr">
        <is>
          <t>SÖDERMANLANDS LÄN</t>
        </is>
      </c>
      <c r="G622" t="inlineStr">
        <is>
          <t>NYKÖPING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34049-2026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46252</v>
      </c>
      <c r="E623" s="1" t="n">
        <v>46291</v>
      </c>
      <c r="F623" t="inlineStr">
        <is>
          <t>SÖDERMANLANDS LÄN</t>
        </is>
      </c>
      <c r="G623" t="inlineStr">
        <is>
          <t>NYKÖPING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46291</v>
      </c>
      <c r="F624" t="inlineStr">
        <is>
          <t>SÖDERMANLANDS LÄN</t>
        </is>
      </c>
      <c r="G624" t="inlineStr">
        <is>
          <t>NYKÖPING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44974</v>
      </c>
      <c r="E625" s="1" t="n">
        <v>46291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26561-2023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46291</v>
      </c>
      <c r="F626" t="inlineStr">
        <is>
          <t>SÖDERMANLANDS LÄN</t>
        </is>
      </c>
      <c r="G626" t="inlineStr">
        <is>
          <t>NYKÖPING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46291</v>
      </c>
      <c r="F627" t="inlineStr">
        <is>
          <t>SÖDERMANLANDS LÄN</t>
        </is>
      </c>
      <c r="G627" t="inlineStr">
        <is>
          <t>NYKÖPING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45271</v>
      </c>
      <c r="E628" s="1" t="n">
        <v>46291</v>
      </c>
      <c r="F628" t="inlineStr">
        <is>
          <t>SÖDERMANLANDS LÄN</t>
        </is>
      </c>
      <c r="G628" t="inlineStr">
        <is>
          <t>NYKÖPING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15047-2025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45743</v>
      </c>
      <c r="E629" s="1" t="n">
        <v>46291</v>
      </c>
      <c r="F629" t="inlineStr">
        <is>
          <t>SÖDERMANLANDS LÄN</t>
        </is>
      </c>
      <c r="G629" t="inlineStr">
        <is>
          <t>NYKÖPING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44783</v>
      </c>
      <c r="E630" s="1" t="n">
        <v>46291</v>
      </c>
      <c r="F630" t="inlineStr">
        <is>
          <t>SÖDERMANLANDS LÄN</t>
        </is>
      </c>
      <c r="G630" t="inlineStr">
        <is>
          <t>NYKÖPING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46291</v>
      </c>
      <c r="F631" t="inlineStr">
        <is>
          <t>SÖDERMANLANDS LÄN</t>
        </is>
      </c>
      <c r="G631" t="inlineStr">
        <is>
          <t>NYKÖPING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46291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Sveaskog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46291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44620</v>
      </c>
      <c r="E634" s="1" t="n">
        <v>46291</v>
      </c>
      <c r="F634" t="inlineStr">
        <is>
          <t>SÖDERMANLANDS LÄN</t>
        </is>
      </c>
      <c r="G634" t="inlineStr">
        <is>
          <t>NYKÖPING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46291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45628</v>
      </c>
      <c r="E636" s="1" t="n">
        <v>46291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44698</v>
      </c>
      <c r="E637" s="1" t="n">
        <v>46291</v>
      </c>
      <c r="F637" t="inlineStr">
        <is>
          <t>SÖDERMANLANDS LÄN</t>
        </is>
      </c>
      <c r="G637" t="inlineStr">
        <is>
          <t>NYKÖPING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71555-2021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46291</v>
      </c>
      <c r="F638" t="inlineStr">
        <is>
          <t>SÖDERMANLANDS LÄN</t>
        </is>
      </c>
      <c r="G638" t="inlineStr">
        <is>
          <t>NYKÖPING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6976-2023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44967</v>
      </c>
      <c r="E639" s="1" t="n">
        <v>46291</v>
      </c>
      <c r="F639" t="inlineStr">
        <is>
          <t>SÖDERMANLANDS LÄN</t>
        </is>
      </c>
      <c r="G639" t="inlineStr">
        <is>
          <t>NYKÖPING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46234</v>
      </c>
      <c r="E640" s="1" t="n">
        <v>46291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44830</v>
      </c>
      <c r="E641" s="1" t="n">
        <v>46291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34218-2024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45524</v>
      </c>
      <c r="E642" s="1" t="n">
        <v>46291</v>
      </c>
      <c r="F642" t="inlineStr">
        <is>
          <t>SÖDERMANLANDS LÄN</t>
        </is>
      </c>
      <c r="G642" t="inlineStr">
        <is>
          <t>NYKÖPING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55506-2021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44475</v>
      </c>
      <c r="E643" s="1" t="n">
        <v>46291</v>
      </c>
      <c r="F643" t="inlineStr">
        <is>
          <t>SÖDERMANLANDS LÄN</t>
        </is>
      </c>
      <c r="G643" t="inlineStr">
        <is>
          <t>NYKÖPING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46291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46240</v>
      </c>
      <c r="E645" s="1" t="n">
        <v>46291</v>
      </c>
      <c r="F645" t="inlineStr">
        <is>
          <t>SÖDERMANLANDS LÄN</t>
        </is>
      </c>
      <c r="G645" t="inlineStr">
        <is>
          <t>NYKÖPING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4406-2024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45327</v>
      </c>
      <c r="E646" s="1" t="n">
        <v>46291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46291</v>
      </c>
      <c r="F647" t="inlineStr">
        <is>
          <t>SÖDERMANLANDS LÄN</t>
        </is>
      </c>
      <c r="G647" t="inlineStr">
        <is>
          <t>NYKÖPING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44970</v>
      </c>
      <c r="E648" s="1" t="n">
        <v>46291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46291</v>
      </c>
      <c r="F649" t="inlineStr">
        <is>
          <t>SÖDERMANLANDS LÄN</t>
        </is>
      </c>
      <c r="G649" t="inlineStr">
        <is>
          <t>NYKÖPING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46283</v>
      </c>
      <c r="E650" s="1" t="n">
        <v>46291</v>
      </c>
      <c r="F650" t="inlineStr">
        <is>
          <t>SÖDERMANLANDS LÄN</t>
        </is>
      </c>
      <c r="G650" t="inlineStr">
        <is>
          <t>NYKÖPING</t>
        </is>
      </c>
      <c r="I650" t="n">
        <v>13.9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44790</v>
      </c>
      <c r="E651" s="1" t="n">
        <v>46291</v>
      </c>
      <c r="F651" t="inlineStr">
        <is>
          <t>SÖDERMANLANDS LÄN</t>
        </is>
      </c>
      <c r="G651" t="inlineStr">
        <is>
          <t>NYKÖPING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53738-2022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44880</v>
      </c>
      <c r="E652" s="1" t="n">
        <v>46291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Övriga Aktiebolag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44650</v>
      </c>
      <c r="E653" s="1" t="n">
        <v>46291</v>
      </c>
      <c r="F653" t="inlineStr">
        <is>
          <t>SÖDERMANLANDS LÄN</t>
        </is>
      </c>
      <c r="G653" t="inlineStr">
        <is>
          <t>NYKÖPING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43581-2022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44837</v>
      </c>
      <c r="E654" s="1" t="n">
        <v>46291</v>
      </c>
      <c r="F654" t="inlineStr">
        <is>
          <t>SÖDERMANLANDS LÄN</t>
        </is>
      </c>
      <c r="G654" t="inlineStr">
        <is>
          <t>NYKÖPING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53569-2022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44879</v>
      </c>
      <c r="E655" s="1" t="n">
        <v>46291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Övriga Aktiebolag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53413-2022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44879</v>
      </c>
      <c r="E656" s="1" t="n">
        <v>46291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Övriga Aktiebolag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45001</v>
      </c>
      <c r="E657" s="1" t="n">
        <v>46291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Kyrkan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46291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44938</v>
      </c>
      <c r="E659" s="1" t="n">
        <v>46291</v>
      </c>
      <c r="F659" t="inlineStr">
        <is>
          <t>SÖDERMANLANDS LÄN</t>
        </is>
      </c>
      <c r="G659" t="inlineStr">
        <is>
          <t>NYKÖPING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46245</v>
      </c>
      <c r="E660" s="1" t="n">
        <v>46291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46291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61618-2022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44916</v>
      </c>
      <c r="E662" s="1" t="n">
        <v>46291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45019</v>
      </c>
      <c r="E663" s="1" t="n">
        <v>46291</v>
      </c>
      <c r="F663" t="inlineStr">
        <is>
          <t>SÖDERMANLANDS LÄN</t>
        </is>
      </c>
      <c r="G663" t="inlineStr">
        <is>
          <t>NYKÖPING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44812</v>
      </c>
      <c r="E664" s="1" t="n">
        <v>46291</v>
      </c>
      <c r="F664" t="inlineStr">
        <is>
          <t>SÖDERMANLANDS LÄN</t>
        </is>
      </c>
      <c r="G664" t="inlineStr">
        <is>
          <t>NYKÖPING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46291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46291</v>
      </c>
      <c r="F666" t="inlineStr">
        <is>
          <t>SÖDERMANLANDS LÄN</t>
        </is>
      </c>
      <c r="G666" t="inlineStr">
        <is>
          <t>NYKÖPING</t>
        </is>
      </c>
      <c r="I666" t="n">
        <v>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23114-2023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46291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72985-2021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44549</v>
      </c>
      <c r="E668" s="1" t="n">
        <v>46291</v>
      </c>
      <c r="F668" t="inlineStr">
        <is>
          <t>SÖDERMANLANDS LÄN</t>
        </is>
      </c>
      <c r="G668" t="inlineStr">
        <is>
          <t>NYKÖPING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8407-2023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46291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Övriga Aktiebolag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46245</v>
      </c>
      <c r="E670" s="1" t="n">
        <v>46291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51530-2022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46291</v>
      </c>
      <c r="F671" t="inlineStr">
        <is>
          <t>SÖDERMANLANDS LÄN</t>
        </is>
      </c>
      <c r="G671" t="inlineStr">
        <is>
          <t>NYKÖPING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46291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46291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45166</v>
      </c>
      <c r="E674" s="1" t="n">
        <v>46291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46291</v>
      </c>
      <c r="F675" t="inlineStr">
        <is>
          <t>SÖDERMANLANDS LÄN</t>
        </is>
      </c>
      <c r="G675" t="inlineStr">
        <is>
          <t>NYKÖPING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4854-2023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44957</v>
      </c>
      <c r="E676" s="1" t="n">
        <v>46291</v>
      </c>
      <c r="F676" t="inlineStr">
        <is>
          <t>SÖDERMANLANDS LÄN</t>
        </is>
      </c>
      <c r="G676" t="inlineStr">
        <is>
          <t>NYKÖPING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45062</v>
      </c>
      <c r="E677" s="1" t="n">
        <v>46291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45370</v>
      </c>
      <c r="E678" s="1" t="n">
        <v>46291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51556-2024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45604</v>
      </c>
      <c r="E679" s="1" t="n">
        <v>46291</v>
      </c>
      <c r="F679" t="inlineStr">
        <is>
          <t>SÖDERMANLANDS LÄN</t>
        </is>
      </c>
      <c r="G679" t="inlineStr">
        <is>
          <t>NYKÖPING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46290</v>
      </c>
      <c r="E680" s="1" t="n">
        <v>46291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46291</v>
      </c>
      <c r="F681" t="inlineStr">
        <is>
          <t>SÖDERMANLANDS LÄN</t>
        </is>
      </c>
      <c r="G681" t="inlineStr">
        <is>
          <t>NYKÖPING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45424</v>
      </c>
      <c r="E682" s="1" t="n">
        <v>46291</v>
      </c>
      <c r="F682" t="inlineStr">
        <is>
          <t>SÖDERMANLANDS LÄN</t>
        </is>
      </c>
      <c r="G682" t="inlineStr">
        <is>
          <t>NYKÖPING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46291</v>
      </c>
      <c r="F683" t="inlineStr">
        <is>
          <t>SÖDERMANLANDS LÄN</t>
        </is>
      </c>
      <c r="G683" t="inlineStr">
        <is>
          <t>NYKÖPING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46291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49942-2022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46291</v>
      </c>
      <c r="F685" t="inlineStr">
        <is>
          <t>SÖDERMANLANDS LÄN</t>
        </is>
      </c>
      <c r="G685" t="inlineStr">
        <is>
          <t>NYKÖPING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51880-2023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45216</v>
      </c>
      <c r="E686" s="1" t="n">
        <v>46291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53374-2021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46291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72666-2021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44546</v>
      </c>
      <c r="E688" s="1" t="n">
        <v>46291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44968</v>
      </c>
      <c r="E689" s="1" t="n">
        <v>46291</v>
      </c>
      <c r="F689" t="inlineStr">
        <is>
          <t>SÖDERMANLANDS LÄN</t>
        </is>
      </c>
      <c r="G689" t="inlineStr">
        <is>
          <t>NYKÖPING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46291</v>
      </c>
      <c r="F690" t="inlineStr">
        <is>
          <t>SÖDERMANLANDS LÄN</t>
        </is>
      </c>
      <c r="G690" t="inlineStr">
        <is>
          <t>NYKÖPING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44964</v>
      </c>
      <c r="E691" s="1" t="n">
        <v>46291</v>
      </c>
      <c r="F691" t="inlineStr">
        <is>
          <t>SÖDERMANLANDS LÄN</t>
        </is>
      </c>
      <c r="G691" t="inlineStr">
        <is>
          <t>NYKÖPING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39253-2023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46291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45474</v>
      </c>
      <c r="E693" s="1" t="n">
        <v>46291</v>
      </c>
      <c r="F693" t="inlineStr">
        <is>
          <t>SÖDERMANLANDS LÄN</t>
        </is>
      </c>
      <c r="G693" t="inlineStr">
        <is>
          <t>NYKÖPING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72117-2021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44543</v>
      </c>
      <c r="E694" s="1" t="n">
        <v>46291</v>
      </c>
      <c r="F694" t="inlineStr">
        <is>
          <t>SÖDERMANLANDS LÄN</t>
        </is>
      </c>
      <c r="G694" t="inlineStr">
        <is>
          <t>NYKÖPING</t>
        </is>
      </c>
      <c r="I694" t="n">
        <v>14.9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50776-2022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46291</v>
      </c>
      <c r="F695" t="inlineStr">
        <is>
          <t>SÖDERMANLANDS LÄN</t>
        </is>
      </c>
      <c r="G695" t="inlineStr">
        <is>
          <t>NYKÖPING</t>
        </is>
      </c>
      <c r="I695" t="n">
        <v>13.4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46291</v>
      </c>
      <c r="F696" t="inlineStr">
        <is>
          <t>SÖDERMANLANDS LÄN</t>
        </is>
      </c>
      <c r="G696" t="inlineStr">
        <is>
          <t>NYKÖPING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46291</v>
      </c>
      <c r="F697" t="inlineStr">
        <is>
          <t>SÖDERMANLANDS LÄN</t>
        </is>
      </c>
      <c r="G697" t="inlineStr">
        <is>
          <t>NYKÖPING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46291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27944-2023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45098</v>
      </c>
      <c r="E699" s="1" t="n">
        <v>46291</v>
      </c>
      <c r="F699" t="inlineStr">
        <is>
          <t>SÖDERMANLANDS LÄN</t>
        </is>
      </c>
      <c r="G699" t="inlineStr">
        <is>
          <t>NYKÖPING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16457-2023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45029</v>
      </c>
      <c r="E700" s="1" t="n">
        <v>46291</v>
      </c>
      <c r="F700" t="inlineStr">
        <is>
          <t>SÖDERMANLANDS LÄN</t>
        </is>
      </c>
      <c r="G700" t="inlineStr">
        <is>
          <t>NYKÖPING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67736-2021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44525</v>
      </c>
      <c r="E701" s="1" t="n">
        <v>46291</v>
      </c>
      <c r="F701" t="inlineStr">
        <is>
          <t>SÖDERMANLANDS LÄN</t>
        </is>
      </c>
      <c r="G701" t="inlineStr">
        <is>
          <t>NYKÖPING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51410-2022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44869</v>
      </c>
      <c r="E702" s="1" t="n">
        <v>46291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46291</v>
      </c>
      <c r="F703" t="inlineStr">
        <is>
          <t>SÖDERMANLANDS LÄN</t>
        </is>
      </c>
      <c r="G703" t="inlineStr">
        <is>
          <t>NYKÖPING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44976</v>
      </c>
      <c r="E704" s="1" t="n">
        <v>46291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44964</v>
      </c>
      <c r="E705" s="1" t="n">
        <v>46291</v>
      </c>
      <c r="F705" t="inlineStr">
        <is>
          <t>SÖDERMANLANDS LÄN</t>
        </is>
      </c>
      <c r="G705" t="inlineStr">
        <is>
          <t>NYKÖPING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64159-2021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44510</v>
      </c>
      <c r="E706" s="1" t="n">
        <v>46291</v>
      </c>
      <c r="F706" t="inlineStr">
        <is>
          <t>SÖDERMANLANDS LÄN</t>
        </is>
      </c>
      <c r="G706" t="inlineStr">
        <is>
          <t>NYKÖPING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38054-2023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45160</v>
      </c>
      <c r="E707" s="1" t="n">
        <v>46291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38063-2023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45160</v>
      </c>
      <c r="E708" s="1" t="n">
        <v>46291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43657-2022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44837</v>
      </c>
      <c r="E709" s="1" t="n">
        <v>46291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42368-2024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45564</v>
      </c>
      <c r="E710" s="1" t="n">
        <v>46291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46291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44938</v>
      </c>
      <c r="E712" s="1" t="n">
        <v>46291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44977</v>
      </c>
      <c r="E713" s="1" t="n">
        <v>46291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64099-2021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44509</v>
      </c>
      <c r="E714" s="1" t="n">
        <v>46291</v>
      </c>
      <c r="F714" t="inlineStr">
        <is>
          <t>SÖDERMANLANDS LÄN</t>
        </is>
      </c>
      <c r="G714" t="inlineStr">
        <is>
          <t>NYKÖPING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46291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20985-2023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46291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44579</v>
      </c>
      <c r="E717" s="1" t="n">
        <v>46291</v>
      </c>
      <c r="F717" t="inlineStr">
        <is>
          <t>SÖDERMANLANDS LÄN</t>
        </is>
      </c>
      <c r="G717" t="inlineStr">
        <is>
          <t>NYKÖPING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44579</v>
      </c>
      <c r="E718" s="1" t="n">
        <v>46291</v>
      </c>
      <c r="F718" t="inlineStr">
        <is>
          <t>SÖDERMANLANDS LÄN</t>
        </is>
      </c>
      <c r="G718" t="inlineStr">
        <is>
          <t>NYKÖPING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46291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44579</v>
      </c>
      <c r="E720" s="1" t="n">
        <v>46291</v>
      </c>
      <c r="F720" t="inlineStr">
        <is>
          <t>SÖDERMANLANDS LÄN</t>
        </is>
      </c>
      <c r="G720" t="inlineStr">
        <is>
          <t>NYKÖPING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38846-2023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45163</v>
      </c>
      <c r="E721" s="1" t="n">
        <v>46291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44578</v>
      </c>
      <c r="E722" s="1" t="n">
        <v>46291</v>
      </c>
      <c r="F722" t="inlineStr">
        <is>
          <t>SÖDERMANLANDS LÄN</t>
        </is>
      </c>
      <c r="G722" t="inlineStr">
        <is>
          <t>NYKÖPING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33653-2024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46291</v>
      </c>
      <c r="F723" t="inlineStr">
        <is>
          <t>SÖDERMANLANDS LÄN</t>
        </is>
      </c>
      <c r="G723" t="inlineStr">
        <is>
          <t>NYKÖPING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21249-2023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45062</v>
      </c>
      <c r="E724" s="1" t="n">
        <v>46291</v>
      </c>
      <c r="F724" t="inlineStr">
        <is>
          <t>SÖDERMANLANDS LÄN</t>
        </is>
      </c>
      <c r="G724" t="inlineStr">
        <is>
          <t>NYKÖPING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45282-2022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44844</v>
      </c>
      <c r="E725" s="1" t="n">
        <v>46291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35020-2023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45143</v>
      </c>
      <c r="E726" s="1" t="n">
        <v>46291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24285-2022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44725</v>
      </c>
      <c r="E727" s="1" t="n">
        <v>46291</v>
      </c>
      <c r="F727" t="inlineStr">
        <is>
          <t>SÖDERMANLANDS LÄN</t>
        </is>
      </c>
      <c r="G727" t="inlineStr">
        <is>
          <t>NYKÖPING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14848-2024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45398</v>
      </c>
      <c r="E728" s="1" t="n">
        <v>46291</v>
      </c>
      <c r="F728" t="inlineStr">
        <is>
          <t>SÖDERMANLANDS LÄN</t>
        </is>
      </c>
      <c r="G728" t="inlineStr">
        <is>
          <t>NYKÖPING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45667</v>
      </c>
      <c r="E729" s="1" t="n">
        <v>46291</v>
      </c>
      <c r="F729" t="inlineStr">
        <is>
          <t>SÖDERMANLANDS LÄN</t>
        </is>
      </c>
      <c r="G729" t="inlineStr">
        <is>
          <t>NYKÖPING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45410</v>
      </c>
      <c r="E730" s="1" t="n">
        <v>46291</v>
      </c>
      <c r="F730" t="inlineStr">
        <is>
          <t>SÖDERMANLANDS LÄN</t>
        </is>
      </c>
      <c r="G730" t="inlineStr">
        <is>
          <t>NYKÖPING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45630</v>
      </c>
      <c r="E731" s="1" t="n">
        <v>46291</v>
      </c>
      <c r="F731" t="inlineStr">
        <is>
          <t>SÖDERMANLANDS LÄN</t>
        </is>
      </c>
      <c r="G731" t="inlineStr">
        <is>
          <t>NYKÖPING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45310</v>
      </c>
      <c r="E732" s="1" t="n">
        <v>46291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31401-2022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44774</v>
      </c>
      <c r="E733" s="1" t="n">
        <v>46291</v>
      </c>
      <c r="F733" t="inlineStr">
        <is>
          <t>SÖDERMANLANDS LÄN</t>
        </is>
      </c>
      <c r="G733" t="inlineStr">
        <is>
          <t>NYKÖPING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7036-2023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44968</v>
      </c>
      <c r="E734" s="1" t="n">
        <v>46291</v>
      </c>
      <c r="F734" t="inlineStr">
        <is>
          <t>SÖDERMANLANDS LÄN</t>
        </is>
      </c>
      <c r="G734" t="inlineStr">
        <is>
          <t>NYKÖPING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18604-2023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45043</v>
      </c>
      <c r="E735" s="1" t="n">
        <v>46291</v>
      </c>
      <c r="F735" t="inlineStr">
        <is>
          <t>SÖDERMANLANDS LÄN</t>
        </is>
      </c>
      <c r="G735" t="inlineStr">
        <is>
          <t>NYKÖPING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53800-2022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44880</v>
      </c>
      <c r="E736" s="1" t="n">
        <v>46291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10211-2024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45364</v>
      </c>
      <c r="E737" s="1" t="n">
        <v>46291</v>
      </c>
      <c r="F737" t="inlineStr">
        <is>
          <t>SÖDERMANLANDS LÄN</t>
        </is>
      </c>
      <c r="G737" t="inlineStr">
        <is>
          <t>NYKÖPING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54183-2022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44881</v>
      </c>
      <c r="E738" s="1" t="n">
        <v>46291</v>
      </c>
      <c r="F738" t="inlineStr">
        <is>
          <t>SÖDERMANLANDS LÄN</t>
        </is>
      </c>
      <c r="G738" t="inlineStr">
        <is>
          <t>NYKÖPING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45762</v>
      </c>
      <c r="E739" s="1" t="n">
        <v>46291</v>
      </c>
      <c r="F739" t="inlineStr">
        <is>
          <t>SÖDERMANLANDS LÄN</t>
        </is>
      </c>
      <c r="G739" t="inlineStr">
        <is>
          <t>NYKÖPING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45148</v>
      </c>
      <c r="E740" s="1" t="n">
        <v>46291</v>
      </c>
      <c r="F740" t="inlineStr">
        <is>
          <t>SÖDERMANLANDS LÄN</t>
        </is>
      </c>
      <c r="G740" t="inlineStr">
        <is>
          <t>NYKÖPING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32875-2022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44784</v>
      </c>
      <c r="E741" s="1" t="n">
        <v>46291</v>
      </c>
      <c r="F741" t="inlineStr">
        <is>
          <t>SÖDERMANLANDS LÄN</t>
        </is>
      </c>
      <c r="G741" t="inlineStr">
        <is>
          <t>NYKÖPING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21137-2023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46291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10639-2025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45721</v>
      </c>
      <c r="E743" s="1" t="n">
        <v>46291</v>
      </c>
      <c r="F743" t="inlineStr">
        <is>
          <t>SÖDERMANLANDS LÄN</t>
        </is>
      </c>
      <c r="G743" t="inlineStr">
        <is>
          <t>NYKÖPING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46291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46291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44942</v>
      </c>
      <c r="E746" s="1" t="n">
        <v>46291</v>
      </c>
      <c r="F746" t="inlineStr">
        <is>
          <t>SÖDERMANLANDS LÄN</t>
        </is>
      </c>
      <c r="G746" t="inlineStr">
        <is>
          <t>NYKÖPING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45174</v>
      </c>
      <c r="E747" s="1" t="n">
        <v>46291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31392-2022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44774</v>
      </c>
      <c r="E748" s="1" t="n">
        <v>46291</v>
      </c>
      <c r="F748" t="inlineStr">
        <is>
          <t>SÖDERMANLANDS LÄN</t>
        </is>
      </c>
      <c r="G748" t="inlineStr">
        <is>
          <t>NYKÖPING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42251-2022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44830</v>
      </c>
      <c r="E749" s="1" t="n">
        <v>46291</v>
      </c>
      <c r="F749" t="inlineStr">
        <is>
          <t>SÖDERMANLANDS LÄN</t>
        </is>
      </c>
      <c r="G749" t="inlineStr">
        <is>
          <t>NYKÖPING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44965</v>
      </c>
      <c r="E750" s="1" t="n">
        <v>46291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Kyrkan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45540</v>
      </c>
      <c r="E751" s="1" t="n">
        <v>46291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45729</v>
      </c>
      <c r="E752" s="1" t="n">
        <v>46291</v>
      </c>
      <c r="F752" t="inlineStr">
        <is>
          <t>SÖDERMANLANDS LÄN</t>
        </is>
      </c>
      <c r="G752" t="inlineStr">
        <is>
          <t>NYKÖPING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12140-2025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45729</v>
      </c>
      <c r="E753" s="1" t="n">
        <v>46291</v>
      </c>
      <c r="F753" t="inlineStr">
        <is>
          <t>SÖDERMANLANDS LÄN</t>
        </is>
      </c>
      <c r="G753" t="inlineStr">
        <is>
          <t>NYKÖPING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62432-2023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45268</v>
      </c>
      <c r="E754" s="1" t="n">
        <v>46291</v>
      </c>
      <c r="F754" t="inlineStr">
        <is>
          <t>SÖDERMANLANDS LÄN</t>
        </is>
      </c>
      <c r="G754" t="inlineStr">
        <is>
          <t>NYKÖPING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46291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68500-2021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44529</v>
      </c>
      <c r="E756" s="1" t="n">
        <v>46291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Aktiebolag</t>
        </is>
      </c>
      <c r="I756" t="n">
        <v>13.1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12826-2024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45384</v>
      </c>
      <c r="E757" s="1" t="n">
        <v>46291</v>
      </c>
      <c r="F757" t="inlineStr">
        <is>
          <t>SÖDERMANLANDS LÄN</t>
        </is>
      </c>
      <c r="G757" t="inlineStr">
        <is>
          <t>NYKÖPING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29551-2023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46291</v>
      </c>
      <c r="F758" t="inlineStr">
        <is>
          <t>SÖDERMANLANDS LÄN</t>
        </is>
      </c>
      <c r="G758" t="inlineStr">
        <is>
          <t>NYKÖPING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45306</v>
      </c>
      <c r="E759" s="1" t="n">
        <v>46291</v>
      </c>
      <c r="F759" t="inlineStr">
        <is>
          <t>SÖDERMANLANDS LÄN</t>
        </is>
      </c>
      <c r="G759" t="inlineStr">
        <is>
          <t>NYKÖPING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51259-2024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46291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45443</v>
      </c>
      <c r="E761" s="1" t="n">
        <v>46291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45424</v>
      </c>
      <c r="E762" s="1" t="n">
        <v>46291</v>
      </c>
      <c r="F762" t="inlineStr">
        <is>
          <t>SÖDERMANLANDS LÄN</t>
        </is>
      </c>
      <c r="G762" t="inlineStr">
        <is>
          <t>NYKÖPING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46291</v>
      </c>
      <c r="F763" t="inlineStr">
        <is>
          <t>SÖDERMANLANDS LÄN</t>
        </is>
      </c>
      <c r="G763" t="inlineStr">
        <is>
          <t>NYKÖPING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8324-2024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45350</v>
      </c>
      <c r="E764" s="1" t="n">
        <v>46291</v>
      </c>
      <c r="F764" t="inlineStr">
        <is>
          <t>SÖDERMANLANDS LÄN</t>
        </is>
      </c>
      <c r="G764" t="inlineStr">
        <is>
          <t>NYKÖPING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45315</v>
      </c>
      <c r="E765" s="1" t="n">
        <v>46291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44824-2023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45190</v>
      </c>
      <c r="E766" s="1" t="n">
        <v>46291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7045-2023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44968</v>
      </c>
      <c r="E767" s="1" t="n">
        <v>46291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46291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Kommuner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58553-2024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45635</v>
      </c>
      <c r="E769" s="1" t="n">
        <v>46291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34203-2024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45524</v>
      </c>
      <c r="E770" s="1" t="n">
        <v>46291</v>
      </c>
      <c r="F770" t="inlineStr">
        <is>
          <t>SÖDERMANLANDS LÄN</t>
        </is>
      </c>
      <c r="G770" t="inlineStr">
        <is>
          <t>NYKÖPING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59148-2024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45637</v>
      </c>
      <c r="E771" s="1" t="n">
        <v>46291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1999-2020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44092</v>
      </c>
      <c r="E772" s="1" t="n">
        <v>46291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Kommuner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1573-2020</t>
        </is>
      </c>
      <c r="B773" t="inlineStr">
        <is>
          <t>samrådsanmälan</t>
        </is>
      </c>
      <c r="C773" t="inlineStr">
        <is>
          <t>Åtgärd i nyckelbiotop</t>
        </is>
      </c>
      <c r="D773" s="1" t="n">
        <v>44013</v>
      </c>
      <c r="E773" s="1" t="n">
        <v>46291</v>
      </c>
      <c r="F773" t="inlineStr">
        <is>
          <t>SÖDERMANLANDS LÄN</t>
        </is>
      </c>
      <c r="G773" t="inlineStr">
        <is>
          <t>NYKÖPING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2311-2022</t>
        </is>
      </c>
      <c r="B774" t="inlineStr">
        <is>
          <t>samrådsanmälan</t>
        </is>
      </c>
      <c r="C774" t="inlineStr">
        <is>
          <t>Åtgärd i nyckelbiotop</t>
        </is>
      </c>
      <c r="D774" s="1" t="n">
        <v>44684</v>
      </c>
      <c r="E774" s="1" t="n">
        <v>46291</v>
      </c>
      <c r="F774" t="inlineStr">
        <is>
          <t>SÖDERMANLANDS LÄN</t>
        </is>
      </c>
      <c r="G774" t="inlineStr">
        <is>
          <t>NYKÖPING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3579-2022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44735</v>
      </c>
      <c r="E775" s="1" t="n">
        <v>46291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Sveaskog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3783-2023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45223</v>
      </c>
      <c r="E776" s="1" t="n">
        <v>46291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220-2023</t>
        </is>
      </c>
      <c r="B777" t="inlineStr">
        <is>
          <t>samrådsanmälan</t>
        </is>
      </c>
      <c r="C777" t="inlineStr">
        <is>
          <t>Stubbskörd</t>
        </is>
      </c>
      <c r="D777" s="1" t="n">
        <v>44949</v>
      </c>
      <c r="E777" s="1" t="n">
        <v>46291</v>
      </c>
      <c r="F777" t="inlineStr">
        <is>
          <t>SÖDERMANLANDS LÄN</t>
        </is>
      </c>
      <c r="G777" t="inlineStr">
        <is>
          <t>NYKÖPING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1224-2023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45029</v>
      </c>
      <c r="E778" s="1" t="n">
        <v>46291</v>
      </c>
      <c r="F778" t="inlineStr">
        <is>
          <t>SÖDERMANLANDS LÄN</t>
        </is>
      </c>
      <c r="G778" t="inlineStr">
        <is>
          <t>NYKÖPING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633-2025</t>
        </is>
      </c>
      <c r="B779" t="inlineStr">
        <is>
          <t>samrådsanmälan</t>
        </is>
      </c>
      <c r="C779" t="inlineStr">
        <is>
          <t>Skogsgödsling</t>
        </is>
      </c>
      <c r="D779" s="1" t="n">
        <v>45714</v>
      </c>
      <c r="E779" s="1" t="n">
        <v>46291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39.6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3071-2024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45517</v>
      </c>
      <c r="E780" s="1" t="n">
        <v>46291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2818-2025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45939</v>
      </c>
      <c r="E781" s="1" t="n">
        <v>46291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641-2026</t>
        </is>
      </c>
      <c r="B782" t="inlineStr">
        <is>
          <t>samrådsanmälan</t>
        </is>
      </c>
      <c r="C782" t="inlineStr">
        <is>
          <t>Skogsgödsling</t>
        </is>
      </c>
      <c r="D782" s="1" t="n">
        <v>46090</v>
      </c>
      <c r="E782" s="1" t="n">
        <v>46291</v>
      </c>
      <c r="F782" t="inlineStr">
        <is>
          <t>SÖDERMANLANDS LÄN</t>
        </is>
      </c>
      <c r="G782" t="inlineStr">
        <is>
          <t>NYKÖPING</t>
        </is>
      </c>
      <c r="I782" t="n">
        <v>46.2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248-2026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46050</v>
      </c>
      <c r="E783" s="1" t="n">
        <v>46291</v>
      </c>
      <c r="F783" t="inlineStr">
        <is>
          <t>SÖDERMANLANDS LÄN</t>
        </is>
      </c>
      <c r="G783" t="inlineStr">
        <is>
          <t>NYKÖPING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2026-09-26T02:07:56Z</dcterms:created>
  <dcterms:modified xmlns:dcterms="http://purl.org/dc/terms/" xmlns:xsi="http://www.w3.org/2001/XMLSchema-instance" xsi:type="dcterms:W3CDTF">2026-09-26T02:07:57Z</dcterms:modified>
</cp:coreProperties>
</file>