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45630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45630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42096-2022</t>
        </is>
      </c>
      <c r="B11" s="1" t="n">
        <v>44830</v>
      </c>
      <c r="C11" s="1" t="n">
        <v>45630</v>
      </c>
      <c r="D11" t="inlineStr">
        <is>
          <t>SÖDERMANLANDS LÄN</t>
        </is>
      </c>
      <c r="E11" t="inlineStr">
        <is>
          <t>NYKÖPING</t>
        </is>
      </c>
      <c r="G11" t="n">
        <v>6.2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Krusfrö
Svinrot
Trådticka
Vågbandad barkbock
Kopparödla
Blåsippa</t>
        </is>
      </c>
      <c r="S11">
        <f>HYPERLINK("https://klasma.github.io/Logging_0480/artfynd/A 42096-2022 artfynd.xlsx", "A 42096-2022")</f>
        <v/>
      </c>
      <c r="T11">
        <f>HYPERLINK("https://klasma.github.io/Logging_0480/kartor/A 42096-2022 karta.png", "A 42096-2022")</f>
        <v/>
      </c>
      <c r="U11">
        <f>HYPERLINK("https://klasma.github.io/Logging_0480/knärot/A 42096-2022 karta knärot.png", "A 42096-2022")</f>
        <v/>
      </c>
      <c r="V11">
        <f>HYPERLINK("https://klasma.github.io/Logging_0480/klagomål/A 42096-2022 FSC-klagomål.docx", "A 42096-2022")</f>
        <v/>
      </c>
      <c r="W11">
        <f>HYPERLINK("https://klasma.github.io/Logging_0480/klagomålsmail/A 42096-2022 FSC-klagomål mail.docx", "A 42096-2022")</f>
        <v/>
      </c>
      <c r="X11">
        <f>HYPERLINK("https://klasma.github.io/Logging_0480/tillsyn/A 42096-2022 tillsynsbegäran.docx", "A 42096-2022")</f>
        <v/>
      </c>
      <c r="Y11">
        <f>HYPERLINK("https://klasma.github.io/Logging_0480/tillsynsmail/A 42096-2022 tillsynsbegäran mail.docx", "A 42096-2022")</f>
        <v/>
      </c>
    </row>
    <row r="12" ht="15" customHeight="1">
      <c r="A12" t="inlineStr">
        <is>
          <t>A 23898-2024</t>
        </is>
      </c>
      <c r="B12" s="1" t="n">
        <v>45455</v>
      </c>
      <c r="C12" s="1" t="n">
        <v>45630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7.4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Skogsalm
Blodticka
Blåmossa
Brandticka
Stubbspretmossa
Ögonpyrola
Revlummer</t>
        </is>
      </c>
      <c r="S12">
        <f>HYPERLINK("https://klasma.github.io/Logging_0480/artfynd/A 23898-2024 artfynd.xlsx", "A 23898-2024")</f>
        <v/>
      </c>
      <c r="T12">
        <f>HYPERLINK("https://klasma.github.io/Logging_0480/kartor/A 23898-2024 karta.png", "A 23898-2024")</f>
        <v/>
      </c>
      <c r="V12">
        <f>HYPERLINK("https://klasma.github.io/Logging_0480/klagomål/A 23898-2024 FSC-klagomål.docx", "A 23898-2024")</f>
        <v/>
      </c>
      <c r="W12">
        <f>HYPERLINK("https://klasma.github.io/Logging_0480/klagomålsmail/A 23898-2024 FSC-klagomål mail.docx", "A 23898-2024")</f>
        <v/>
      </c>
      <c r="X12">
        <f>HYPERLINK("https://klasma.github.io/Logging_0480/tillsyn/A 23898-2024 tillsynsbegäran.docx", "A 23898-2024")</f>
        <v/>
      </c>
      <c r="Y12">
        <f>HYPERLINK("https://klasma.github.io/Logging_0480/tillsynsmail/A 23898-2024 tillsynsbegäran mail.docx", "A 23898-2024")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45630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5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Kricka
Granticka
Rödvingetrast
Ärtsångare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14667-2020</t>
        </is>
      </c>
      <c r="B14" s="1" t="n">
        <v>43909</v>
      </c>
      <c r="C14" s="1" t="n">
        <v>45630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4.5</v>
      </c>
      <c r="H14" t="n">
        <v>5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Grönfink
Entita
Kråka
Talltita
Vedtrappmossa
Kungsfågel</t>
        </is>
      </c>
      <c r="S14">
        <f>HYPERLINK("https://klasma.github.io/Logging_0480/artfynd/A 14667-2020 artfynd.xlsx", "A 14667-2020")</f>
        <v/>
      </c>
      <c r="T14">
        <f>HYPERLINK("https://klasma.github.io/Logging_0480/kartor/A 14667-2020 karta.png", "A 14667-2020")</f>
        <v/>
      </c>
      <c r="V14">
        <f>HYPERLINK("https://klasma.github.io/Logging_0480/klagomål/A 14667-2020 FSC-klagomål.docx", "A 14667-2020")</f>
        <v/>
      </c>
      <c r="W14">
        <f>HYPERLINK("https://klasma.github.io/Logging_0480/klagomålsmail/A 14667-2020 FSC-klagomål mail.docx", "A 14667-2020")</f>
        <v/>
      </c>
      <c r="X14">
        <f>HYPERLINK("https://klasma.github.io/Logging_0480/tillsyn/A 14667-2020 tillsynsbegäran.docx", "A 14667-2020")</f>
        <v/>
      </c>
      <c r="Y14">
        <f>HYPERLINK("https://klasma.github.io/Logging_0480/tillsynsmail/A 14667-2020 tillsynsbegäran mail.docx", "A 14667-2020")</f>
        <v/>
      </c>
      <c r="Z14">
        <f>HYPERLINK("https://klasma.github.io/Logging_0480/fåglar/A 14667-2020 prioriterade fågelarter.docx", "A 14667-2020")</f>
        <v/>
      </c>
    </row>
    <row r="15" ht="15" customHeight="1">
      <c r="A15" t="inlineStr">
        <is>
          <t>A 19957-2020</t>
        </is>
      </c>
      <c r="B15" s="1" t="n">
        <v>43943</v>
      </c>
      <c r="C15" s="1" t="n">
        <v>45630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Bergjohannesört
Korskovall
Krusfrö
Mindre hackspett
Ängsskära
Blåsippa</t>
        </is>
      </c>
      <c r="S15">
        <f>HYPERLINK("https://klasma.github.io/Logging_0480/artfynd/A 19957-2020 artfynd.xlsx", "A 19957-2020")</f>
        <v/>
      </c>
      <c r="T15">
        <f>HYPERLINK("https://klasma.github.io/Logging_0480/kartor/A 19957-2020 karta.png", "A 19957-2020")</f>
        <v/>
      </c>
      <c r="V15">
        <f>HYPERLINK("https://klasma.github.io/Logging_0480/klagomål/A 19957-2020 FSC-klagomål.docx", "A 19957-2020")</f>
        <v/>
      </c>
      <c r="W15">
        <f>HYPERLINK("https://klasma.github.io/Logging_0480/klagomålsmail/A 19957-2020 FSC-klagomål mail.docx", "A 19957-2020")</f>
        <v/>
      </c>
      <c r="X15">
        <f>HYPERLINK("https://klasma.github.io/Logging_0480/tillsyn/A 19957-2020 tillsynsbegäran.docx", "A 19957-2020")</f>
        <v/>
      </c>
      <c r="Y15">
        <f>HYPERLINK("https://klasma.github.io/Logging_0480/tillsynsmail/A 19957-2020 tillsynsbegäran mail.docx", "A 19957-2020")</f>
        <v/>
      </c>
      <c r="Z15">
        <f>HYPERLINK("https://klasma.github.io/Logging_0480/fåglar/A 19957-2020 prioriterade fågelarter.docx", "A 19957-2020")</f>
        <v/>
      </c>
    </row>
    <row r="16" ht="15" customHeight="1">
      <c r="A16" t="inlineStr">
        <is>
          <t>A 30895-2020</t>
        </is>
      </c>
      <c r="B16" s="1" t="n">
        <v>44008</v>
      </c>
      <c r="C16" s="1" t="n">
        <v>45630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8.199999999999999</v>
      </c>
      <c r="H16" t="n">
        <v>2</v>
      </c>
      <c r="I16" t="n">
        <v>3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Ask
Bombmurkla
Grönpyrola
Guldkremla
Stubbspretmossa
Revlummer</t>
        </is>
      </c>
      <c r="S16">
        <f>HYPERLINK("https://klasma.github.io/Logging_0480/artfynd/A 30895-2020 artfynd.xlsx", "A 30895-2020")</f>
        <v/>
      </c>
      <c r="T16">
        <f>HYPERLINK("https://klasma.github.io/Logging_0480/kartor/A 30895-2020 karta.png", "A 30895-2020")</f>
        <v/>
      </c>
      <c r="V16">
        <f>HYPERLINK("https://klasma.github.io/Logging_0480/klagomål/A 30895-2020 FSC-klagomål.docx", "A 30895-2020")</f>
        <v/>
      </c>
      <c r="W16">
        <f>HYPERLINK("https://klasma.github.io/Logging_0480/klagomålsmail/A 30895-2020 FSC-klagomål mail.docx", "A 30895-2020")</f>
        <v/>
      </c>
      <c r="X16">
        <f>HYPERLINK("https://klasma.github.io/Logging_0480/tillsyn/A 30895-2020 tillsynsbegäran.docx", "A 30895-2020")</f>
        <v/>
      </c>
      <c r="Y16">
        <f>HYPERLINK("https://klasma.github.io/Logging_0480/tillsynsmail/A 30895-2020 tillsynsbegäran mail.docx", "A 30895-2020")</f>
        <v/>
      </c>
    </row>
    <row r="17" ht="15" customHeight="1">
      <c r="A17" t="inlineStr">
        <is>
          <t>A 40499-2024</t>
        </is>
      </c>
      <c r="B17" s="1" t="n">
        <v>45555</v>
      </c>
      <c r="C17" s="1" t="n">
        <v>45630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1.7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Orange taggsvamp
Flagellkvastmossa
Grönpyrola
Stor revmossa
Vågbandad barkbock
Zontaggsvamp</t>
        </is>
      </c>
      <c r="S17">
        <f>HYPERLINK("https://klasma.github.io/Logging_0480/artfynd/A 40499-2024 artfynd.xlsx", "A 40499-2024")</f>
        <v/>
      </c>
      <c r="T17">
        <f>HYPERLINK("https://klasma.github.io/Logging_0480/kartor/A 40499-2024 karta.png", "A 40499-2024")</f>
        <v/>
      </c>
      <c r="V17">
        <f>HYPERLINK("https://klasma.github.io/Logging_0480/klagomål/A 40499-2024 FSC-klagomål.docx", "A 40499-2024")</f>
        <v/>
      </c>
      <c r="W17">
        <f>HYPERLINK("https://klasma.github.io/Logging_0480/klagomålsmail/A 40499-2024 FSC-klagomål mail.docx", "A 40499-2024")</f>
        <v/>
      </c>
      <c r="X17">
        <f>HYPERLINK("https://klasma.github.io/Logging_0480/tillsyn/A 40499-2024 tillsynsbegäran.docx", "A 40499-2024")</f>
        <v/>
      </c>
      <c r="Y17">
        <f>HYPERLINK("https://klasma.github.io/Logging_0480/tillsynsmail/A 40499-2024 tillsynsbegäran mail.docx", "A 40499-2024")</f>
        <v/>
      </c>
    </row>
    <row r="18" ht="15" customHeight="1">
      <c r="A18" t="inlineStr">
        <is>
          <t>A 29255-2020</t>
        </is>
      </c>
      <c r="B18" s="1" t="n">
        <v>44004</v>
      </c>
      <c r="C18" s="1" t="n">
        <v>45630</v>
      </c>
      <c r="D18" t="inlineStr">
        <is>
          <t>SÖDERMANLANDS LÄN</t>
        </is>
      </c>
      <c r="E18" t="inlineStr">
        <is>
          <t>NYKÖPING</t>
        </is>
      </c>
      <c r="G18" t="n">
        <v>5.5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Skogsknipprot
Svart trolldruva
Tjockfotad fingersvamp
Blåsippa
Gullviva</t>
        </is>
      </c>
      <c r="S18">
        <f>HYPERLINK("https://klasma.github.io/Logging_0480/artfynd/A 29255-2020 artfynd.xlsx", "A 29255-2020")</f>
        <v/>
      </c>
      <c r="T18">
        <f>HYPERLINK("https://klasma.github.io/Logging_0480/kartor/A 29255-2020 karta.png", "A 29255-2020")</f>
        <v/>
      </c>
      <c r="V18">
        <f>HYPERLINK("https://klasma.github.io/Logging_0480/klagomål/A 29255-2020 FSC-klagomål.docx", "A 29255-2020")</f>
        <v/>
      </c>
      <c r="W18">
        <f>HYPERLINK("https://klasma.github.io/Logging_0480/klagomålsmail/A 29255-2020 FSC-klagomål mail.docx", "A 29255-2020")</f>
        <v/>
      </c>
      <c r="X18">
        <f>HYPERLINK("https://klasma.github.io/Logging_0480/tillsyn/A 29255-2020 tillsynsbegäran.docx", "A 29255-2020")</f>
        <v/>
      </c>
      <c r="Y18">
        <f>HYPERLINK("https://klasma.github.io/Logging_0480/tillsynsmail/A 29255-2020 tillsynsbegäran mail.docx", "A 29255-2020")</f>
        <v/>
      </c>
    </row>
    <row r="19" ht="15" customHeight="1">
      <c r="A19" t="inlineStr">
        <is>
          <t>A 30353-2021</t>
        </is>
      </c>
      <c r="B19" s="1" t="n">
        <v>44364</v>
      </c>
      <c r="C19" s="1" t="n">
        <v>45630</v>
      </c>
      <c r="D19" t="inlineStr">
        <is>
          <t>SÖDERMANLANDS LÄN</t>
        </is>
      </c>
      <c r="E19" t="inlineStr">
        <is>
          <t>NYKÖPING</t>
        </is>
      </c>
      <c r="G19" t="n">
        <v>0.7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Avarönn
Flentimotej
Solvända
Vippärt
Guldlockmossa</t>
        </is>
      </c>
      <c r="S19">
        <f>HYPERLINK("https://klasma.github.io/Logging_0480/artfynd/A 30353-2021 artfynd.xlsx", "A 30353-2021")</f>
        <v/>
      </c>
      <c r="T19">
        <f>HYPERLINK("https://klasma.github.io/Logging_0480/kartor/A 30353-2021 karta.png", "A 30353-2021")</f>
        <v/>
      </c>
      <c r="V19">
        <f>HYPERLINK("https://klasma.github.io/Logging_0480/klagomål/A 30353-2021 FSC-klagomål.docx", "A 30353-2021")</f>
        <v/>
      </c>
      <c r="W19">
        <f>HYPERLINK("https://klasma.github.io/Logging_0480/klagomålsmail/A 30353-2021 FSC-klagomål mail.docx", "A 30353-2021")</f>
        <v/>
      </c>
      <c r="X19">
        <f>HYPERLINK("https://klasma.github.io/Logging_0480/tillsyn/A 30353-2021 tillsynsbegäran.docx", "A 30353-2021")</f>
        <v/>
      </c>
      <c r="Y19">
        <f>HYPERLINK("https://klasma.github.io/Logging_0480/tillsynsmail/A 30353-2021 tillsynsbegäran mail.docx", "A 30353-2021")</f>
        <v/>
      </c>
    </row>
    <row r="20" ht="15" customHeight="1">
      <c r="A20" t="inlineStr">
        <is>
          <t>A 35274-2021</t>
        </is>
      </c>
      <c r="B20" s="1" t="n">
        <v>44384</v>
      </c>
      <c r="C20" s="1" t="n">
        <v>45630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9.1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Skogsalm
Spillkråka
Svartvit flugsnappare
Tallticka
Gullviva</t>
        </is>
      </c>
      <c r="S20">
        <f>HYPERLINK("https://klasma.github.io/Logging_0480/artfynd/A 35274-2021 artfynd.xlsx", "A 35274-2021")</f>
        <v/>
      </c>
      <c r="T20">
        <f>HYPERLINK("https://klasma.github.io/Logging_0480/kartor/A 35274-2021 karta.png", "A 35274-2021")</f>
        <v/>
      </c>
      <c r="V20">
        <f>HYPERLINK("https://klasma.github.io/Logging_0480/klagomål/A 35274-2021 FSC-klagomål.docx", "A 35274-2021")</f>
        <v/>
      </c>
      <c r="W20">
        <f>HYPERLINK("https://klasma.github.io/Logging_0480/klagomålsmail/A 35274-2021 FSC-klagomål mail.docx", "A 35274-2021")</f>
        <v/>
      </c>
      <c r="X20">
        <f>HYPERLINK("https://klasma.github.io/Logging_0480/tillsyn/A 35274-2021 tillsynsbegäran.docx", "A 35274-2021")</f>
        <v/>
      </c>
      <c r="Y20">
        <f>HYPERLINK("https://klasma.github.io/Logging_0480/tillsynsmail/A 35274-2021 tillsynsbegäran mail.docx", "A 35274-2021")</f>
        <v/>
      </c>
      <c r="Z20">
        <f>HYPERLINK("https://klasma.github.io/Logging_0480/fåglar/A 35274-2021 prioriterade fågelarter.docx", "A 35274-2021")</f>
        <v/>
      </c>
    </row>
    <row r="21" ht="15" customHeight="1">
      <c r="A21" t="inlineStr">
        <is>
          <t>A 47102-2021</t>
        </is>
      </c>
      <c r="B21" s="1" t="n">
        <v>44446</v>
      </c>
      <c r="C21" s="1" t="n">
        <v>45630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Rävticka
Skogsknipprot
Svart trolldruva
Svavelriska
Mindre vattensalamander</t>
        </is>
      </c>
      <c r="S21">
        <f>HYPERLINK("https://klasma.github.io/Logging_0480/artfynd/A 47102-2021 artfynd.xlsx", "A 47102-2021")</f>
        <v/>
      </c>
      <c r="T21">
        <f>HYPERLINK("https://klasma.github.io/Logging_0480/kartor/A 47102-2021 karta.png", "A 47102-2021")</f>
        <v/>
      </c>
      <c r="V21">
        <f>HYPERLINK("https://klasma.github.io/Logging_0480/klagomål/A 47102-2021 FSC-klagomål.docx", "A 47102-2021")</f>
        <v/>
      </c>
      <c r="W21">
        <f>HYPERLINK("https://klasma.github.io/Logging_0480/klagomålsmail/A 47102-2021 FSC-klagomål mail.docx", "A 47102-2021")</f>
        <v/>
      </c>
      <c r="X21">
        <f>HYPERLINK("https://klasma.github.io/Logging_0480/tillsyn/A 47102-2021 tillsynsbegäran.docx", "A 47102-2021")</f>
        <v/>
      </c>
      <c r="Y21">
        <f>HYPERLINK("https://klasma.github.io/Logging_0480/tillsynsmail/A 47102-2021 tillsynsbegäran mail.docx", "A 47102-2021")</f>
        <v/>
      </c>
    </row>
    <row r="22" ht="15" customHeight="1">
      <c r="A22" t="inlineStr">
        <is>
          <t>A 6487-2020</t>
        </is>
      </c>
      <c r="B22" s="1" t="n">
        <v>43866</v>
      </c>
      <c r="C22" s="1" t="n">
        <v>45630</v>
      </c>
      <c r="D22" t="inlineStr">
        <is>
          <t>SÖDERMANLANDS LÄN</t>
        </is>
      </c>
      <c r="E22" t="inlineStr">
        <is>
          <t>NYKÖPING</t>
        </is>
      </c>
      <c r="G22" t="n">
        <v>4.9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Gränsticka
Tallticka
Ullticka
Vintertagging</t>
        </is>
      </c>
      <c r="S22">
        <f>HYPERLINK("https://klasma.github.io/Logging_0480/artfynd/A 6487-2020 artfynd.xlsx", "A 6487-2020")</f>
        <v/>
      </c>
      <c r="T22">
        <f>HYPERLINK("https://klasma.github.io/Logging_0480/kartor/A 6487-2020 karta.png", "A 6487-2020")</f>
        <v/>
      </c>
      <c r="V22">
        <f>HYPERLINK("https://klasma.github.io/Logging_0480/klagomål/A 6487-2020 FSC-klagomål.docx", "A 6487-2020")</f>
        <v/>
      </c>
      <c r="W22">
        <f>HYPERLINK("https://klasma.github.io/Logging_0480/klagomålsmail/A 6487-2020 FSC-klagomål mail.docx", "A 6487-2020")</f>
        <v/>
      </c>
      <c r="X22">
        <f>HYPERLINK("https://klasma.github.io/Logging_0480/tillsyn/A 6487-2020 tillsynsbegäran.docx", "A 6487-2020")</f>
        <v/>
      </c>
      <c r="Y22">
        <f>HYPERLINK("https://klasma.github.io/Logging_0480/tillsynsmail/A 6487-2020 tillsynsbegäran mail.docx", "A 6487-2020")</f>
        <v/>
      </c>
    </row>
    <row r="23" ht="15" customHeight="1">
      <c r="A23" t="inlineStr">
        <is>
          <t>A 25823-2020</t>
        </is>
      </c>
      <c r="B23" s="1" t="n">
        <v>43983</v>
      </c>
      <c r="C23" s="1" t="n">
        <v>45630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8.9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Ask
Svinrot
Ängsskära
Revlummer</t>
        </is>
      </c>
      <c r="S23">
        <f>HYPERLINK("https://klasma.github.io/Logging_0480/artfynd/A 25823-2020 artfynd.xlsx", "A 25823-2020")</f>
        <v/>
      </c>
      <c r="T23">
        <f>HYPERLINK("https://klasma.github.io/Logging_0480/kartor/A 25823-2020 karta.png", "A 25823-2020")</f>
        <v/>
      </c>
      <c r="V23">
        <f>HYPERLINK("https://klasma.github.io/Logging_0480/klagomål/A 25823-2020 FSC-klagomål.docx", "A 25823-2020")</f>
        <v/>
      </c>
      <c r="W23">
        <f>HYPERLINK("https://klasma.github.io/Logging_0480/klagomålsmail/A 25823-2020 FSC-klagomål mail.docx", "A 25823-2020")</f>
        <v/>
      </c>
      <c r="X23">
        <f>HYPERLINK("https://klasma.github.io/Logging_0480/tillsyn/A 25823-2020 tillsynsbegäran.docx", "A 25823-2020")</f>
        <v/>
      </c>
      <c r="Y23">
        <f>HYPERLINK("https://klasma.github.io/Logging_0480/tillsynsmail/A 25823-2020 tillsynsbegäran mail.docx", "A 25823-2020")</f>
        <v/>
      </c>
    </row>
    <row r="24" ht="15" customHeight="1">
      <c r="A24" t="inlineStr">
        <is>
          <t>A 25818-2020</t>
        </is>
      </c>
      <c r="B24" s="1" t="n">
        <v>43983</v>
      </c>
      <c r="C24" s="1" t="n">
        <v>45630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Bombmurkla
Skarp dropptaggsvamp
Stubbspretmossa
Ögonpyrola</t>
        </is>
      </c>
      <c r="S24">
        <f>HYPERLINK("https://klasma.github.io/Logging_0480/artfynd/A 25818-2020 artfynd.xlsx", "A 25818-2020")</f>
        <v/>
      </c>
      <c r="T24">
        <f>HYPERLINK("https://klasma.github.io/Logging_0480/kartor/A 25818-2020 karta.png", "A 25818-2020")</f>
        <v/>
      </c>
      <c r="V24">
        <f>HYPERLINK("https://klasma.github.io/Logging_0480/klagomål/A 25818-2020 FSC-klagomål.docx", "A 25818-2020")</f>
        <v/>
      </c>
      <c r="W24">
        <f>HYPERLINK("https://klasma.github.io/Logging_0480/klagomålsmail/A 25818-2020 FSC-klagomål mail.docx", "A 25818-2020")</f>
        <v/>
      </c>
      <c r="X24">
        <f>HYPERLINK("https://klasma.github.io/Logging_0480/tillsyn/A 25818-2020 tillsynsbegäran.docx", "A 25818-2020")</f>
        <v/>
      </c>
      <c r="Y24">
        <f>HYPERLINK("https://klasma.github.io/Logging_0480/tillsynsmail/A 25818-2020 tillsynsbegäran mail.docx", "A 25818-2020")</f>
        <v/>
      </c>
    </row>
    <row r="25" ht="15" customHeight="1">
      <c r="A25" t="inlineStr">
        <is>
          <t>A 38419-2021</t>
        </is>
      </c>
      <c r="B25" s="1" t="n">
        <v>44406</v>
      </c>
      <c r="C25" s="1" t="n">
        <v>45630</v>
      </c>
      <c r="D25" t="inlineStr">
        <is>
          <t>SÖDERMANLANDS LÄN</t>
        </is>
      </c>
      <c r="E25" t="inlineStr">
        <is>
          <t>NYKÖPING</t>
        </is>
      </c>
      <c r="F25" t="inlineStr">
        <is>
          <t>Övriga Aktiebolag</t>
        </is>
      </c>
      <c r="G25" t="n">
        <v>5.9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Treuddsaftonfly
Blåmossa
Plattlummer
Revlummer</t>
        </is>
      </c>
      <c r="S25">
        <f>HYPERLINK("https://klasma.github.io/Logging_0480/artfynd/A 38419-2021 artfynd.xlsx", "A 38419-2021")</f>
        <v/>
      </c>
      <c r="T25">
        <f>HYPERLINK("https://klasma.github.io/Logging_0480/kartor/A 38419-2021 karta.png", "A 38419-2021")</f>
        <v/>
      </c>
      <c r="V25">
        <f>HYPERLINK("https://klasma.github.io/Logging_0480/klagomål/A 38419-2021 FSC-klagomål.docx", "A 38419-2021")</f>
        <v/>
      </c>
      <c r="W25">
        <f>HYPERLINK("https://klasma.github.io/Logging_0480/klagomålsmail/A 38419-2021 FSC-klagomål mail.docx", "A 38419-2021")</f>
        <v/>
      </c>
      <c r="X25">
        <f>HYPERLINK("https://klasma.github.io/Logging_0480/tillsyn/A 38419-2021 tillsynsbegäran.docx", "A 38419-2021")</f>
        <v/>
      </c>
      <c r="Y25">
        <f>HYPERLINK("https://klasma.github.io/Logging_0480/tillsynsmail/A 38419-2021 tillsynsbegäran mail.docx", "A 38419-2021")</f>
        <v/>
      </c>
    </row>
    <row r="26" ht="15" customHeight="1">
      <c r="A26" t="inlineStr">
        <is>
          <t>A 8663-2022</t>
        </is>
      </c>
      <c r="B26" s="1" t="n">
        <v>44613</v>
      </c>
      <c r="C26" s="1" t="n">
        <v>45630</v>
      </c>
      <c r="D26" t="inlineStr">
        <is>
          <t>SÖDERMANLANDS LÄN</t>
        </is>
      </c>
      <c r="E26" t="inlineStr">
        <is>
          <t>NYKÖPING</t>
        </is>
      </c>
      <c r="G26" t="n">
        <v>6.5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Orange taggsvamp
Blomkålssvamp
Fjällig taggsvamp s.str.
Stubbspretmossa</t>
        </is>
      </c>
      <c r="S26">
        <f>HYPERLINK("https://klasma.github.io/Logging_0480/artfynd/A 8663-2022 artfynd.xlsx", "A 8663-2022")</f>
        <v/>
      </c>
      <c r="T26">
        <f>HYPERLINK("https://klasma.github.io/Logging_0480/kartor/A 8663-2022 karta.png", "A 8663-2022")</f>
        <v/>
      </c>
      <c r="V26">
        <f>HYPERLINK("https://klasma.github.io/Logging_0480/klagomål/A 8663-2022 FSC-klagomål.docx", "A 8663-2022")</f>
        <v/>
      </c>
      <c r="W26">
        <f>HYPERLINK("https://klasma.github.io/Logging_0480/klagomålsmail/A 8663-2022 FSC-klagomål mail.docx", "A 8663-2022")</f>
        <v/>
      </c>
      <c r="X26">
        <f>HYPERLINK("https://klasma.github.io/Logging_0480/tillsyn/A 8663-2022 tillsynsbegäran.docx", "A 8663-2022")</f>
        <v/>
      </c>
      <c r="Y26">
        <f>HYPERLINK("https://klasma.github.io/Logging_0480/tillsynsmail/A 8663-2022 tillsynsbegäran mail.docx", "A 8663-2022")</f>
        <v/>
      </c>
    </row>
    <row r="27" ht="15" customHeight="1">
      <c r="A27" t="inlineStr">
        <is>
          <t>A 4753-2024</t>
        </is>
      </c>
      <c r="B27" s="1" t="n">
        <v>45328</v>
      </c>
      <c r="C27" s="1" t="n">
        <v>45630</v>
      </c>
      <c r="D27" t="inlineStr">
        <is>
          <t>SÖDERMANLANDS LÄN</t>
        </is>
      </c>
      <c r="E27" t="inlineStr">
        <is>
          <t>NYKÖPING</t>
        </is>
      </c>
      <c r="G27" t="n">
        <v>11.8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Orange taggsvamp
Svart taggsvamp
Tallticka
Dropptaggsvamp</t>
        </is>
      </c>
      <c r="S27">
        <f>HYPERLINK("https://klasma.github.io/Logging_0480/artfynd/A 4753-2024 artfynd.xlsx", "A 4753-2024")</f>
        <v/>
      </c>
      <c r="T27">
        <f>HYPERLINK("https://klasma.github.io/Logging_0480/kartor/A 4753-2024 karta.png", "A 4753-2024")</f>
        <v/>
      </c>
      <c r="V27">
        <f>HYPERLINK("https://klasma.github.io/Logging_0480/klagomål/A 4753-2024 FSC-klagomål.docx", "A 4753-2024")</f>
        <v/>
      </c>
      <c r="W27">
        <f>HYPERLINK("https://klasma.github.io/Logging_0480/klagomålsmail/A 4753-2024 FSC-klagomål mail.docx", "A 4753-2024")</f>
        <v/>
      </c>
      <c r="X27">
        <f>HYPERLINK("https://klasma.github.io/Logging_0480/tillsyn/A 4753-2024 tillsynsbegäran.docx", "A 4753-2024")</f>
        <v/>
      </c>
      <c r="Y27">
        <f>HYPERLINK("https://klasma.github.io/Logging_0480/tillsynsmail/A 4753-2024 tillsynsbegäran mail.docx", "A 4753-2024")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45630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37372-2024</t>
        </is>
      </c>
      <c r="B29" s="1" t="n">
        <v>45540</v>
      </c>
      <c r="C29" s="1" t="n">
        <v>45630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3.4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Motaggsvamp
Spillkråka
Blåmossa
Vågbandad barkbock</t>
        </is>
      </c>
      <c r="S29">
        <f>HYPERLINK("https://klasma.github.io/Logging_0480/artfynd/A 37372-2024 artfynd.xlsx", "A 37372-2024")</f>
        <v/>
      </c>
      <c r="T29">
        <f>HYPERLINK("https://klasma.github.io/Logging_0480/kartor/A 37372-2024 karta.png", "A 37372-2024")</f>
        <v/>
      </c>
      <c r="V29">
        <f>HYPERLINK("https://klasma.github.io/Logging_0480/klagomål/A 37372-2024 FSC-klagomål.docx", "A 37372-2024")</f>
        <v/>
      </c>
      <c r="W29">
        <f>HYPERLINK("https://klasma.github.io/Logging_0480/klagomålsmail/A 37372-2024 FSC-klagomål mail.docx", "A 37372-2024")</f>
        <v/>
      </c>
      <c r="X29">
        <f>HYPERLINK("https://klasma.github.io/Logging_0480/tillsyn/A 37372-2024 tillsynsbegäran.docx", "A 37372-2024")</f>
        <v/>
      </c>
      <c r="Y29">
        <f>HYPERLINK("https://klasma.github.io/Logging_0480/tillsynsmail/A 37372-2024 tillsynsbegäran mail.docx", "A 37372-2024")</f>
        <v/>
      </c>
      <c r="Z29">
        <f>HYPERLINK("https://klasma.github.io/Logging_0480/fåglar/A 37372-2024 prioriterade fågelarter.docx", "A 37372-2024")</f>
        <v/>
      </c>
    </row>
    <row r="30" ht="15" customHeight="1">
      <c r="A30" t="inlineStr">
        <is>
          <t>A 38456-2024</t>
        </is>
      </c>
      <c r="B30" s="1" t="n">
        <v>45546</v>
      </c>
      <c r="C30" s="1" t="n">
        <v>45630</v>
      </c>
      <c r="D30" t="inlineStr">
        <is>
          <t>SÖDERMANLANDS LÄN</t>
        </is>
      </c>
      <c r="E30" t="inlineStr">
        <is>
          <t>NYKÖPING</t>
        </is>
      </c>
      <c r="G30" t="n">
        <v>2.2</v>
      </c>
      <c r="H30" t="n">
        <v>1</v>
      </c>
      <c r="I30" t="n">
        <v>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Tallticka
Grovticka
Blåsippa</t>
        </is>
      </c>
      <c r="S30">
        <f>HYPERLINK("https://klasma.github.io/Logging_0480/artfynd/A 38456-2024 artfynd.xlsx", "A 38456-2024")</f>
        <v/>
      </c>
      <c r="T30">
        <f>HYPERLINK("https://klasma.github.io/Logging_0480/kartor/A 38456-2024 karta.png", "A 38456-2024")</f>
        <v/>
      </c>
      <c r="V30">
        <f>HYPERLINK("https://klasma.github.io/Logging_0480/klagomål/A 38456-2024 FSC-klagomål.docx", "A 38456-2024")</f>
        <v/>
      </c>
      <c r="W30">
        <f>HYPERLINK("https://klasma.github.io/Logging_0480/klagomålsmail/A 38456-2024 FSC-klagomål mail.docx", "A 38456-2024")</f>
        <v/>
      </c>
      <c r="X30">
        <f>HYPERLINK("https://klasma.github.io/Logging_0480/tillsyn/A 38456-2024 tillsynsbegäran.docx", "A 38456-2024")</f>
        <v/>
      </c>
      <c r="Y30">
        <f>HYPERLINK("https://klasma.github.io/Logging_0480/tillsynsmail/A 38456-2024 tillsynsbegäran mail.docx", "A 38456-2024")</f>
        <v/>
      </c>
    </row>
    <row r="31" ht="15" customHeight="1">
      <c r="A31" t="inlineStr">
        <is>
          <t>A 18443-2019</t>
        </is>
      </c>
      <c r="B31" s="1" t="n">
        <v>43559</v>
      </c>
      <c r="C31" s="1" t="n">
        <v>45630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8.800000000000001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Stubbspretmossa</t>
        </is>
      </c>
      <c r="S31">
        <f>HYPERLINK("https://klasma.github.io/Logging_0480/artfynd/A 18443-2019 artfynd.xlsx", "A 18443-2019")</f>
        <v/>
      </c>
      <c r="T31">
        <f>HYPERLINK("https://klasma.github.io/Logging_0480/kartor/A 18443-2019 karta.png", "A 18443-2019")</f>
        <v/>
      </c>
      <c r="V31">
        <f>HYPERLINK("https://klasma.github.io/Logging_0480/klagomål/A 18443-2019 FSC-klagomål.docx", "A 18443-2019")</f>
        <v/>
      </c>
      <c r="W31">
        <f>HYPERLINK("https://klasma.github.io/Logging_0480/klagomålsmail/A 18443-2019 FSC-klagomål mail.docx", "A 18443-2019")</f>
        <v/>
      </c>
      <c r="X31">
        <f>HYPERLINK("https://klasma.github.io/Logging_0480/tillsyn/A 18443-2019 tillsynsbegäran.docx", "A 18443-2019")</f>
        <v/>
      </c>
      <c r="Y31">
        <f>HYPERLINK("https://klasma.github.io/Logging_0480/tillsynsmail/A 18443-2019 tillsynsbegäran mail.docx", "A 18443-2019")</f>
        <v/>
      </c>
      <c r="Z31">
        <f>HYPERLINK("https://klasma.github.io/Logging_0480/fåglar/A 18443-2019 prioriterade fågelarter.docx", "A 18443-2019")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45630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45630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45630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45630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45630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45630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45630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45630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45630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45630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45630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45630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45630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45630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45630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45630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45630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45630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45630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45630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45630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45630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45630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45630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45630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45630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45630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45630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45630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45630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45630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45630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45630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45630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45630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45630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45630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45630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45630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45630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45630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45630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45630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45630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56099-2024</t>
        </is>
      </c>
      <c r="B76" s="1" t="n">
        <v>45624</v>
      </c>
      <c r="C76" s="1" t="n">
        <v>45630</v>
      </c>
      <c r="D76" t="inlineStr">
        <is>
          <t>SÖDERMANLANDS LÄN</t>
        </is>
      </c>
      <c r="E76" t="inlineStr">
        <is>
          <t>NYKÖPING</t>
        </is>
      </c>
      <c r="G76" t="n">
        <v>4.7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Guldlockmossa
Hasselticka</t>
        </is>
      </c>
      <c r="S76">
        <f>HYPERLINK("https://klasma.github.io/Logging_0480/artfynd/A 56099-2024 artfynd.xlsx", "A 56099-2024")</f>
        <v/>
      </c>
      <c r="T76">
        <f>HYPERLINK("https://klasma.github.io/Logging_0480/kartor/A 56099-2024 karta.png", "A 56099-2024")</f>
        <v/>
      </c>
      <c r="V76">
        <f>HYPERLINK("https://klasma.github.io/Logging_0480/klagomål/A 56099-2024 FSC-klagomål.docx", "A 56099-2024")</f>
        <v/>
      </c>
      <c r="W76">
        <f>HYPERLINK("https://klasma.github.io/Logging_0480/klagomålsmail/A 56099-2024 FSC-klagomål mail.docx", "A 56099-2024")</f>
        <v/>
      </c>
      <c r="X76">
        <f>HYPERLINK("https://klasma.github.io/Logging_0480/tillsyn/A 56099-2024 tillsynsbegäran.docx", "A 56099-2024")</f>
        <v/>
      </c>
      <c r="Y76">
        <f>HYPERLINK("https://klasma.github.io/Logging_0480/tillsynsmail/A 56099-2024 tillsynsbegäran mail.docx", "A 56099-2024")</f>
        <v/>
      </c>
    </row>
    <row r="77" ht="15" customHeight="1">
      <c r="A77" t="inlineStr">
        <is>
          <t>A 23556-2019</t>
        </is>
      </c>
      <c r="B77" s="1" t="n">
        <v>43594</v>
      </c>
      <c r="C77" s="1" t="n">
        <v>45630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HYPERLINK("https://klasma.github.io/Logging_0480/artfynd/A 23556-2019 artfynd.xlsx", "A 23556-2019")</f>
        <v/>
      </c>
      <c r="T77">
        <f>HYPERLINK("https://klasma.github.io/Logging_0480/kartor/A 23556-2019 karta.png", "A 23556-2019")</f>
        <v/>
      </c>
      <c r="V77">
        <f>HYPERLINK("https://klasma.github.io/Logging_0480/klagomål/A 23556-2019 FSC-klagomål.docx", "A 23556-2019")</f>
        <v/>
      </c>
      <c r="W77">
        <f>HYPERLINK("https://klasma.github.io/Logging_0480/klagomålsmail/A 23556-2019 FSC-klagomål mail.docx", "A 23556-2019")</f>
        <v/>
      </c>
      <c r="X77">
        <f>HYPERLINK("https://klasma.github.io/Logging_0480/tillsyn/A 23556-2019 tillsynsbegäran.docx", "A 23556-2019")</f>
        <v/>
      </c>
      <c r="Y77">
        <f>HYPERLINK("https://klasma.github.io/Logging_0480/tillsynsmail/A 23556-2019 tillsynsbegäran mail.docx", "A 23556-2019")</f>
        <v/>
      </c>
      <c r="Z77">
        <f>HYPERLINK("https://klasma.github.io/Logging_0480/fåglar/A 23556-2019 prioriterade fågelarter.docx", "A 23556-2019")</f>
        <v/>
      </c>
    </row>
    <row r="78" ht="15" customHeight="1">
      <c r="A78" t="inlineStr">
        <is>
          <t>A 28647-2019</t>
        </is>
      </c>
      <c r="B78" s="1" t="n">
        <v>43614</v>
      </c>
      <c r="C78" s="1" t="n">
        <v>45630</v>
      </c>
      <c r="D78" t="inlineStr">
        <is>
          <t>SÖDERMANLANDS LÄN</t>
        </is>
      </c>
      <c r="E78" t="inlineStr">
        <is>
          <t>NYKÖPING</t>
        </is>
      </c>
      <c r="G78" t="n">
        <v>20.9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Spindelblomster</t>
        </is>
      </c>
      <c r="S78">
        <f>HYPERLINK("https://klasma.github.io/Logging_0480/artfynd/A 28647-2019 artfynd.xlsx", "A 28647-2019")</f>
        <v/>
      </c>
      <c r="T78">
        <f>HYPERLINK("https://klasma.github.io/Logging_0480/kartor/A 28647-2019 karta.png", "A 28647-2019")</f>
        <v/>
      </c>
      <c r="V78">
        <f>HYPERLINK("https://klasma.github.io/Logging_0480/klagomål/A 28647-2019 FSC-klagomål.docx", "A 28647-2019")</f>
        <v/>
      </c>
      <c r="W78">
        <f>HYPERLINK("https://klasma.github.io/Logging_0480/klagomålsmail/A 28647-2019 FSC-klagomål mail.docx", "A 28647-2019")</f>
        <v/>
      </c>
      <c r="X78">
        <f>HYPERLINK("https://klasma.github.io/Logging_0480/tillsyn/A 28647-2019 tillsynsbegäran.docx", "A 28647-2019")</f>
        <v/>
      </c>
      <c r="Y78">
        <f>HYPERLINK("https://klasma.github.io/Logging_0480/tillsynsmail/A 28647-2019 tillsynsbegäran mail.docx", "A 28647-2019")</f>
        <v/>
      </c>
    </row>
    <row r="79" ht="15" customHeight="1">
      <c r="A79" t="inlineStr">
        <is>
          <t>A 28403-2019</t>
        </is>
      </c>
      <c r="B79" s="1" t="n">
        <v>43626</v>
      </c>
      <c r="C79" s="1" t="n">
        <v>45630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28403-2019 artfynd.xlsx", "A 28403-2019")</f>
        <v/>
      </c>
      <c r="T79">
        <f>HYPERLINK("https://klasma.github.io/Logging_0480/kartor/A 28403-2019 karta.png", "A 28403-2019")</f>
        <v/>
      </c>
      <c r="V79">
        <f>HYPERLINK("https://klasma.github.io/Logging_0480/klagomål/A 28403-2019 FSC-klagomål.docx", "A 28403-2019")</f>
        <v/>
      </c>
      <c r="W79">
        <f>HYPERLINK("https://klasma.github.io/Logging_0480/klagomålsmail/A 28403-2019 FSC-klagomål mail.docx", "A 28403-2019")</f>
        <v/>
      </c>
      <c r="X79">
        <f>HYPERLINK("https://klasma.github.io/Logging_0480/tillsyn/A 28403-2019 tillsynsbegäran.docx", "A 28403-2019")</f>
        <v/>
      </c>
      <c r="Y79">
        <f>HYPERLINK("https://klasma.github.io/Logging_0480/tillsynsmail/A 28403-2019 tillsynsbegäran mail.docx", "A 28403-2019")</f>
        <v/>
      </c>
    </row>
    <row r="80" ht="15" customHeight="1">
      <c r="A80" t="inlineStr">
        <is>
          <t>A 30159-2019</t>
        </is>
      </c>
      <c r="B80" s="1" t="n">
        <v>43634</v>
      </c>
      <c r="C80" s="1" t="n">
        <v>45630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30159-2019 artfynd.xlsx", "A 30159-2019")</f>
        <v/>
      </c>
      <c r="T80">
        <f>HYPERLINK("https://klasma.github.io/Logging_0480/kartor/A 30159-2019 karta.png", "A 30159-2019")</f>
        <v/>
      </c>
      <c r="V80">
        <f>HYPERLINK("https://klasma.github.io/Logging_0480/klagomål/A 30159-2019 FSC-klagomål.docx", "A 30159-2019")</f>
        <v/>
      </c>
      <c r="W80">
        <f>HYPERLINK("https://klasma.github.io/Logging_0480/klagomålsmail/A 30159-2019 FSC-klagomål mail.docx", "A 30159-2019")</f>
        <v/>
      </c>
      <c r="X80">
        <f>HYPERLINK("https://klasma.github.io/Logging_0480/tillsyn/A 30159-2019 tillsynsbegäran.docx", "A 30159-2019")</f>
        <v/>
      </c>
      <c r="Y80">
        <f>HYPERLINK("https://klasma.github.io/Logging_0480/tillsynsmail/A 30159-2019 tillsynsbegäran mail.docx", "A 30159-2019")</f>
        <v/>
      </c>
    </row>
    <row r="81" ht="15" customHeight="1">
      <c r="A81" t="inlineStr">
        <is>
          <t>A 33322-2019</t>
        </is>
      </c>
      <c r="B81" s="1" t="n">
        <v>43650</v>
      </c>
      <c r="C81" s="1" t="n">
        <v>45630</v>
      </c>
      <c r="D81" t="inlineStr">
        <is>
          <t>SÖDERMANLANDS LÄN</t>
        </is>
      </c>
      <c r="E81" t="inlineStr">
        <is>
          <t>NYKÖPING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Kopparödla</t>
        </is>
      </c>
      <c r="S81">
        <f>HYPERLINK("https://klasma.github.io/Logging_0480/artfynd/A 33322-2019 artfynd.xlsx", "A 33322-2019")</f>
        <v/>
      </c>
      <c r="T81">
        <f>HYPERLINK("https://klasma.github.io/Logging_0480/kartor/A 33322-2019 karta.png", "A 33322-2019")</f>
        <v/>
      </c>
      <c r="V81">
        <f>HYPERLINK("https://klasma.github.io/Logging_0480/klagomål/A 33322-2019 FSC-klagomål.docx", "A 33322-2019")</f>
        <v/>
      </c>
      <c r="W81">
        <f>HYPERLINK("https://klasma.github.io/Logging_0480/klagomålsmail/A 33322-2019 FSC-klagomål mail.docx", "A 33322-2019")</f>
        <v/>
      </c>
      <c r="X81">
        <f>HYPERLINK("https://klasma.github.io/Logging_0480/tillsyn/A 33322-2019 tillsynsbegäran.docx", "A 33322-2019")</f>
        <v/>
      </c>
      <c r="Y81">
        <f>HYPERLINK("https://klasma.github.io/Logging_0480/tillsynsmail/A 33322-2019 tillsynsbegäran mail.docx", "A 33322-2019")</f>
        <v/>
      </c>
    </row>
    <row r="82" ht="15" customHeight="1">
      <c r="A82" t="inlineStr">
        <is>
          <t>A 35143-2019</t>
        </is>
      </c>
      <c r="B82" s="1" t="n">
        <v>43661</v>
      </c>
      <c r="C82" s="1" t="n">
        <v>45630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35143-2019 artfynd.xlsx", "A 35143-2019")</f>
        <v/>
      </c>
      <c r="T82">
        <f>HYPERLINK("https://klasma.github.io/Logging_0480/kartor/A 35143-2019 karta.png", "A 35143-2019")</f>
        <v/>
      </c>
      <c r="V82">
        <f>HYPERLINK("https://klasma.github.io/Logging_0480/klagomål/A 35143-2019 FSC-klagomål.docx", "A 35143-2019")</f>
        <v/>
      </c>
      <c r="W82">
        <f>HYPERLINK("https://klasma.github.io/Logging_0480/klagomålsmail/A 35143-2019 FSC-klagomål mail.docx", "A 35143-2019")</f>
        <v/>
      </c>
      <c r="X82">
        <f>HYPERLINK("https://klasma.github.io/Logging_0480/tillsyn/A 35143-2019 tillsynsbegäran.docx", "A 35143-2019")</f>
        <v/>
      </c>
      <c r="Y82">
        <f>HYPERLINK("https://klasma.github.io/Logging_0480/tillsynsmail/A 35143-2019 tillsynsbegäran mail.docx", "A 35143-2019")</f>
        <v/>
      </c>
      <c r="Z82">
        <f>HYPERLINK("https://klasma.github.io/Logging_0480/fåglar/A 35143-2019 prioriterade fågelarter.docx", "A 35143-2019")</f>
        <v/>
      </c>
    </row>
    <row r="83" ht="15" customHeight="1">
      <c r="A83" t="inlineStr">
        <is>
          <t>A 43063-2019</t>
        </is>
      </c>
      <c r="B83" s="1" t="n">
        <v>43705</v>
      </c>
      <c r="C83" s="1" t="n">
        <v>45630</v>
      </c>
      <c r="D83" t="inlineStr">
        <is>
          <t>SÖDERMANLANDS LÄN</t>
        </is>
      </c>
      <c r="E83" t="inlineStr">
        <is>
          <t>NYKÖPING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HYPERLINK("https://klasma.github.io/Logging_0480/artfynd/A 43063-2019 artfynd.xlsx", "A 43063-2019")</f>
        <v/>
      </c>
      <c r="T83">
        <f>HYPERLINK("https://klasma.github.io/Logging_0480/kartor/A 43063-2019 karta.png", "A 43063-2019")</f>
        <v/>
      </c>
      <c r="V83">
        <f>HYPERLINK("https://klasma.github.io/Logging_0480/klagomål/A 43063-2019 FSC-klagomål.docx", "A 43063-2019")</f>
        <v/>
      </c>
      <c r="W83">
        <f>HYPERLINK("https://klasma.github.io/Logging_0480/klagomålsmail/A 43063-2019 FSC-klagomål mail.docx", "A 43063-2019")</f>
        <v/>
      </c>
      <c r="X83">
        <f>HYPERLINK("https://klasma.github.io/Logging_0480/tillsyn/A 43063-2019 tillsynsbegäran.docx", "A 43063-2019")</f>
        <v/>
      </c>
      <c r="Y83">
        <f>HYPERLINK("https://klasma.github.io/Logging_0480/tillsynsmail/A 43063-2019 tillsynsbegäran mail.docx", "A 43063-2019")</f>
        <v/>
      </c>
    </row>
    <row r="84" ht="15" customHeight="1">
      <c r="A84" t="inlineStr">
        <is>
          <t>A 54163-2019</t>
        </is>
      </c>
      <c r="B84" s="1" t="n">
        <v>43745</v>
      </c>
      <c r="C84" s="1" t="n">
        <v>45630</v>
      </c>
      <c r="D84" t="inlineStr">
        <is>
          <t>SÖDERMANLANDS LÄN</t>
        </is>
      </c>
      <c r="E84" t="inlineStr">
        <is>
          <t>NYKÖPING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HYPERLINK("https://klasma.github.io/Logging_0480/artfynd/A 54163-2019 artfynd.xlsx", "A 54163-2019")</f>
        <v/>
      </c>
      <c r="T84">
        <f>HYPERLINK("https://klasma.github.io/Logging_0480/kartor/A 54163-2019 karta.png", "A 54163-2019")</f>
        <v/>
      </c>
      <c r="V84">
        <f>HYPERLINK("https://klasma.github.io/Logging_0480/klagomål/A 54163-2019 FSC-klagomål.docx", "A 54163-2019")</f>
        <v/>
      </c>
      <c r="W84">
        <f>HYPERLINK("https://klasma.github.io/Logging_0480/klagomålsmail/A 54163-2019 FSC-klagomål mail.docx", "A 54163-2019")</f>
        <v/>
      </c>
      <c r="X84">
        <f>HYPERLINK("https://klasma.github.io/Logging_0480/tillsyn/A 54163-2019 tillsynsbegäran.docx", "A 54163-2019")</f>
        <v/>
      </c>
      <c r="Y84">
        <f>HYPERLINK("https://klasma.github.io/Logging_0480/tillsynsmail/A 54163-2019 tillsynsbegäran mail.docx", "A 54163-2019")</f>
        <v/>
      </c>
      <c r="Z84">
        <f>HYPERLINK("https://klasma.github.io/Logging_0480/fåglar/A 54163-2019 prioriterade fågelarter.docx", "A 54163-2019")</f>
        <v/>
      </c>
    </row>
    <row r="85" ht="15" customHeight="1">
      <c r="A85" t="inlineStr">
        <is>
          <t>A 872-2020</t>
        </is>
      </c>
      <c r="B85" s="1" t="n">
        <v>43818</v>
      </c>
      <c r="C85" s="1" t="n">
        <v>45630</v>
      </c>
      <c r="D85" t="inlineStr">
        <is>
          <t>SÖDERMANLANDS LÄN</t>
        </is>
      </c>
      <c r="E85" t="inlineStr">
        <is>
          <t>NYKÖPING</t>
        </is>
      </c>
      <c r="G85" t="n">
        <v>4.5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872-2020 artfynd.xlsx", "A 872-2020")</f>
        <v/>
      </c>
      <c r="T85">
        <f>HYPERLINK("https://klasma.github.io/Logging_0480/kartor/A 872-2020 karta.png", "A 872-2020")</f>
        <v/>
      </c>
      <c r="V85">
        <f>HYPERLINK("https://klasma.github.io/Logging_0480/klagomål/A 872-2020 FSC-klagomål.docx", "A 872-2020")</f>
        <v/>
      </c>
      <c r="W85">
        <f>HYPERLINK("https://klasma.github.io/Logging_0480/klagomålsmail/A 872-2020 FSC-klagomål mail.docx", "A 872-2020")</f>
        <v/>
      </c>
      <c r="X85">
        <f>HYPERLINK("https://klasma.github.io/Logging_0480/tillsyn/A 872-2020 tillsynsbegäran.docx", "A 872-2020")</f>
        <v/>
      </c>
      <c r="Y85">
        <f>HYPERLINK("https://klasma.github.io/Logging_0480/tillsynsmail/A 872-2020 tillsynsbegäran mail.docx", "A 872-2020")</f>
        <v/>
      </c>
      <c r="Z85">
        <f>HYPERLINK("https://klasma.github.io/Logging_0480/fåglar/A 872-2020 prioriterade fågelarter.docx", "A 872-2020")</f>
        <v/>
      </c>
    </row>
    <row r="86" ht="15" customHeight="1">
      <c r="A86" t="inlineStr">
        <is>
          <t>A 1380-2020</t>
        </is>
      </c>
      <c r="B86" s="1" t="n">
        <v>43843</v>
      </c>
      <c r="C86" s="1" t="n">
        <v>45630</v>
      </c>
      <c r="D86" t="inlineStr">
        <is>
          <t>SÖDERMANLANDS LÄN</t>
        </is>
      </c>
      <c r="E86" t="inlineStr">
        <is>
          <t>NYKÖPING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1380-2020 artfynd.xlsx", "A 1380-2020")</f>
        <v/>
      </c>
      <c r="T86">
        <f>HYPERLINK("https://klasma.github.io/Logging_0480/kartor/A 1380-2020 karta.png", "A 1380-2020")</f>
        <v/>
      </c>
      <c r="V86">
        <f>HYPERLINK("https://klasma.github.io/Logging_0480/klagomål/A 1380-2020 FSC-klagomål.docx", "A 1380-2020")</f>
        <v/>
      </c>
      <c r="W86">
        <f>HYPERLINK("https://klasma.github.io/Logging_0480/klagomålsmail/A 1380-2020 FSC-klagomål mail.docx", "A 1380-2020")</f>
        <v/>
      </c>
      <c r="X86">
        <f>HYPERLINK("https://klasma.github.io/Logging_0480/tillsyn/A 1380-2020 tillsynsbegäran.docx", "A 1380-2020")</f>
        <v/>
      </c>
      <c r="Y86">
        <f>HYPERLINK("https://klasma.github.io/Logging_0480/tillsynsmail/A 1380-2020 tillsynsbegäran mail.docx", "A 1380-2020")</f>
        <v/>
      </c>
    </row>
    <row r="87" ht="15" customHeight="1">
      <c r="A87" t="inlineStr">
        <is>
          <t>A 4244-2020</t>
        </is>
      </c>
      <c r="B87" s="1" t="n">
        <v>43857</v>
      </c>
      <c r="C87" s="1" t="n">
        <v>45630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4244-2020 artfynd.xlsx", "A 4244-2020")</f>
        <v/>
      </c>
      <c r="T87">
        <f>HYPERLINK("https://klasma.github.io/Logging_0480/kartor/A 4244-2020 karta.png", "A 4244-2020")</f>
        <v/>
      </c>
      <c r="U87">
        <f>HYPERLINK("https://klasma.github.io/Logging_0480/knärot/A 4244-2020 karta knärot.png", "A 4244-2020")</f>
        <v/>
      </c>
      <c r="V87">
        <f>HYPERLINK("https://klasma.github.io/Logging_0480/klagomål/A 4244-2020 FSC-klagomål.docx", "A 4244-2020")</f>
        <v/>
      </c>
      <c r="W87">
        <f>HYPERLINK("https://klasma.github.io/Logging_0480/klagomålsmail/A 4244-2020 FSC-klagomål mail.docx", "A 4244-2020")</f>
        <v/>
      </c>
      <c r="X87">
        <f>HYPERLINK("https://klasma.github.io/Logging_0480/tillsyn/A 4244-2020 tillsynsbegäran.docx", "A 4244-2020")</f>
        <v/>
      </c>
      <c r="Y87">
        <f>HYPERLINK("https://klasma.github.io/Logging_0480/tillsynsmail/A 4244-2020 tillsynsbegäran mail.docx", "A 4244-2020")</f>
        <v/>
      </c>
    </row>
    <row r="88" ht="15" customHeight="1">
      <c r="A88" t="inlineStr">
        <is>
          <t>A 7702-2020</t>
        </is>
      </c>
      <c r="B88" s="1" t="n">
        <v>43872</v>
      </c>
      <c r="C88" s="1" t="n">
        <v>45630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HYPERLINK("https://klasma.github.io/Logging_0480/artfynd/A 7702-2020 artfynd.xlsx", "A 7702-2020")</f>
        <v/>
      </c>
      <c r="T88">
        <f>HYPERLINK("https://klasma.github.io/Logging_0480/kartor/A 7702-2020 karta.png", "A 7702-2020")</f>
        <v/>
      </c>
      <c r="V88">
        <f>HYPERLINK("https://klasma.github.io/Logging_0480/klagomål/A 7702-2020 FSC-klagomål.docx", "A 7702-2020")</f>
        <v/>
      </c>
      <c r="W88">
        <f>HYPERLINK("https://klasma.github.io/Logging_0480/klagomålsmail/A 7702-2020 FSC-klagomål mail.docx", "A 7702-2020")</f>
        <v/>
      </c>
      <c r="X88">
        <f>HYPERLINK("https://klasma.github.io/Logging_0480/tillsyn/A 7702-2020 tillsynsbegäran.docx", "A 7702-2020")</f>
        <v/>
      </c>
      <c r="Y88">
        <f>HYPERLINK("https://klasma.github.io/Logging_0480/tillsynsmail/A 7702-2020 tillsynsbegäran mail.docx", "A 7702-2020")</f>
        <v/>
      </c>
    </row>
    <row r="89" ht="15" customHeight="1">
      <c r="A89" t="inlineStr">
        <is>
          <t>A 13756-2020</t>
        </is>
      </c>
      <c r="B89" s="1" t="n">
        <v>43903</v>
      </c>
      <c r="C89" s="1" t="n">
        <v>45630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HYPERLINK("https://klasma.github.io/Logging_0480/artfynd/A 13756-2020 artfynd.xlsx", "A 13756-2020")</f>
        <v/>
      </c>
      <c r="T89">
        <f>HYPERLINK("https://klasma.github.io/Logging_0480/kartor/A 13756-2020 karta.png", "A 13756-2020")</f>
        <v/>
      </c>
      <c r="V89">
        <f>HYPERLINK("https://klasma.github.io/Logging_0480/klagomål/A 13756-2020 FSC-klagomål.docx", "A 13756-2020")</f>
        <v/>
      </c>
      <c r="W89">
        <f>HYPERLINK("https://klasma.github.io/Logging_0480/klagomålsmail/A 13756-2020 FSC-klagomål mail.docx", "A 13756-2020")</f>
        <v/>
      </c>
      <c r="X89">
        <f>HYPERLINK("https://klasma.github.io/Logging_0480/tillsyn/A 13756-2020 tillsynsbegäran.docx", "A 13756-2020")</f>
        <v/>
      </c>
      <c r="Y89">
        <f>HYPERLINK("https://klasma.github.io/Logging_0480/tillsynsmail/A 13756-2020 tillsynsbegäran mail.docx", "A 13756-2020")</f>
        <v/>
      </c>
    </row>
    <row r="90" ht="15" customHeight="1">
      <c r="A90" t="inlineStr">
        <is>
          <t>A 19647-2020</t>
        </is>
      </c>
      <c r="B90" s="1" t="n">
        <v>43937</v>
      </c>
      <c r="C90" s="1" t="n">
        <v>45630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19647-2020 artfynd.xlsx", "A 19647-2020")</f>
        <v/>
      </c>
      <c r="T90">
        <f>HYPERLINK("https://klasma.github.io/Logging_0480/kartor/A 19647-2020 karta.png", "A 19647-2020")</f>
        <v/>
      </c>
      <c r="V90">
        <f>HYPERLINK("https://klasma.github.io/Logging_0480/klagomål/A 19647-2020 FSC-klagomål.docx", "A 19647-2020")</f>
        <v/>
      </c>
      <c r="W90">
        <f>HYPERLINK("https://klasma.github.io/Logging_0480/klagomålsmail/A 19647-2020 FSC-klagomål mail.docx", "A 19647-2020")</f>
        <v/>
      </c>
      <c r="X90">
        <f>HYPERLINK("https://klasma.github.io/Logging_0480/tillsyn/A 19647-2020 tillsynsbegäran.docx", "A 19647-2020")</f>
        <v/>
      </c>
      <c r="Y90">
        <f>HYPERLINK("https://klasma.github.io/Logging_0480/tillsynsmail/A 19647-2020 tillsynsbegäran mail.docx", "A 19647-2020")</f>
        <v/>
      </c>
    </row>
    <row r="91" ht="15" customHeight="1">
      <c r="A91" t="inlineStr">
        <is>
          <t>A 20017-2020</t>
        </is>
      </c>
      <c r="B91" s="1" t="n">
        <v>43942</v>
      </c>
      <c r="C91" s="1" t="n">
        <v>45630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20017-2020 artfynd.xlsx", "A 20017-2020")</f>
        <v/>
      </c>
      <c r="T91">
        <f>HYPERLINK("https://klasma.github.io/Logging_0480/kartor/A 20017-2020 karta.png", "A 20017-2020")</f>
        <v/>
      </c>
      <c r="V91">
        <f>HYPERLINK("https://klasma.github.io/Logging_0480/klagomål/A 20017-2020 FSC-klagomål.docx", "A 20017-2020")</f>
        <v/>
      </c>
      <c r="W91">
        <f>HYPERLINK("https://klasma.github.io/Logging_0480/klagomålsmail/A 20017-2020 FSC-klagomål mail.docx", "A 20017-2020")</f>
        <v/>
      </c>
      <c r="X91">
        <f>HYPERLINK("https://klasma.github.io/Logging_0480/tillsyn/A 20017-2020 tillsynsbegäran.docx", "A 20017-2020")</f>
        <v/>
      </c>
      <c r="Y91">
        <f>HYPERLINK("https://klasma.github.io/Logging_0480/tillsynsmail/A 20017-2020 tillsynsbegäran mail.docx", "A 20017-2020")</f>
        <v/>
      </c>
    </row>
    <row r="92" ht="15" customHeight="1">
      <c r="A92" t="inlineStr">
        <is>
          <t>A 25802-2020</t>
        </is>
      </c>
      <c r="B92" s="1" t="n">
        <v>43983</v>
      </c>
      <c r="C92" s="1" t="n">
        <v>45630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HYPERLINK("https://klasma.github.io/Logging_0480/artfynd/A 25802-2020 artfynd.xlsx", "A 25802-2020")</f>
        <v/>
      </c>
      <c r="T92">
        <f>HYPERLINK("https://klasma.github.io/Logging_0480/kartor/A 25802-2020 karta.png", "A 25802-2020")</f>
        <v/>
      </c>
      <c r="V92">
        <f>HYPERLINK("https://klasma.github.io/Logging_0480/klagomål/A 25802-2020 FSC-klagomål.docx", "A 25802-2020")</f>
        <v/>
      </c>
      <c r="W92">
        <f>HYPERLINK("https://klasma.github.io/Logging_0480/klagomålsmail/A 25802-2020 FSC-klagomål mail.docx", "A 25802-2020")</f>
        <v/>
      </c>
      <c r="X92">
        <f>HYPERLINK("https://klasma.github.io/Logging_0480/tillsyn/A 25802-2020 tillsynsbegäran.docx", "A 25802-2020")</f>
        <v/>
      </c>
      <c r="Y92">
        <f>HYPERLINK("https://klasma.github.io/Logging_0480/tillsynsmail/A 25802-2020 tillsynsbegäran mail.docx", "A 25802-2020")</f>
        <v/>
      </c>
    </row>
    <row r="93" ht="15" customHeight="1">
      <c r="A93" t="inlineStr">
        <is>
          <t>A 29400-2020</t>
        </is>
      </c>
      <c r="B93" s="1" t="n">
        <v>44004</v>
      </c>
      <c r="C93" s="1" t="n">
        <v>45630</v>
      </c>
      <c r="D93" t="inlineStr">
        <is>
          <t>SÖDERMANLANDS LÄN</t>
        </is>
      </c>
      <c r="E93" t="inlineStr">
        <is>
          <t>NYKÖPING</t>
        </is>
      </c>
      <c r="G93" t="n">
        <v>7.7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29400-2020 artfynd.xlsx", "A 29400-2020")</f>
        <v/>
      </c>
      <c r="T93">
        <f>HYPERLINK("https://klasma.github.io/Logging_0480/kartor/A 29400-2020 karta.png", "A 29400-2020")</f>
        <v/>
      </c>
      <c r="V93">
        <f>HYPERLINK("https://klasma.github.io/Logging_0480/klagomål/A 29400-2020 FSC-klagomål.docx", "A 29400-2020")</f>
        <v/>
      </c>
      <c r="W93">
        <f>HYPERLINK("https://klasma.github.io/Logging_0480/klagomålsmail/A 29400-2020 FSC-klagomål mail.docx", "A 29400-2020")</f>
        <v/>
      </c>
      <c r="X93">
        <f>HYPERLINK("https://klasma.github.io/Logging_0480/tillsyn/A 29400-2020 tillsynsbegäran.docx", "A 29400-2020")</f>
        <v/>
      </c>
      <c r="Y93">
        <f>HYPERLINK("https://klasma.github.io/Logging_0480/tillsynsmail/A 29400-2020 tillsynsbegäran mail.docx", "A 29400-2020")</f>
        <v/>
      </c>
    </row>
    <row r="94" ht="15" customHeight="1">
      <c r="A94" t="inlineStr">
        <is>
          <t>A 29320-2020</t>
        </is>
      </c>
      <c r="B94" s="1" t="n">
        <v>44004</v>
      </c>
      <c r="C94" s="1" t="n">
        <v>45630</v>
      </c>
      <c r="D94" t="inlineStr">
        <is>
          <t>SÖDERMANLANDS LÄN</t>
        </is>
      </c>
      <c r="E94" t="inlineStr">
        <is>
          <t>NYKÖPING</t>
        </is>
      </c>
      <c r="G94" t="n">
        <v>15.2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Buskskvätta</t>
        </is>
      </c>
      <c r="S94">
        <f>HYPERLINK("https://klasma.github.io/Logging_0480/artfynd/A 29320-2020 artfynd.xlsx", "A 29320-2020")</f>
        <v/>
      </c>
      <c r="T94">
        <f>HYPERLINK("https://klasma.github.io/Logging_0480/kartor/A 29320-2020 karta.png", "A 29320-2020")</f>
        <v/>
      </c>
      <c r="V94">
        <f>HYPERLINK("https://klasma.github.io/Logging_0480/klagomål/A 29320-2020 FSC-klagomål.docx", "A 29320-2020")</f>
        <v/>
      </c>
      <c r="W94">
        <f>HYPERLINK("https://klasma.github.io/Logging_0480/klagomålsmail/A 29320-2020 FSC-klagomål mail.docx", "A 29320-2020")</f>
        <v/>
      </c>
      <c r="X94">
        <f>HYPERLINK("https://klasma.github.io/Logging_0480/tillsyn/A 29320-2020 tillsynsbegäran.docx", "A 29320-2020")</f>
        <v/>
      </c>
      <c r="Y94">
        <f>HYPERLINK("https://klasma.github.io/Logging_0480/tillsynsmail/A 29320-2020 tillsynsbegäran mail.docx", "A 29320-2020")</f>
        <v/>
      </c>
      <c r="Z94">
        <f>HYPERLINK("https://klasma.github.io/Logging_0480/fåglar/A 29320-2020 prioriterade fågelarter.docx", "A 29320-2020")</f>
        <v/>
      </c>
    </row>
    <row r="95" ht="15" customHeight="1">
      <c r="A95" t="inlineStr">
        <is>
          <t>A 29402-2020</t>
        </is>
      </c>
      <c r="B95" s="1" t="n">
        <v>44004</v>
      </c>
      <c r="C95" s="1" t="n">
        <v>45630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Flodsångare</t>
        </is>
      </c>
      <c r="S95">
        <f>HYPERLINK("https://klasma.github.io/Logging_0480/artfynd/A 29402-2020 artfynd.xlsx", "A 29402-2020")</f>
        <v/>
      </c>
      <c r="T95">
        <f>HYPERLINK("https://klasma.github.io/Logging_0480/kartor/A 29402-2020 karta.png", "A 29402-2020")</f>
        <v/>
      </c>
      <c r="V95">
        <f>HYPERLINK("https://klasma.github.io/Logging_0480/klagomål/A 29402-2020 FSC-klagomål.docx", "A 29402-2020")</f>
        <v/>
      </c>
      <c r="W95">
        <f>HYPERLINK("https://klasma.github.io/Logging_0480/klagomålsmail/A 29402-2020 FSC-klagomål mail.docx", "A 29402-2020")</f>
        <v/>
      </c>
      <c r="X95">
        <f>HYPERLINK("https://klasma.github.io/Logging_0480/tillsyn/A 29402-2020 tillsynsbegäran.docx", "A 29402-2020")</f>
        <v/>
      </c>
      <c r="Y95">
        <f>HYPERLINK("https://klasma.github.io/Logging_0480/tillsynsmail/A 29402-2020 tillsynsbegäran mail.docx", "A 29402-2020")</f>
        <v/>
      </c>
    </row>
    <row r="96" ht="15" customHeight="1">
      <c r="A96" t="inlineStr">
        <is>
          <t>A 30887-2020</t>
        </is>
      </c>
      <c r="B96" s="1" t="n">
        <v>44008</v>
      </c>
      <c r="C96" s="1" t="n">
        <v>45630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30887-2020 artfynd.xlsx", "A 30887-2020")</f>
        <v/>
      </c>
      <c r="T96">
        <f>HYPERLINK("https://klasma.github.io/Logging_0480/kartor/A 30887-2020 karta.png", "A 30887-2020")</f>
        <v/>
      </c>
      <c r="V96">
        <f>HYPERLINK("https://klasma.github.io/Logging_0480/klagomål/A 30887-2020 FSC-klagomål.docx", "A 30887-2020")</f>
        <v/>
      </c>
      <c r="W96">
        <f>HYPERLINK("https://klasma.github.io/Logging_0480/klagomålsmail/A 30887-2020 FSC-klagomål mail.docx", "A 30887-2020")</f>
        <v/>
      </c>
      <c r="X96">
        <f>HYPERLINK("https://klasma.github.io/Logging_0480/tillsyn/A 30887-2020 tillsynsbegäran.docx", "A 30887-2020")</f>
        <v/>
      </c>
      <c r="Y96">
        <f>HYPERLINK("https://klasma.github.io/Logging_0480/tillsynsmail/A 30887-2020 tillsynsbegäran mail.docx", "A 30887-2020")</f>
        <v/>
      </c>
    </row>
    <row r="97" ht="15" customHeight="1">
      <c r="A97" t="inlineStr">
        <is>
          <t>A 44227-2020</t>
        </is>
      </c>
      <c r="B97" s="1" t="n">
        <v>44084</v>
      </c>
      <c r="C97" s="1" t="n">
        <v>45630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HYPERLINK("https://klasma.github.io/Logging_0480/artfynd/A 44227-2020 artfynd.xlsx", "A 44227-2020")</f>
        <v/>
      </c>
      <c r="T97">
        <f>HYPERLINK("https://klasma.github.io/Logging_0480/kartor/A 44227-2020 karta.png", "A 44227-2020")</f>
        <v/>
      </c>
      <c r="V97">
        <f>HYPERLINK("https://klasma.github.io/Logging_0480/klagomål/A 44227-2020 FSC-klagomål.docx", "A 44227-2020")</f>
        <v/>
      </c>
      <c r="W97">
        <f>HYPERLINK("https://klasma.github.io/Logging_0480/klagomålsmail/A 44227-2020 FSC-klagomål mail.docx", "A 44227-2020")</f>
        <v/>
      </c>
      <c r="X97">
        <f>HYPERLINK("https://klasma.github.io/Logging_0480/tillsyn/A 44227-2020 tillsynsbegäran.docx", "A 44227-2020")</f>
        <v/>
      </c>
      <c r="Y97">
        <f>HYPERLINK("https://klasma.github.io/Logging_0480/tillsynsmail/A 44227-2020 tillsynsbegäran mail.docx", "A 44227-2020")</f>
        <v/>
      </c>
    </row>
    <row r="98" ht="15" customHeight="1">
      <c r="A98" t="inlineStr">
        <is>
          <t>A 7130-2021</t>
        </is>
      </c>
      <c r="B98" s="1" t="n">
        <v>44238</v>
      </c>
      <c r="C98" s="1" t="n">
        <v>45630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aspticka</t>
        </is>
      </c>
      <c r="S98">
        <f>HYPERLINK("https://klasma.github.io/Logging_0480/artfynd/A 7130-2021 artfynd.xlsx", "A 7130-2021")</f>
        <v/>
      </c>
      <c r="T98">
        <f>HYPERLINK("https://klasma.github.io/Logging_0480/kartor/A 7130-2021 karta.png", "A 7130-2021")</f>
        <v/>
      </c>
      <c r="V98">
        <f>HYPERLINK("https://klasma.github.io/Logging_0480/klagomål/A 7130-2021 FSC-klagomål.docx", "A 7130-2021")</f>
        <v/>
      </c>
      <c r="W98">
        <f>HYPERLINK("https://klasma.github.io/Logging_0480/klagomålsmail/A 7130-2021 FSC-klagomål mail.docx", "A 7130-2021")</f>
        <v/>
      </c>
      <c r="X98">
        <f>HYPERLINK("https://klasma.github.io/Logging_0480/tillsyn/A 7130-2021 tillsynsbegäran.docx", "A 7130-2021")</f>
        <v/>
      </c>
      <c r="Y98">
        <f>HYPERLINK("https://klasma.github.io/Logging_0480/tillsynsmail/A 7130-2021 tillsynsbegäran mail.docx", "A 7130-2021")</f>
        <v/>
      </c>
    </row>
    <row r="99" ht="15" customHeight="1">
      <c r="A99" t="inlineStr">
        <is>
          <t>A 30155-2021</t>
        </is>
      </c>
      <c r="B99" s="1" t="n">
        <v>44363</v>
      </c>
      <c r="C99" s="1" t="n">
        <v>45630</v>
      </c>
      <c r="D99" t="inlineStr">
        <is>
          <t>SÖDERMANLANDS LÄN</t>
        </is>
      </c>
      <c r="E99" t="inlineStr">
        <is>
          <t>NYKÖPING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30155-2021 artfynd.xlsx", "A 30155-2021")</f>
        <v/>
      </c>
      <c r="T99">
        <f>HYPERLINK("https://klasma.github.io/Logging_0480/kartor/A 30155-2021 karta.png", "A 30155-2021")</f>
        <v/>
      </c>
      <c r="V99">
        <f>HYPERLINK("https://klasma.github.io/Logging_0480/klagomål/A 30155-2021 FSC-klagomål.docx", "A 30155-2021")</f>
        <v/>
      </c>
      <c r="W99">
        <f>HYPERLINK("https://klasma.github.io/Logging_0480/klagomålsmail/A 30155-2021 FSC-klagomål mail.docx", "A 30155-2021")</f>
        <v/>
      </c>
      <c r="X99">
        <f>HYPERLINK("https://klasma.github.io/Logging_0480/tillsyn/A 30155-2021 tillsynsbegäran.docx", "A 30155-2021")</f>
        <v/>
      </c>
      <c r="Y99">
        <f>HYPERLINK("https://klasma.github.io/Logging_0480/tillsynsmail/A 30155-2021 tillsynsbegäran mail.docx", "A 30155-2021")</f>
        <v/>
      </c>
      <c r="Z99">
        <f>HYPERLINK("https://klasma.github.io/Logging_0480/fåglar/A 30155-2021 prioriterade fågelarter.docx", "A 30155-2021")</f>
        <v/>
      </c>
    </row>
    <row r="100" ht="15" customHeight="1">
      <c r="A100" t="inlineStr">
        <is>
          <t>A 37879-2021</t>
        </is>
      </c>
      <c r="B100" s="1" t="n">
        <v>44403</v>
      </c>
      <c r="C100" s="1" t="n">
        <v>45630</v>
      </c>
      <c r="D100" t="inlineStr">
        <is>
          <t>SÖDERMANLANDS LÄN</t>
        </is>
      </c>
      <c r="E100" t="inlineStr">
        <is>
          <t>NYKÖPING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Persiljespindling</t>
        </is>
      </c>
      <c r="S100">
        <f>HYPERLINK("https://klasma.github.io/Logging_0480/artfynd/A 37879-2021 artfynd.xlsx", "A 37879-2021")</f>
        <v/>
      </c>
      <c r="T100">
        <f>HYPERLINK("https://klasma.github.io/Logging_0480/kartor/A 37879-2021 karta.png", "A 37879-2021")</f>
        <v/>
      </c>
      <c r="V100">
        <f>HYPERLINK("https://klasma.github.io/Logging_0480/klagomål/A 37879-2021 FSC-klagomål.docx", "A 37879-2021")</f>
        <v/>
      </c>
      <c r="W100">
        <f>HYPERLINK("https://klasma.github.io/Logging_0480/klagomålsmail/A 37879-2021 FSC-klagomål mail.docx", "A 37879-2021")</f>
        <v/>
      </c>
      <c r="X100">
        <f>HYPERLINK("https://klasma.github.io/Logging_0480/tillsyn/A 37879-2021 tillsynsbegäran.docx", "A 37879-2021")</f>
        <v/>
      </c>
      <c r="Y100">
        <f>HYPERLINK("https://klasma.github.io/Logging_0480/tillsynsmail/A 37879-2021 tillsynsbegäran mail.docx", "A 37879-2021")</f>
        <v/>
      </c>
    </row>
    <row r="101" ht="15" customHeight="1">
      <c r="A101" t="inlineStr">
        <is>
          <t>A 42903-2021</t>
        </is>
      </c>
      <c r="B101" s="1" t="n">
        <v>44430</v>
      </c>
      <c r="C101" s="1" t="n">
        <v>45630</v>
      </c>
      <c r="D101" t="inlineStr">
        <is>
          <t>SÖDERMANLANDS LÄN</t>
        </is>
      </c>
      <c r="E101" t="inlineStr">
        <is>
          <t>NYKÖPING</t>
        </is>
      </c>
      <c r="G101" t="n">
        <v>20.2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HYPERLINK("https://klasma.github.io/Logging_0480/artfynd/A 42903-2021 artfynd.xlsx", "A 42903-2021")</f>
        <v/>
      </c>
      <c r="T101">
        <f>HYPERLINK("https://klasma.github.io/Logging_0480/kartor/A 42903-2021 karta.png", "A 42903-2021")</f>
        <v/>
      </c>
      <c r="V101">
        <f>HYPERLINK("https://klasma.github.io/Logging_0480/klagomål/A 42903-2021 FSC-klagomål.docx", "A 42903-2021")</f>
        <v/>
      </c>
      <c r="W101">
        <f>HYPERLINK("https://klasma.github.io/Logging_0480/klagomålsmail/A 42903-2021 FSC-klagomål mail.docx", "A 42903-2021")</f>
        <v/>
      </c>
      <c r="X101">
        <f>HYPERLINK("https://klasma.github.io/Logging_0480/tillsyn/A 42903-2021 tillsynsbegäran.docx", "A 42903-2021")</f>
        <v/>
      </c>
      <c r="Y101">
        <f>HYPERLINK("https://klasma.github.io/Logging_0480/tillsynsmail/A 42903-2021 tillsynsbegäran mail.docx", "A 42903-2021")</f>
        <v/>
      </c>
    </row>
    <row r="102" ht="15" customHeight="1">
      <c r="A102" t="inlineStr">
        <is>
          <t>A 47095-2021</t>
        </is>
      </c>
      <c r="B102" s="1" t="n">
        <v>44446</v>
      </c>
      <c r="C102" s="1" t="n">
        <v>45630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Kricka</t>
        </is>
      </c>
      <c r="S102">
        <f>HYPERLINK("https://klasma.github.io/Logging_0480/artfynd/A 47095-2021 artfynd.xlsx", "A 47095-2021")</f>
        <v/>
      </c>
      <c r="T102">
        <f>HYPERLINK("https://klasma.github.io/Logging_0480/kartor/A 47095-2021 karta.png", "A 47095-2021")</f>
        <v/>
      </c>
      <c r="V102">
        <f>HYPERLINK("https://klasma.github.io/Logging_0480/klagomål/A 47095-2021 FSC-klagomål.docx", "A 47095-2021")</f>
        <v/>
      </c>
      <c r="W102">
        <f>HYPERLINK("https://klasma.github.io/Logging_0480/klagomålsmail/A 47095-2021 FSC-klagomål mail.docx", "A 47095-2021")</f>
        <v/>
      </c>
      <c r="X102">
        <f>HYPERLINK("https://klasma.github.io/Logging_0480/tillsyn/A 47095-2021 tillsynsbegäran.docx", "A 47095-2021")</f>
        <v/>
      </c>
      <c r="Y102">
        <f>HYPERLINK("https://klasma.github.io/Logging_0480/tillsynsmail/A 47095-2021 tillsynsbegäran mail.docx", "A 47095-2021")</f>
        <v/>
      </c>
      <c r="Z102">
        <f>HYPERLINK("https://klasma.github.io/Logging_0480/fåglar/A 47095-2021 prioriterade fågelarter.docx", "A 47095-2021")</f>
        <v/>
      </c>
    </row>
    <row r="103" ht="15" customHeight="1">
      <c r="A103" t="inlineStr">
        <is>
          <t>A 47107-2021</t>
        </is>
      </c>
      <c r="B103" s="1" t="n">
        <v>44446</v>
      </c>
      <c r="C103" s="1" t="n">
        <v>45630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HYPERLINK("https://klasma.github.io/Logging_0480/artfynd/A 47107-2021 artfynd.xlsx", "A 47107-2021")</f>
        <v/>
      </c>
      <c r="T103">
        <f>HYPERLINK("https://klasma.github.io/Logging_0480/kartor/A 47107-2021 karta.png", "A 47107-2021")</f>
        <v/>
      </c>
      <c r="V103">
        <f>HYPERLINK("https://klasma.github.io/Logging_0480/klagomål/A 47107-2021 FSC-klagomål.docx", "A 47107-2021")</f>
        <v/>
      </c>
      <c r="W103">
        <f>HYPERLINK("https://klasma.github.io/Logging_0480/klagomålsmail/A 47107-2021 FSC-klagomål mail.docx", "A 47107-2021")</f>
        <v/>
      </c>
      <c r="X103">
        <f>HYPERLINK("https://klasma.github.io/Logging_0480/tillsyn/A 47107-2021 tillsynsbegäran.docx", "A 47107-2021")</f>
        <v/>
      </c>
      <c r="Y103">
        <f>HYPERLINK("https://klasma.github.io/Logging_0480/tillsynsmail/A 47107-2021 tillsynsbegäran mail.docx", "A 47107-2021")</f>
        <v/>
      </c>
    </row>
    <row r="104" ht="15" customHeight="1">
      <c r="A104" t="inlineStr">
        <is>
          <t>A 56420-2021</t>
        </is>
      </c>
      <c r="B104" s="1" t="n">
        <v>44480</v>
      </c>
      <c r="C104" s="1" t="n">
        <v>45630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2.8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HYPERLINK("https://klasma.github.io/Logging_0480/artfynd/A 56420-2021 artfynd.xlsx", "A 56420-2021")</f>
        <v/>
      </c>
      <c r="T104">
        <f>HYPERLINK("https://klasma.github.io/Logging_0480/kartor/A 56420-2021 karta.png", "A 56420-2021")</f>
        <v/>
      </c>
      <c r="V104">
        <f>HYPERLINK("https://klasma.github.io/Logging_0480/klagomål/A 56420-2021 FSC-klagomål.docx", "A 56420-2021")</f>
        <v/>
      </c>
      <c r="W104">
        <f>HYPERLINK("https://klasma.github.io/Logging_0480/klagomålsmail/A 56420-2021 FSC-klagomål mail.docx", "A 56420-2021")</f>
        <v/>
      </c>
      <c r="X104">
        <f>HYPERLINK("https://klasma.github.io/Logging_0480/tillsyn/A 56420-2021 tillsynsbegäran.docx", "A 56420-2021")</f>
        <v/>
      </c>
      <c r="Y104">
        <f>HYPERLINK("https://klasma.github.io/Logging_0480/tillsynsmail/A 56420-2021 tillsynsbegäran mail.docx", "A 56420-2021")</f>
        <v/>
      </c>
      <c r="Z104">
        <f>HYPERLINK("https://klasma.github.io/Logging_0480/fåglar/A 56420-2021 prioriterade fågelarter.docx", "A 56420-2021")</f>
        <v/>
      </c>
    </row>
    <row r="105" ht="15" customHeight="1">
      <c r="A105" t="inlineStr">
        <is>
          <t>A 58396-2021</t>
        </is>
      </c>
      <c r="B105" s="1" t="n">
        <v>44488</v>
      </c>
      <c r="C105" s="1" t="n">
        <v>45630</v>
      </c>
      <c r="D105" t="inlineStr">
        <is>
          <t>SÖDERMANLANDS LÄN</t>
        </is>
      </c>
      <c r="E105" t="inlineStr">
        <is>
          <t>NYKÖPING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HYPERLINK("https://klasma.github.io/Logging_0480/artfynd/A 58396-2021 artfynd.xlsx", "A 58396-2021")</f>
        <v/>
      </c>
      <c r="T105">
        <f>HYPERLINK("https://klasma.github.io/Logging_0480/kartor/A 58396-2021 karta.png", "A 58396-2021")</f>
        <v/>
      </c>
      <c r="V105">
        <f>HYPERLINK("https://klasma.github.io/Logging_0480/klagomål/A 58396-2021 FSC-klagomål.docx", "A 58396-2021")</f>
        <v/>
      </c>
      <c r="W105">
        <f>HYPERLINK("https://klasma.github.io/Logging_0480/klagomålsmail/A 58396-2021 FSC-klagomål mail.docx", "A 58396-2021")</f>
        <v/>
      </c>
      <c r="X105">
        <f>HYPERLINK("https://klasma.github.io/Logging_0480/tillsyn/A 58396-2021 tillsynsbegäran.docx", "A 58396-2021")</f>
        <v/>
      </c>
      <c r="Y105">
        <f>HYPERLINK("https://klasma.github.io/Logging_0480/tillsynsmail/A 58396-2021 tillsynsbegäran mail.docx", "A 58396-2021")</f>
        <v/>
      </c>
      <c r="Z105">
        <f>HYPERLINK("https://klasma.github.io/Logging_0480/fåglar/A 58396-2021 prioriterade fågelarter.docx", "A 58396-2021")</f>
        <v/>
      </c>
    </row>
    <row r="106" ht="15" customHeight="1">
      <c r="A106" t="inlineStr">
        <is>
          <t>A 61071-2021</t>
        </is>
      </c>
      <c r="B106" s="1" t="n">
        <v>44497</v>
      </c>
      <c r="C106" s="1" t="n">
        <v>45630</v>
      </c>
      <c r="D106" t="inlineStr">
        <is>
          <t>SÖDERMANLANDS LÄN</t>
        </is>
      </c>
      <c r="E106" t="inlineStr">
        <is>
          <t>NYKÖPING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Bronshjon</t>
        </is>
      </c>
      <c r="S106">
        <f>HYPERLINK("https://klasma.github.io/Logging_0480/artfynd/A 61071-2021 artfynd.xlsx", "A 61071-2021")</f>
        <v/>
      </c>
      <c r="T106">
        <f>HYPERLINK("https://klasma.github.io/Logging_0480/kartor/A 61071-2021 karta.png", "A 61071-2021")</f>
        <v/>
      </c>
      <c r="V106">
        <f>HYPERLINK("https://klasma.github.io/Logging_0480/klagomål/A 61071-2021 FSC-klagomål.docx", "A 61071-2021")</f>
        <v/>
      </c>
      <c r="W106">
        <f>HYPERLINK("https://klasma.github.io/Logging_0480/klagomålsmail/A 61071-2021 FSC-klagomål mail.docx", "A 61071-2021")</f>
        <v/>
      </c>
      <c r="X106">
        <f>HYPERLINK("https://klasma.github.io/Logging_0480/tillsyn/A 61071-2021 tillsynsbegäran.docx", "A 61071-2021")</f>
        <v/>
      </c>
      <c r="Y106">
        <f>HYPERLINK("https://klasma.github.io/Logging_0480/tillsynsmail/A 61071-2021 tillsynsbegäran mail.docx", "A 61071-2021")</f>
        <v/>
      </c>
    </row>
    <row r="107" ht="15" customHeight="1">
      <c r="A107" t="inlineStr">
        <is>
          <t>A 62716-2021</t>
        </is>
      </c>
      <c r="B107" s="1" t="n">
        <v>44503</v>
      </c>
      <c r="C107" s="1" t="n">
        <v>45630</v>
      </c>
      <c r="D107" t="inlineStr">
        <is>
          <t>SÖDERMANLANDS LÄN</t>
        </is>
      </c>
      <c r="E107" t="inlineStr">
        <is>
          <t>NYKÖPING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HYPERLINK("https://klasma.github.io/Logging_0480/artfynd/A 62716-2021 artfynd.xlsx", "A 62716-2021")</f>
        <v/>
      </c>
      <c r="T107">
        <f>HYPERLINK("https://klasma.github.io/Logging_0480/kartor/A 62716-2021 karta.png", "A 62716-2021")</f>
        <v/>
      </c>
      <c r="V107">
        <f>HYPERLINK("https://klasma.github.io/Logging_0480/klagomål/A 62716-2021 FSC-klagomål.docx", "A 62716-2021")</f>
        <v/>
      </c>
      <c r="W107">
        <f>HYPERLINK("https://klasma.github.io/Logging_0480/klagomålsmail/A 62716-2021 FSC-klagomål mail.docx", "A 62716-2021")</f>
        <v/>
      </c>
      <c r="X107">
        <f>HYPERLINK("https://klasma.github.io/Logging_0480/tillsyn/A 62716-2021 tillsynsbegäran.docx", "A 62716-2021")</f>
        <v/>
      </c>
      <c r="Y107">
        <f>HYPERLINK("https://klasma.github.io/Logging_0480/tillsynsmail/A 62716-2021 tillsynsbegäran mail.docx", "A 62716-2021")</f>
        <v/>
      </c>
    </row>
    <row r="108" ht="15" customHeight="1">
      <c r="A108" t="inlineStr">
        <is>
          <t>A 65889-2021</t>
        </is>
      </c>
      <c r="B108" s="1" t="n">
        <v>44517</v>
      </c>
      <c r="C108" s="1" t="n">
        <v>45630</v>
      </c>
      <c r="D108" t="inlineStr">
        <is>
          <t>SÖDERMANLANDS LÄN</t>
        </is>
      </c>
      <c r="E108" t="inlineStr">
        <is>
          <t>NYKÖPING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Backstarr</t>
        </is>
      </c>
      <c r="S108">
        <f>HYPERLINK("https://klasma.github.io/Logging_0480/artfynd/A 65889-2021 artfynd.xlsx", "A 65889-2021")</f>
        <v/>
      </c>
      <c r="T108">
        <f>HYPERLINK("https://klasma.github.io/Logging_0480/kartor/A 65889-2021 karta.png", "A 65889-2021")</f>
        <v/>
      </c>
      <c r="V108">
        <f>HYPERLINK("https://klasma.github.io/Logging_0480/klagomål/A 65889-2021 FSC-klagomål.docx", "A 65889-2021")</f>
        <v/>
      </c>
      <c r="W108">
        <f>HYPERLINK("https://klasma.github.io/Logging_0480/klagomålsmail/A 65889-2021 FSC-klagomål mail.docx", "A 65889-2021")</f>
        <v/>
      </c>
      <c r="X108">
        <f>HYPERLINK("https://klasma.github.io/Logging_0480/tillsyn/A 65889-2021 tillsynsbegäran.docx", "A 65889-2021")</f>
        <v/>
      </c>
      <c r="Y108">
        <f>HYPERLINK("https://klasma.github.io/Logging_0480/tillsynsmail/A 65889-2021 tillsynsbegäran mail.docx", "A 65889-2021")</f>
        <v/>
      </c>
    </row>
    <row r="109" ht="15" customHeight="1">
      <c r="A109" t="inlineStr">
        <is>
          <t>A 65892-2021</t>
        </is>
      </c>
      <c r="B109" s="1" t="n">
        <v>44517</v>
      </c>
      <c r="C109" s="1" t="n">
        <v>45630</v>
      </c>
      <c r="D109" t="inlineStr">
        <is>
          <t>SÖDERMANLANDS LÄN</t>
        </is>
      </c>
      <c r="E109" t="inlineStr">
        <is>
          <t>NYKÖPING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65892-2021 artfynd.xlsx", "A 65892-2021")</f>
        <v/>
      </c>
      <c r="T109">
        <f>HYPERLINK("https://klasma.github.io/Logging_0480/kartor/A 65892-2021 karta.png", "A 65892-2021")</f>
        <v/>
      </c>
      <c r="V109">
        <f>HYPERLINK("https://klasma.github.io/Logging_0480/klagomål/A 65892-2021 FSC-klagomål.docx", "A 65892-2021")</f>
        <v/>
      </c>
      <c r="W109">
        <f>HYPERLINK("https://klasma.github.io/Logging_0480/klagomålsmail/A 65892-2021 FSC-klagomål mail.docx", "A 65892-2021")</f>
        <v/>
      </c>
      <c r="X109">
        <f>HYPERLINK("https://klasma.github.io/Logging_0480/tillsyn/A 65892-2021 tillsynsbegäran.docx", "A 65892-2021")</f>
        <v/>
      </c>
      <c r="Y109">
        <f>HYPERLINK("https://klasma.github.io/Logging_0480/tillsynsmail/A 65892-2021 tillsynsbegäran mail.docx", "A 65892-2021")</f>
        <v/>
      </c>
    </row>
    <row r="110" ht="15" customHeight="1">
      <c r="A110" t="inlineStr">
        <is>
          <t>A 67819-2021</t>
        </is>
      </c>
      <c r="B110" s="1" t="n">
        <v>44525</v>
      </c>
      <c r="C110" s="1" t="n">
        <v>45630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HYPERLINK("https://klasma.github.io/Logging_0480/artfynd/A 67819-2021 artfynd.xlsx", "A 67819-2021")</f>
        <v/>
      </c>
      <c r="T110">
        <f>HYPERLINK("https://klasma.github.io/Logging_0480/kartor/A 67819-2021 karta.png", "A 67819-2021")</f>
        <v/>
      </c>
      <c r="V110">
        <f>HYPERLINK("https://klasma.github.io/Logging_0480/klagomål/A 67819-2021 FSC-klagomål.docx", "A 67819-2021")</f>
        <v/>
      </c>
      <c r="W110">
        <f>HYPERLINK("https://klasma.github.io/Logging_0480/klagomålsmail/A 67819-2021 FSC-klagomål mail.docx", "A 67819-2021")</f>
        <v/>
      </c>
      <c r="X110">
        <f>HYPERLINK("https://klasma.github.io/Logging_0480/tillsyn/A 67819-2021 tillsynsbegäran.docx", "A 67819-2021")</f>
        <v/>
      </c>
      <c r="Y110">
        <f>HYPERLINK("https://klasma.github.io/Logging_0480/tillsynsmail/A 67819-2021 tillsynsbegäran mail.docx", "A 67819-2021")</f>
        <v/>
      </c>
    </row>
    <row r="111" ht="15" customHeight="1">
      <c r="A111" t="inlineStr">
        <is>
          <t>A 69612-2021</t>
        </is>
      </c>
      <c r="B111" s="1" t="n">
        <v>44531</v>
      </c>
      <c r="C111" s="1" t="n">
        <v>45630</v>
      </c>
      <c r="D111" t="inlineStr">
        <is>
          <t>SÖDERMANLANDS LÄN</t>
        </is>
      </c>
      <c r="E111" t="inlineStr">
        <is>
          <t>NYKÖPING</t>
        </is>
      </c>
      <c r="G111" t="n">
        <v>9.199999999999999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Blomkålssvamp</t>
        </is>
      </c>
      <c r="S111">
        <f>HYPERLINK("https://klasma.github.io/Logging_0480/artfynd/A 69612-2021 artfynd.xlsx", "A 69612-2021")</f>
        <v/>
      </c>
      <c r="T111">
        <f>HYPERLINK("https://klasma.github.io/Logging_0480/kartor/A 69612-2021 karta.png", "A 69612-2021")</f>
        <v/>
      </c>
      <c r="V111">
        <f>HYPERLINK("https://klasma.github.io/Logging_0480/klagomål/A 69612-2021 FSC-klagomål.docx", "A 69612-2021")</f>
        <v/>
      </c>
      <c r="W111">
        <f>HYPERLINK("https://klasma.github.io/Logging_0480/klagomålsmail/A 69612-2021 FSC-klagomål mail.docx", "A 69612-2021")</f>
        <v/>
      </c>
      <c r="X111">
        <f>HYPERLINK("https://klasma.github.io/Logging_0480/tillsyn/A 69612-2021 tillsynsbegäran.docx", "A 69612-2021")</f>
        <v/>
      </c>
      <c r="Y111">
        <f>HYPERLINK("https://klasma.github.io/Logging_0480/tillsynsmail/A 69612-2021 tillsynsbegäran mail.docx", "A 69612-2021")</f>
        <v/>
      </c>
    </row>
    <row r="112" ht="15" customHeight="1">
      <c r="A112" t="inlineStr">
        <is>
          <t>A 9973-2022</t>
        </is>
      </c>
      <c r="B112" s="1" t="n">
        <v>44621</v>
      </c>
      <c r="C112" s="1" t="n">
        <v>45630</v>
      </c>
      <c r="D112" t="inlineStr">
        <is>
          <t>SÖDERMANLANDS LÄN</t>
        </is>
      </c>
      <c r="E112" t="inlineStr">
        <is>
          <t>NYKÖPING</t>
        </is>
      </c>
      <c r="G112" t="n">
        <v>18.3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HYPERLINK("https://klasma.github.io/Logging_0480/artfynd/A 9973-2022 artfynd.xlsx", "A 9973-2022")</f>
        <v/>
      </c>
      <c r="T112">
        <f>HYPERLINK("https://klasma.github.io/Logging_0480/kartor/A 9973-2022 karta.png", "A 9973-2022")</f>
        <v/>
      </c>
      <c r="V112">
        <f>HYPERLINK("https://klasma.github.io/Logging_0480/klagomål/A 9973-2022 FSC-klagomål.docx", "A 9973-2022")</f>
        <v/>
      </c>
      <c r="W112">
        <f>HYPERLINK("https://klasma.github.io/Logging_0480/klagomålsmail/A 9973-2022 FSC-klagomål mail.docx", "A 9973-2022")</f>
        <v/>
      </c>
      <c r="X112">
        <f>HYPERLINK("https://klasma.github.io/Logging_0480/tillsyn/A 9973-2022 tillsynsbegäran.docx", "A 9973-2022")</f>
        <v/>
      </c>
      <c r="Y112">
        <f>HYPERLINK("https://klasma.github.io/Logging_0480/tillsynsmail/A 9973-2022 tillsynsbegäran mail.docx", "A 9973-2022")</f>
        <v/>
      </c>
    </row>
    <row r="113" ht="15" customHeight="1">
      <c r="A113" t="inlineStr">
        <is>
          <t>A 11751-2022</t>
        </is>
      </c>
      <c r="B113" s="1" t="n">
        <v>44634</v>
      </c>
      <c r="C113" s="1" t="n">
        <v>45630</v>
      </c>
      <c r="D113" t="inlineStr">
        <is>
          <t>SÖDERMANLANDS LÄN</t>
        </is>
      </c>
      <c r="E113" t="inlineStr">
        <is>
          <t>NYKÖPING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Ljungögontröst</t>
        </is>
      </c>
      <c r="S113">
        <f>HYPERLINK("https://klasma.github.io/Logging_0480/artfynd/A 11751-2022 artfynd.xlsx", "A 11751-2022")</f>
        <v/>
      </c>
      <c r="T113">
        <f>HYPERLINK("https://klasma.github.io/Logging_0480/kartor/A 11751-2022 karta.png", "A 11751-2022")</f>
        <v/>
      </c>
      <c r="V113">
        <f>HYPERLINK("https://klasma.github.io/Logging_0480/klagomål/A 11751-2022 FSC-klagomål.docx", "A 11751-2022")</f>
        <v/>
      </c>
      <c r="W113">
        <f>HYPERLINK("https://klasma.github.io/Logging_0480/klagomålsmail/A 11751-2022 FSC-klagomål mail.docx", "A 11751-2022")</f>
        <v/>
      </c>
      <c r="X113">
        <f>HYPERLINK("https://klasma.github.io/Logging_0480/tillsyn/A 11751-2022 tillsynsbegäran.docx", "A 11751-2022")</f>
        <v/>
      </c>
      <c r="Y113">
        <f>HYPERLINK("https://klasma.github.io/Logging_0480/tillsynsmail/A 11751-2022 tillsynsbegäran mail.docx", "A 11751-2022")</f>
        <v/>
      </c>
    </row>
    <row r="114" ht="15" customHeight="1">
      <c r="A114" t="inlineStr">
        <is>
          <t>A 13464-2022</t>
        </is>
      </c>
      <c r="B114" s="1" t="n">
        <v>44645</v>
      </c>
      <c r="C114" s="1" t="n">
        <v>45630</v>
      </c>
      <c r="D114" t="inlineStr">
        <is>
          <t>SÖDERMANLANDS LÄN</t>
        </is>
      </c>
      <c r="E114" t="inlineStr">
        <is>
          <t>NYKÖPING</t>
        </is>
      </c>
      <c r="G114" t="n">
        <v>12.6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HYPERLINK("https://klasma.github.io/Logging_0480/artfynd/A 13464-2022 artfynd.xlsx", "A 13464-2022")</f>
        <v/>
      </c>
      <c r="T114">
        <f>HYPERLINK("https://klasma.github.io/Logging_0480/kartor/A 13464-2022 karta.png", "A 13464-2022")</f>
        <v/>
      </c>
      <c r="V114">
        <f>HYPERLINK("https://klasma.github.io/Logging_0480/klagomål/A 13464-2022 FSC-klagomål.docx", "A 13464-2022")</f>
        <v/>
      </c>
      <c r="W114">
        <f>HYPERLINK("https://klasma.github.io/Logging_0480/klagomålsmail/A 13464-2022 FSC-klagomål mail.docx", "A 13464-2022")</f>
        <v/>
      </c>
      <c r="X114">
        <f>HYPERLINK("https://klasma.github.io/Logging_0480/tillsyn/A 13464-2022 tillsynsbegäran.docx", "A 13464-2022")</f>
        <v/>
      </c>
      <c r="Y114">
        <f>HYPERLINK("https://klasma.github.io/Logging_0480/tillsynsmail/A 13464-2022 tillsynsbegäran mail.docx", "A 13464-2022")</f>
        <v/>
      </c>
    </row>
    <row r="115" ht="15" customHeight="1">
      <c r="A115" t="inlineStr">
        <is>
          <t>A 36996-2022</t>
        </is>
      </c>
      <c r="B115" s="1" t="n">
        <v>44806</v>
      </c>
      <c r="C115" s="1" t="n">
        <v>45630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HYPERLINK("https://klasma.github.io/Logging_0480/artfynd/A 36996-2022 artfynd.xlsx", "A 36996-2022")</f>
        <v/>
      </c>
      <c r="T115">
        <f>HYPERLINK("https://klasma.github.io/Logging_0480/kartor/A 36996-2022 karta.png", "A 36996-2022")</f>
        <v/>
      </c>
      <c r="V115">
        <f>HYPERLINK("https://klasma.github.io/Logging_0480/klagomål/A 36996-2022 FSC-klagomål.docx", "A 36996-2022")</f>
        <v/>
      </c>
      <c r="W115">
        <f>HYPERLINK("https://klasma.github.io/Logging_0480/klagomålsmail/A 36996-2022 FSC-klagomål mail.docx", "A 36996-2022")</f>
        <v/>
      </c>
      <c r="X115">
        <f>HYPERLINK("https://klasma.github.io/Logging_0480/tillsyn/A 36996-2022 tillsynsbegäran.docx", "A 36996-2022")</f>
        <v/>
      </c>
      <c r="Y115">
        <f>HYPERLINK("https://klasma.github.io/Logging_0480/tillsynsmail/A 36996-2022 tillsynsbegäran mail.docx", "A 36996-2022")</f>
        <v/>
      </c>
    </row>
    <row r="116" ht="15" customHeight="1">
      <c r="A116" t="inlineStr">
        <is>
          <t>A 39740-2022</t>
        </is>
      </c>
      <c r="B116" s="1" t="n">
        <v>44817</v>
      </c>
      <c r="C116" s="1" t="n">
        <v>45630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HYPERLINK("https://klasma.github.io/Logging_0480/artfynd/A 39740-2022 artfynd.xlsx", "A 39740-2022")</f>
        <v/>
      </c>
      <c r="T116">
        <f>HYPERLINK("https://klasma.github.io/Logging_0480/kartor/A 39740-2022 karta.png", "A 39740-2022")</f>
        <v/>
      </c>
      <c r="V116">
        <f>HYPERLINK("https://klasma.github.io/Logging_0480/klagomål/A 39740-2022 FSC-klagomål.docx", "A 39740-2022")</f>
        <v/>
      </c>
      <c r="W116">
        <f>HYPERLINK("https://klasma.github.io/Logging_0480/klagomålsmail/A 39740-2022 FSC-klagomål mail.docx", "A 39740-2022")</f>
        <v/>
      </c>
      <c r="X116">
        <f>HYPERLINK("https://klasma.github.io/Logging_0480/tillsyn/A 39740-2022 tillsynsbegäran.docx", "A 39740-2022")</f>
        <v/>
      </c>
      <c r="Y116">
        <f>HYPERLINK("https://klasma.github.io/Logging_0480/tillsynsmail/A 39740-2022 tillsynsbegäran mail.docx", "A 39740-2022")</f>
        <v/>
      </c>
    </row>
    <row r="117" ht="15" customHeight="1">
      <c r="A117" t="inlineStr">
        <is>
          <t>A 1509-2023</t>
        </is>
      </c>
      <c r="B117" s="1" t="n">
        <v>44937</v>
      </c>
      <c r="C117" s="1" t="n">
        <v>45630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Skorpgelélav</t>
        </is>
      </c>
      <c r="S117">
        <f>HYPERLINK("https://klasma.github.io/Logging_0480/artfynd/A 1509-2023 artfynd.xlsx", "A 1509-2023")</f>
        <v/>
      </c>
      <c r="T117">
        <f>HYPERLINK("https://klasma.github.io/Logging_0480/kartor/A 1509-2023 karta.png", "A 1509-2023")</f>
        <v/>
      </c>
      <c r="V117">
        <f>HYPERLINK("https://klasma.github.io/Logging_0480/klagomål/A 1509-2023 FSC-klagomål.docx", "A 1509-2023")</f>
        <v/>
      </c>
      <c r="W117">
        <f>HYPERLINK("https://klasma.github.io/Logging_0480/klagomålsmail/A 1509-2023 FSC-klagomål mail.docx", "A 1509-2023")</f>
        <v/>
      </c>
      <c r="X117">
        <f>HYPERLINK("https://klasma.github.io/Logging_0480/tillsyn/A 1509-2023 tillsynsbegäran.docx", "A 1509-2023")</f>
        <v/>
      </c>
      <c r="Y117">
        <f>HYPERLINK("https://klasma.github.io/Logging_0480/tillsynsmail/A 1509-2023 tillsynsbegäran mail.docx", "A 1509-2023")</f>
        <v/>
      </c>
    </row>
    <row r="118" ht="15" customHeight="1">
      <c r="A118" t="inlineStr">
        <is>
          <t>A 2842-2023</t>
        </is>
      </c>
      <c r="B118" s="1" t="n">
        <v>44945</v>
      </c>
      <c r="C118" s="1" t="n">
        <v>45630</v>
      </c>
      <c r="D118" t="inlineStr">
        <is>
          <t>SÖDERMANLANDS LÄN</t>
        </is>
      </c>
      <c r="E118" t="inlineStr">
        <is>
          <t>NYKÖPING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Svavelriska</t>
        </is>
      </c>
      <c r="S118">
        <f>HYPERLINK("https://klasma.github.io/Logging_0480/artfynd/A 2842-2023 artfynd.xlsx", "A 2842-2023")</f>
        <v/>
      </c>
      <c r="T118">
        <f>HYPERLINK("https://klasma.github.io/Logging_0480/kartor/A 2842-2023 karta.png", "A 2842-2023")</f>
        <v/>
      </c>
      <c r="V118">
        <f>HYPERLINK("https://klasma.github.io/Logging_0480/klagomål/A 2842-2023 FSC-klagomål.docx", "A 2842-2023")</f>
        <v/>
      </c>
      <c r="W118">
        <f>HYPERLINK("https://klasma.github.io/Logging_0480/klagomålsmail/A 2842-2023 FSC-klagomål mail.docx", "A 2842-2023")</f>
        <v/>
      </c>
      <c r="X118">
        <f>HYPERLINK("https://klasma.github.io/Logging_0480/tillsyn/A 2842-2023 tillsynsbegäran.docx", "A 2842-2023")</f>
        <v/>
      </c>
      <c r="Y118">
        <f>HYPERLINK("https://klasma.github.io/Logging_0480/tillsynsmail/A 2842-2023 tillsynsbegäran mail.docx", "A 2842-2023")</f>
        <v/>
      </c>
    </row>
    <row r="119" ht="15" customHeight="1">
      <c r="A119" t="inlineStr">
        <is>
          <t>A 9221-2023</t>
        </is>
      </c>
      <c r="B119" s="1" t="n">
        <v>44977</v>
      </c>
      <c r="C119" s="1" t="n">
        <v>45630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Allmännings- och besparingsskogar</t>
        </is>
      </c>
      <c r="G119" t="n">
        <v>20.4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Igelkott</t>
        </is>
      </c>
      <c r="S119">
        <f>HYPERLINK("https://klasma.github.io/Logging_0480/artfynd/A 9221-2023 artfynd.xlsx", "A 9221-2023")</f>
        <v/>
      </c>
      <c r="T119">
        <f>HYPERLINK("https://klasma.github.io/Logging_0480/kartor/A 9221-2023 karta.png", "A 9221-2023")</f>
        <v/>
      </c>
      <c r="V119">
        <f>HYPERLINK("https://klasma.github.io/Logging_0480/klagomål/A 9221-2023 FSC-klagomål.docx", "A 9221-2023")</f>
        <v/>
      </c>
      <c r="W119">
        <f>HYPERLINK("https://klasma.github.io/Logging_0480/klagomålsmail/A 9221-2023 FSC-klagomål mail.docx", "A 9221-2023")</f>
        <v/>
      </c>
      <c r="X119">
        <f>HYPERLINK("https://klasma.github.io/Logging_0480/tillsyn/A 9221-2023 tillsynsbegäran.docx", "A 9221-2023")</f>
        <v/>
      </c>
      <c r="Y119">
        <f>HYPERLINK("https://klasma.github.io/Logging_0480/tillsynsmail/A 9221-2023 tillsynsbegäran mail.docx", "A 9221-2023")</f>
        <v/>
      </c>
    </row>
    <row r="120" ht="15" customHeight="1">
      <c r="A120" t="inlineStr">
        <is>
          <t>A 12891-2023</t>
        </is>
      </c>
      <c r="B120" s="1" t="n">
        <v>45001</v>
      </c>
      <c r="C120" s="1" t="n">
        <v>45630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HYPERLINK("https://klasma.github.io/Logging_0480/artfynd/A 12891-2023 artfynd.xlsx", "A 12891-2023")</f>
        <v/>
      </c>
      <c r="T120">
        <f>HYPERLINK("https://klasma.github.io/Logging_0480/kartor/A 12891-2023 karta.png", "A 12891-2023")</f>
        <v/>
      </c>
      <c r="V120">
        <f>HYPERLINK("https://klasma.github.io/Logging_0480/klagomål/A 12891-2023 FSC-klagomål.docx", "A 12891-2023")</f>
        <v/>
      </c>
      <c r="W120">
        <f>HYPERLINK("https://klasma.github.io/Logging_0480/klagomålsmail/A 12891-2023 FSC-klagomål mail.docx", "A 12891-2023")</f>
        <v/>
      </c>
      <c r="X120">
        <f>HYPERLINK("https://klasma.github.io/Logging_0480/tillsyn/A 12891-2023 tillsynsbegäran.docx", "A 12891-2023")</f>
        <v/>
      </c>
      <c r="Y120">
        <f>HYPERLINK("https://klasma.github.io/Logging_0480/tillsynsmail/A 12891-2023 tillsynsbegäran mail.docx", "A 12891-2023")</f>
        <v/>
      </c>
    </row>
    <row r="121" ht="15" customHeight="1">
      <c r="A121" t="inlineStr">
        <is>
          <t>A 16078-2023</t>
        </is>
      </c>
      <c r="B121" s="1" t="n">
        <v>45027</v>
      </c>
      <c r="C121" s="1" t="n">
        <v>45630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Rödlånke</t>
        </is>
      </c>
      <c r="S121">
        <f>HYPERLINK("https://klasma.github.io/Logging_0480/artfynd/A 16078-2023 artfynd.xlsx", "A 16078-2023")</f>
        <v/>
      </c>
      <c r="T121">
        <f>HYPERLINK("https://klasma.github.io/Logging_0480/kartor/A 16078-2023 karta.png", "A 16078-2023")</f>
        <v/>
      </c>
      <c r="V121">
        <f>HYPERLINK("https://klasma.github.io/Logging_0480/klagomål/A 16078-2023 FSC-klagomål.docx", "A 16078-2023")</f>
        <v/>
      </c>
      <c r="W121">
        <f>HYPERLINK("https://klasma.github.io/Logging_0480/klagomålsmail/A 16078-2023 FSC-klagomål mail.docx", "A 16078-2023")</f>
        <v/>
      </c>
      <c r="X121">
        <f>HYPERLINK("https://klasma.github.io/Logging_0480/tillsyn/A 16078-2023 tillsynsbegäran.docx", "A 16078-2023")</f>
        <v/>
      </c>
      <c r="Y121">
        <f>HYPERLINK("https://klasma.github.io/Logging_0480/tillsynsmail/A 16078-2023 tillsynsbegäran mail.docx", "A 16078-2023")</f>
        <v/>
      </c>
    </row>
    <row r="122" ht="15" customHeight="1">
      <c r="A122" t="inlineStr">
        <is>
          <t>A 20325-2023</t>
        </is>
      </c>
      <c r="B122" s="1" t="n">
        <v>45056</v>
      </c>
      <c r="C122" s="1" t="n">
        <v>45630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Kamjordstjärna</t>
        </is>
      </c>
      <c r="S122">
        <f>HYPERLINK("https://klasma.github.io/Logging_0480/artfynd/A 20325-2023 artfynd.xlsx", "A 20325-2023")</f>
        <v/>
      </c>
      <c r="T122">
        <f>HYPERLINK("https://klasma.github.io/Logging_0480/kartor/A 20325-2023 karta.png", "A 20325-2023")</f>
        <v/>
      </c>
      <c r="V122">
        <f>HYPERLINK("https://klasma.github.io/Logging_0480/klagomål/A 20325-2023 FSC-klagomål.docx", "A 20325-2023")</f>
        <v/>
      </c>
      <c r="W122">
        <f>HYPERLINK("https://klasma.github.io/Logging_0480/klagomålsmail/A 20325-2023 FSC-klagomål mail.docx", "A 20325-2023")</f>
        <v/>
      </c>
      <c r="X122">
        <f>HYPERLINK("https://klasma.github.io/Logging_0480/tillsyn/A 20325-2023 tillsynsbegäran.docx", "A 20325-2023")</f>
        <v/>
      </c>
      <c r="Y122">
        <f>HYPERLINK("https://klasma.github.io/Logging_0480/tillsynsmail/A 20325-2023 tillsynsbegäran mail.docx", "A 20325-2023")</f>
        <v/>
      </c>
    </row>
    <row r="123" ht="15" customHeight="1">
      <c r="A123" t="inlineStr">
        <is>
          <t>A 28542-2023</t>
        </is>
      </c>
      <c r="B123" s="1" t="n">
        <v>45103</v>
      </c>
      <c r="C123" s="1" t="n">
        <v>45630</v>
      </c>
      <c r="D123" t="inlineStr">
        <is>
          <t>SÖDERMANLANDS LÄN</t>
        </is>
      </c>
      <c r="E123" t="inlineStr">
        <is>
          <t>NYKÖPING</t>
        </is>
      </c>
      <c r="G123" t="n">
        <v>2.8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HYPERLINK("https://klasma.github.io/Logging_0480/artfynd/A 28542-2023 artfynd.xlsx", "A 28542-2023")</f>
        <v/>
      </c>
      <c r="T123">
        <f>HYPERLINK("https://klasma.github.io/Logging_0480/kartor/A 28542-2023 karta.png", "A 28542-2023")</f>
        <v/>
      </c>
      <c r="U123">
        <f>HYPERLINK("https://klasma.github.io/Logging_0480/knärot/A 28542-2023 karta knärot.png", "A 28542-2023")</f>
        <v/>
      </c>
      <c r="V123">
        <f>HYPERLINK("https://klasma.github.io/Logging_0480/klagomål/A 28542-2023 FSC-klagomål.docx", "A 28542-2023")</f>
        <v/>
      </c>
      <c r="W123">
        <f>HYPERLINK("https://klasma.github.io/Logging_0480/klagomålsmail/A 28542-2023 FSC-klagomål mail.docx", "A 28542-2023")</f>
        <v/>
      </c>
      <c r="X123">
        <f>HYPERLINK("https://klasma.github.io/Logging_0480/tillsyn/A 28542-2023 tillsynsbegäran.docx", "A 28542-2023")</f>
        <v/>
      </c>
      <c r="Y123">
        <f>HYPERLINK("https://klasma.github.io/Logging_0480/tillsynsmail/A 28542-2023 tillsynsbegäran mail.docx", "A 28542-2023")</f>
        <v/>
      </c>
    </row>
    <row r="124" ht="15" customHeight="1">
      <c r="A124" t="inlineStr">
        <is>
          <t>A 35122-2023</t>
        </is>
      </c>
      <c r="B124" s="1" t="n">
        <v>45145</v>
      </c>
      <c r="C124" s="1" t="n">
        <v>45630</v>
      </c>
      <c r="D124" t="inlineStr">
        <is>
          <t>SÖDERMANLANDS LÄN</t>
        </is>
      </c>
      <c r="E124" t="inlineStr">
        <is>
          <t>NYKÖPING</t>
        </is>
      </c>
      <c r="G124" t="n">
        <v>3.2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HYPERLINK("https://klasma.github.io/Logging_0480/artfynd/A 35122-2023 artfynd.xlsx", "A 35122-2023")</f>
        <v/>
      </c>
      <c r="T124">
        <f>HYPERLINK("https://klasma.github.io/Logging_0480/kartor/A 35122-2023 karta.png", "A 35122-2023")</f>
        <v/>
      </c>
      <c r="V124">
        <f>HYPERLINK("https://klasma.github.io/Logging_0480/klagomål/A 35122-2023 FSC-klagomål.docx", "A 35122-2023")</f>
        <v/>
      </c>
      <c r="W124">
        <f>HYPERLINK("https://klasma.github.io/Logging_0480/klagomålsmail/A 35122-2023 FSC-klagomål mail.docx", "A 35122-2023")</f>
        <v/>
      </c>
      <c r="X124">
        <f>HYPERLINK("https://klasma.github.io/Logging_0480/tillsyn/A 35122-2023 tillsynsbegäran.docx", "A 35122-2023")</f>
        <v/>
      </c>
      <c r="Y124">
        <f>HYPERLINK("https://klasma.github.io/Logging_0480/tillsynsmail/A 35122-2023 tillsynsbegäran mail.docx", "A 35122-2023")</f>
        <v/>
      </c>
    </row>
    <row r="125" ht="15" customHeight="1">
      <c r="A125" t="inlineStr">
        <is>
          <t>A 39019-2023</t>
        </is>
      </c>
      <c r="B125" s="1" t="n">
        <v>45163</v>
      </c>
      <c r="C125" s="1" t="n">
        <v>45630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hackspett</t>
        </is>
      </c>
      <c r="S125">
        <f>HYPERLINK("https://klasma.github.io/Logging_0480/artfynd/A 39019-2023 artfynd.xlsx", "A 39019-2023")</f>
        <v/>
      </c>
      <c r="T125">
        <f>HYPERLINK("https://klasma.github.io/Logging_0480/kartor/A 39019-2023 karta.png", "A 39019-2023")</f>
        <v/>
      </c>
      <c r="V125">
        <f>HYPERLINK("https://klasma.github.io/Logging_0480/klagomål/A 39019-2023 FSC-klagomål.docx", "A 39019-2023")</f>
        <v/>
      </c>
      <c r="W125">
        <f>HYPERLINK("https://klasma.github.io/Logging_0480/klagomålsmail/A 39019-2023 FSC-klagomål mail.docx", "A 39019-2023")</f>
        <v/>
      </c>
      <c r="X125">
        <f>HYPERLINK("https://klasma.github.io/Logging_0480/tillsyn/A 39019-2023 tillsynsbegäran.docx", "A 39019-2023")</f>
        <v/>
      </c>
      <c r="Y125">
        <f>HYPERLINK("https://klasma.github.io/Logging_0480/tillsynsmail/A 39019-2023 tillsynsbegäran mail.docx", "A 39019-2023")</f>
        <v/>
      </c>
      <c r="Z125">
        <f>HYPERLINK("https://klasma.github.io/Logging_0480/fåglar/A 39019-2023 prioriterade fågelarter.docx", "A 39019-2023")</f>
        <v/>
      </c>
    </row>
    <row r="126" ht="15" customHeight="1">
      <c r="A126" t="inlineStr">
        <is>
          <t>A 43756-2023</t>
        </is>
      </c>
      <c r="B126" s="1" t="n">
        <v>45187</v>
      </c>
      <c r="C126" s="1" t="n">
        <v>45630</v>
      </c>
      <c r="D126" t="inlineStr">
        <is>
          <t>SÖDERMANLANDS LÄN</t>
        </is>
      </c>
      <c r="E126" t="inlineStr">
        <is>
          <t>NYKÖPING</t>
        </is>
      </c>
      <c r="G126" t="n">
        <v>5.4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Svedjenäva</t>
        </is>
      </c>
      <c r="S126">
        <f>HYPERLINK("https://klasma.github.io/Logging_0480/artfynd/A 43756-2023 artfynd.xlsx", "A 43756-2023")</f>
        <v/>
      </c>
      <c r="T126">
        <f>HYPERLINK("https://klasma.github.io/Logging_0480/kartor/A 43756-2023 karta.png", "A 43756-2023")</f>
        <v/>
      </c>
      <c r="V126">
        <f>HYPERLINK("https://klasma.github.io/Logging_0480/klagomål/A 43756-2023 FSC-klagomål.docx", "A 43756-2023")</f>
        <v/>
      </c>
      <c r="W126">
        <f>HYPERLINK("https://klasma.github.io/Logging_0480/klagomålsmail/A 43756-2023 FSC-klagomål mail.docx", "A 43756-2023")</f>
        <v/>
      </c>
      <c r="X126">
        <f>HYPERLINK("https://klasma.github.io/Logging_0480/tillsyn/A 43756-2023 tillsynsbegäran.docx", "A 43756-2023")</f>
        <v/>
      </c>
      <c r="Y126">
        <f>HYPERLINK("https://klasma.github.io/Logging_0480/tillsynsmail/A 43756-2023 tillsynsbegäran mail.docx", "A 43756-2023")</f>
        <v/>
      </c>
    </row>
    <row r="127" ht="15" customHeight="1">
      <c r="A127" t="inlineStr">
        <is>
          <t>A 54498-2023</t>
        </is>
      </c>
      <c r="B127" s="1" t="n">
        <v>45226</v>
      </c>
      <c r="C127" s="1" t="n">
        <v>45630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1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Brun glada</t>
        </is>
      </c>
      <c r="S127">
        <f>HYPERLINK("https://klasma.github.io/Logging_0480/artfynd/A 54498-2023 artfynd.xlsx", "A 54498-2023")</f>
        <v/>
      </c>
      <c r="T127">
        <f>HYPERLINK("https://klasma.github.io/Logging_0480/kartor/A 54498-2023 karta.png", "A 54498-2023")</f>
        <v/>
      </c>
      <c r="V127">
        <f>HYPERLINK("https://klasma.github.io/Logging_0480/klagomål/A 54498-2023 FSC-klagomål.docx", "A 54498-2023")</f>
        <v/>
      </c>
      <c r="W127">
        <f>HYPERLINK("https://klasma.github.io/Logging_0480/klagomålsmail/A 54498-2023 FSC-klagomål mail.docx", "A 54498-2023")</f>
        <v/>
      </c>
      <c r="X127">
        <f>HYPERLINK("https://klasma.github.io/Logging_0480/tillsyn/A 54498-2023 tillsynsbegäran.docx", "A 54498-2023")</f>
        <v/>
      </c>
      <c r="Y127">
        <f>HYPERLINK("https://klasma.github.io/Logging_0480/tillsynsmail/A 54498-2023 tillsynsbegäran mail.docx", "A 54498-2023")</f>
        <v/>
      </c>
      <c r="Z127">
        <f>HYPERLINK("https://klasma.github.io/Logging_0480/fåglar/A 54498-2023 prioriterade fågelarter.docx", "A 54498-2023")</f>
        <v/>
      </c>
    </row>
    <row r="128" ht="15" customHeight="1">
      <c r="A128" t="inlineStr">
        <is>
          <t>A 53340-2023</t>
        </is>
      </c>
      <c r="B128" s="1" t="n">
        <v>45229</v>
      </c>
      <c r="C128" s="1" t="n">
        <v>45630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HYPERLINK("https://klasma.github.io/Logging_0480/artfynd/A 53340-2023 artfynd.xlsx", "A 53340-2023")</f>
        <v/>
      </c>
      <c r="T128">
        <f>HYPERLINK("https://klasma.github.io/Logging_0480/kartor/A 53340-2023 karta.png", "A 53340-2023")</f>
        <v/>
      </c>
      <c r="V128">
        <f>HYPERLINK("https://klasma.github.io/Logging_0480/klagomål/A 53340-2023 FSC-klagomål.docx", "A 53340-2023")</f>
        <v/>
      </c>
      <c r="W128">
        <f>HYPERLINK("https://klasma.github.io/Logging_0480/klagomålsmail/A 53340-2023 FSC-klagomål mail.docx", "A 53340-2023")</f>
        <v/>
      </c>
      <c r="X128">
        <f>HYPERLINK("https://klasma.github.io/Logging_0480/tillsyn/A 53340-2023 tillsynsbegäran.docx", "A 53340-2023")</f>
        <v/>
      </c>
      <c r="Y128">
        <f>HYPERLINK("https://klasma.github.io/Logging_0480/tillsynsmail/A 53340-2023 tillsynsbegäran mail.docx", "A 53340-2023")</f>
        <v/>
      </c>
    </row>
    <row r="129" ht="15" customHeight="1">
      <c r="A129" t="inlineStr">
        <is>
          <t>A 59329-2023</t>
        </is>
      </c>
      <c r="B129" s="1" t="n">
        <v>45252</v>
      </c>
      <c r="C129" s="1" t="n">
        <v>45630</v>
      </c>
      <c r="D129" t="inlineStr">
        <is>
          <t>SÖDERMANLANDS LÄN</t>
        </is>
      </c>
      <c r="E129" t="inlineStr">
        <is>
          <t>NYKÖPING</t>
        </is>
      </c>
      <c r="G129" t="n">
        <v>22.1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59329-2023 artfynd.xlsx", "A 59329-2023")</f>
        <v/>
      </c>
      <c r="T129">
        <f>HYPERLINK("https://klasma.github.io/Logging_0480/kartor/A 59329-2023 karta.png", "A 59329-2023")</f>
        <v/>
      </c>
      <c r="V129">
        <f>HYPERLINK("https://klasma.github.io/Logging_0480/klagomål/A 59329-2023 FSC-klagomål.docx", "A 59329-2023")</f>
        <v/>
      </c>
      <c r="W129">
        <f>HYPERLINK("https://klasma.github.io/Logging_0480/klagomålsmail/A 59329-2023 FSC-klagomål mail.docx", "A 59329-2023")</f>
        <v/>
      </c>
      <c r="X129">
        <f>HYPERLINK("https://klasma.github.io/Logging_0480/tillsyn/A 59329-2023 tillsynsbegäran.docx", "A 59329-2023")</f>
        <v/>
      </c>
      <c r="Y129">
        <f>HYPERLINK("https://klasma.github.io/Logging_0480/tillsynsmail/A 59329-2023 tillsynsbegäran mail.docx", "A 59329-2023")</f>
        <v/>
      </c>
    </row>
    <row r="130" ht="15" customHeight="1">
      <c r="A130" t="inlineStr">
        <is>
          <t>A 891-2024</t>
        </is>
      </c>
      <c r="B130" s="1" t="n">
        <v>45301</v>
      </c>
      <c r="C130" s="1" t="n">
        <v>45630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HYPERLINK("https://klasma.github.io/Logging_0480/artfynd/A 891-2024 artfynd.xlsx", "A 891-2024")</f>
        <v/>
      </c>
      <c r="T130">
        <f>HYPERLINK("https://klasma.github.io/Logging_0480/kartor/A 891-2024 karta.png", "A 891-2024")</f>
        <v/>
      </c>
      <c r="V130">
        <f>HYPERLINK("https://klasma.github.io/Logging_0480/klagomål/A 891-2024 FSC-klagomål.docx", "A 891-2024")</f>
        <v/>
      </c>
      <c r="W130">
        <f>HYPERLINK("https://klasma.github.io/Logging_0480/klagomålsmail/A 891-2024 FSC-klagomål mail.docx", "A 891-2024")</f>
        <v/>
      </c>
      <c r="X130">
        <f>HYPERLINK("https://klasma.github.io/Logging_0480/tillsyn/A 891-2024 tillsynsbegäran.docx", "A 891-2024")</f>
        <v/>
      </c>
      <c r="Y130">
        <f>HYPERLINK("https://klasma.github.io/Logging_0480/tillsynsmail/A 891-2024 tillsynsbegäran mail.docx", "A 891-2024")</f>
        <v/>
      </c>
    </row>
    <row r="131" ht="15" customHeight="1">
      <c r="A131" t="inlineStr">
        <is>
          <t>A 2902-2024</t>
        </is>
      </c>
      <c r="B131" s="1" t="n">
        <v>45315</v>
      </c>
      <c r="C131" s="1" t="n">
        <v>45630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3.7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Stubbspretmossa</t>
        </is>
      </c>
      <c r="S131">
        <f>HYPERLINK("https://klasma.github.io/Logging_0480/artfynd/A 2902-2024 artfynd.xlsx", "A 2902-2024")</f>
        <v/>
      </c>
      <c r="T131">
        <f>HYPERLINK("https://klasma.github.io/Logging_0480/kartor/A 2902-2024 karta.png", "A 2902-2024")</f>
        <v/>
      </c>
      <c r="V131">
        <f>HYPERLINK("https://klasma.github.io/Logging_0480/klagomål/A 2902-2024 FSC-klagomål.docx", "A 2902-2024")</f>
        <v/>
      </c>
      <c r="W131">
        <f>HYPERLINK("https://klasma.github.io/Logging_0480/klagomålsmail/A 2902-2024 FSC-klagomål mail.docx", "A 2902-2024")</f>
        <v/>
      </c>
      <c r="X131">
        <f>HYPERLINK("https://klasma.github.io/Logging_0480/tillsyn/A 2902-2024 tillsynsbegäran.docx", "A 2902-2024")</f>
        <v/>
      </c>
      <c r="Y131">
        <f>HYPERLINK("https://klasma.github.io/Logging_0480/tillsynsmail/A 2902-2024 tillsynsbegäran mail.docx", "A 2902-2024")</f>
        <v/>
      </c>
    </row>
    <row r="132" ht="15" customHeight="1">
      <c r="A132" t="inlineStr">
        <is>
          <t>A 4725-2024</t>
        </is>
      </c>
      <c r="B132" s="1" t="n">
        <v>45328</v>
      </c>
      <c r="C132" s="1" t="n">
        <v>45630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Plattsäv</t>
        </is>
      </c>
      <c r="S132">
        <f>HYPERLINK("https://klasma.github.io/Logging_0480/artfynd/A 4725-2024 artfynd.xlsx", "A 4725-2024")</f>
        <v/>
      </c>
      <c r="T132">
        <f>HYPERLINK("https://klasma.github.io/Logging_0480/kartor/A 4725-2024 karta.png", "A 4725-2024")</f>
        <v/>
      </c>
      <c r="V132">
        <f>HYPERLINK("https://klasma.github.io/Logging_0480/klagomål/A 4725-2024 FSC-klagomål.docx", "A 4725-2024")</f>
        <v/>
      </c>
      <c r="W132">
        <f>HYPERLINK("https://klasma.github.io/Logging_0480/klagomålsmail/A 4725-2024 FSC-klagomål mail.docx", "A 4725-2024")</f>
        <v/>
      </c>
      <c r="X132">
        <f>HYPERLINK("https://klasma.github.io/Logging_0480/tillsyn/A 4725-2024 tillsynsbegäran.docx", "A 4725-2024")</f>
        <v/>
      </c>
      <c r="Y132">
        <f>HYPERLINK("https://klasma.github.io/Logging_0480/tillsynsmail/A 4725-2024 tillsynsbegäran mail.docx", "A 4725-2024")</f>
        <v/>
      </c>
    </row>
    <row r="133" ht="15" customHeight="1">
      <c r="A133" t="inlineStr">
        <is>
          <t>A 9184-2024</t>
        </is>
      </c>
      <c r="B133" s="1" t="n">
        <v>45357</v>
      </c>
      <c r="C133" s="1" t="n">
        <v>45630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Raggtaggsvamp</t>
        </is>
      </c>
      <c r="S133">
        <f>HYPERLINK("https://klasma.github.io/Logging_0480/artfynd/A 9184-2024 artfynd.xlsx", "A 9184-2024")</f>
        <v/>
      </c>
      <c r="T133">
        <f>HYPERLINK("https://klasma.github.io/Logging_0480/kartor/A 9184-2024 karta.png", "A 9184-2024")</f>
        <v/>
      </c>
      <c r="V133">
        <f>HYPERLINK("https://klasma.github.io/Logging_0480/klagomål/A 9184-2024 FSC-klagomål.docx", "A 9184-2024")</f>
        <v/>
      </c>
      <c r="W133">
        <f>HYPERLINK("https://klasma.github.io/Logging_0480/klagomålsmail/A 9184-2024 FSC-klagomål mail.docx", "A 9184-2024")</f>
        <v/>
      </c>
      <c r="X133">
        <f>HYPERLINK("https://klasma.github.io/Logging_0480/tillsyn/A 9184-2024 tillsynsbegäran.docx", "A 9184-2024")</f>
        <v/>
      </c>
      <c r="Y133">
        <f>HYPERLINK("https://klasma.github.io/Logging_0480/tillsynsmail/A 9184-2024 tillsynsbegäran mail.docx", "A 9184-2024")</f>
        <v/>
      </c>
    </row>
    <row r="134" ht="15" customHeight="1">
      <c r="A134" t="inlineStr">
        <is>
          <t>A 13038-2024</t>
        </is>
      </c>
      <c r="B134" s="1" t="n">
        <v>45385</v>
      </c>
      <c r="C134" s="1" t="n">
        <v>45630</v>
      </c>
      <c r="D134" t="inlineStr">
        <is>
          <t>SÖDERMANLANDS LÄN</t>
        </is>
      </c>
      <c r="E134" t="inlineStr">
        <is>
          <t>NYKÖPING</t>
        </is>
      </c>
      <c r="G134" t="n">
        <v>3.8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13038-2024 artfynd.xlsx", "A 13038-2024")</f>
        <v/>
      </c>
      <c r="T134">
        <f>HYPERLINK("https://klasma.github.io/Logging_0480/kartor/A 13038-2024 karta.png", "A 13038-2024")</f>
        <v/>
      </c>
      <c r="U134">
        <f>HYPERLINK("https://klasma.github.io/Logging_0480/knärot/A 13038-2024 karta knärot.png", "A 13038-2024")</f>
        <v/>
      </c>
      <c r="V134">
        <f>HYPERLINK("https://klasma.github.io/Logging_0480/klagomål/A 13038-2024 FSC-klagomål.docx", "A 13038-2024")</f>
        <v/>
      </c>
      <c r="W134">
        <f>HYPERLINK("https://klasma.github.io/Logging_0480/klagomålsmail/A 13038-2024 FSC-klagomål mail.docx", "A 13038-2024")</f>
        <v/>
      </c>
      <c r="X134">
        <f>HYPERLINK("https://klasma.github.io/Logging_0480/tillsyn/A 13038-2024 tillsynsbegäran.docx", "A 13038-2024")</f>
        <v/>
      </c>
      <c r="Y134">
        <f>HYPERLINK("https://klasma.github.io/Logging_0480/tillsynsmail/A 13038-2024 tillsynsbegäran mail.docx", "A 13038-2024")</f>
        <v/>
      </c>
    </row>
    <row r="135" ht="15" customHeight="1">
      <c r="A135" t="inlineStr">
        <is>
          <t>A 13724-2024</t>
        </is>
      </c>
      <c r="B135" s="1" t="n">
        <v>45390</v>
      </c>
      <c r="C135" s="1" t="n">
        <v>45630</v>
      </c>
      <c r="D135" t="inlineStr">
        <is>
          <t>SÖDERMANLANDS LÄN</t>
        </is>
      </c>
      <c r="E135" t="inlineStr">
        <is>
          <t>NYKÖPING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HYPERLINK("https://klasma.github.io/Logging_0480/artfynd/A 13724-2024 artfynd.xlsx", "A 13724-2024")</f>
        <v/>
      </c>
      <c r="T135">
        <f>HYPERLINK("https://klasma.github.io/Logging_0480/kartor/A 13724-2024 karta.png", "A 13724-2024")</f>
        <v/>
      </c>
      <c r="V135">
        <f>HYPERLINK("https://klasma.github.io/Logging_0480/klagomål/A 13724-2024 FSC-klagomål.docx", "A 13724-2024")</f>
        <v/>
      </c>
      <c r="W135">
        <f>HYPERLINK("https://klasma.github.io/Logging_0480/klagomålsmail/A 13724-2024 FSC-klagomål mail.docx", "A 13724-2024")</f>
        <v/>
      </c>
      <c r="X135">
        <f>HYPERLINK("https://klasma.github.io/Logging_0480/tillsyn/A 13724-2024 tillsynsbegäran.docx", "A 13724-2024")</f>
        <v/>
      </c>
      <c r="Y135">
        <f>HYPERLINK("https://klasma.github.io/Logging_0480/tillsynsmail/A 13724-2024 tillsynsbegäran mail.docx", "A 13724-2024")</f>
        <v/>
      </c>
    </row>
    <row r="136" ht="15" customHeight="1">
      <c r="A136" t="inlineStr">
        <is>
          <t>A 13851-2024</t>
        </is>
      </c>
      <c r="B136" s="1" t="n">
        <v>45391</v>
      </c>
      <c r="C136" s="1" t="n">
        <v>45630</v>
      </c>
      <c r="D136" t="inlineStr">
        <is>
          <t>SÖDERMANLANDS LÄN</t>
        </is>
      </c>
      <c r="E136" t="inlineStr">
        <is>
          <t>NYKÖPING</t>
        </is>
      </c>
      <c r="G136" t="n">
        <v>15.8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HYPERLINK("https://klasma.github.io/Logging_0480/artfynd/A 13851-2024 artfynd.xlsx", "A 13851-2024")</f>
        <v/>
      </c>
      <c r="T136">
        <f>HYPERLINK("https://klasma.github.io/Logging_0480/kartor/A 13851-2024 karta.png", "A 13851-2024")</f>
        <v/>
      </c>
      <c r="V136">
        <f>HYPERLINK("https://klasma.github.io/Logging_0480/klagomål/A 13851-2024 FSC-klagomål.docx", "A 13851-2024")</f>
        <v/>
      </c>
      <c r="W136">
        <f>HYPERLINK("https://klasma.github.io/Logging_0480/klagomålsmail/A 13851-2024 FSC-klagomål mail.docx", "A 13851-2024")</f>
        <v/>
      </c>
      <c r="X136">
        <f>HYPERLINK("https://klasma.github.io/Logging_0480/tillsyn/A 13851-2024 tillsynsbegäran.docx", "A 13851-2024")</f>
        <v/>
      </c>
      <c r="Y136">
        <f>HYPERLINK("https://klasma.github.io/Logging_0480/tillsynsmail/A 13851-2024 tillsynsbegäran mail.docx", "A 13851-2024")</f>
        <v/>
      </c>
    </row>
    <row r="137" ht="15" customHeight="1">
      <c r="A137" t="inlineStr">
        <is>
          <t>A 21173-2024</t>
        </is>
      </c>
      <c r="B137" s="1" t="n">
        <v>45440</v>
      </c>
      <c r="C137" s="1" t="n">
        <v>45630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HYPERLINK("https://klasma.github.io/Logging_0480/artfynd/A 21173-2024 artfynd.xlsx", "A 21173-2024")</f>
        <v/>
      </c>
      <c r="T137">
        <f>HYPERLINK("https://klasma.github.io/Logging_0480/kartor/A 21173-2024 karta.png", "A 21173-2024")</f>
        <v/>
      </c>
      <c r="V137">
        <f>HYPERLINK("https://klasma.github.io/Logging_0480/klagomål/A 21173-2024 FSC-klagomål.docx", "A 21173-2024")</f>
        <v/>
      </c>
      <c r="W137">
        <f>HYPERLINK("https://klasma.github.io/Logging_0480/klagomålsmail/A 21173-2024 FSC-klagomål mail.docx", "A 21173-2024")</f>
        <v/>
      </c>
      <c r="X137">
        <f>HYPERLINK("https://klasma.github.io/Logging_0480/tillsyn/A 21173-2024 tillsynsbegäran.docx", "A 21173-2024")</f>
        <v/>
      </c>
      <c r="Y137">
        <f>HYPERLINK("https://klasma.github.io/Logging_0480/tillsynsmail/A 21173-2024 tillsynsbegäran mail.docx", "A 21173-2024")</f>
        <v/>
      </c>
    </row>
    <row r="138" ht="15" customHeight="1">
      <c r="A138" t="inlineStr">
        <is>
          <t>A 23913-2024</t>
        </is>
      </c>
      <c r="B138" s="1" t="n">
        <v>45455</v>
      </c>
      <c r="C138" s="1" t="n">
        <v>45630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Allmännings- och besparingsskogar</t>
        </is>
      </c>
      <c r="G138" t="n">
        <v>6.6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HYPERLINK("https://klasma.github.io/Logging_0480/artfynd/A 23913-2024 artfynd.xlsx", "A 23913-2024")</f>
        <v/>
      </c>
      <c r="T138">
        <f>HYPERLINK("https://klasma.github.io/Logging_0480/kartor/A 23913-2024 karta.png", "A 23913-2024")</f>
        <v/>
      </c>
      <c r="V138">
        <f>HYPERLINK("https://klasma.github.io/Logging_0480/klagomål/A 23913-2024 FSC-klagomål.docx", "A 23913-2024")</f>
        <v/>
      </c>
      <c r="W138">
        <f>HYPERLINK("https://klasma.github.io/Logging_0480/klagomålsmail/A 23913-2024 FSC-klagomål mail.docx", "A 23913-2024")</f>
        <v/>
      </c>
      <c r="X138">
        <f>HYPERLINK("https://klasma.github.io/Logging_0480/tillsyn/A 23913-2024 tillsynsbegäran.docx", "A 23913-2024")</f>
        <v/>
      </c>
      <c r="Y138">
        <f>HYPERLINK("https://klasma.github.io/Logging_0480/tillsynsmail/A 23913-2024 tillsynsbegäran mail.docx", "A 23913-2024")</f>
        <v/>
      </c>
    </row>
    <row r="139" ht="15" customHeight="1">
      <c r="A139" t="inlineStr">
        <is>
          <t>A 29797-2024</t>
        </is>
      </c>
      <c r="B139" s="1" t="n">
        <v>45485</v>
      </c>
      <c r="C139" s="1" t="n">
        <v>45630</v>
      </c>
      <c r="D139" t="inlineStr">
        <is>
          <t>SÖDERMANLANDS LÄN</t>
        </is>
      </c>
      <c r="E139" t="inlineStr">
        <is>
          <t>NYKÖPING</t>
        </is>
      </c>
      <c r="G139" t="n">
        <v>22.2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Större vattensalamander</t>
        </is>
      </c>
      <c r="S139">
        <f>HYPERLINK("https://klasma.github.io/Logging_0480/artfynd/A 29797-2024 artfynd.xlsx", "A 29797-2024")</f>
        <v/>
      </c>
      <c r="T139">
        <f>HYPERLINK("https://klasma.github.io/Logging_0480/kartor/A 29797-2024 karta.png", "A 29797-2024")</f>
        <v/>
      </c>
      <c r="V139">
        <f>HYPERLINK("https://klasma.github.io/Logging_0480/klagomål/A 29797-2024 FSC-klagomål.docx", "A 29797-2024")</f>
        <v/>
      </c>
      <c r="W139">
        <f>HYPERLINK("https://klasma.github.io/Logging_0480/klagomålsmail/A 29797-2024 FSC-klagomål mail.docx", "A 29797-2024")</f>
        <v/>
      </c>
      <c r="X139">
        <f>HYPERLINK("https://klasma.github.io/Logging_0480/tillsyn/A 29797-2024 tillsynsbegäran.docx", "A 29797-2024")</f>
        <v/>
      </c>
      <c r="Y139">
        <f>HYPERLINK("https://klasma.github.io/Logging_0480/tillsynsmail/A 29797-2024 tillsynsbegäran mail.docx", "A 29797-2024")</f>
        <v/>
      </c>
    </row>
    <row r="140" ht="15" customHeight="1">
      <c r="A140" t="inlineStr">
        <is>
          <t>A 45459-2024</t>
        </is>
      </c>
      <c r="B140" s="1" t="n">
        <v>45576</v>
      </c>
      <c r="C140" s="1" t="n">
        <v>45630</v>
      </c>
      <c r="D140" t="inlineStr">
        <is>
          <t>SÖDERMANLANDS LÄN</t>
        </is>
      </c>
      <c r="E140" t="inlineStr">
        <is>
          <t>NYKÖPING</t>
        </is>
      </c>
      <c r="G140" t="n">
        <v>11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HYPERLINK("https://klasma.github.io/Logging_0480/artfynd/A 45459-2024 artfynd.xlsx", "A 45459-2024")</f>
        <v/>
      </c>
      <c r="T140">
        <f>HYPERLINK("https://klasma.github.io/Logging_0480/kartor/A 45459-2024 karta.png", "A 45459-2024")</f>
        <v/>
      </c>
      <c r="V140">
        <f>HYPERLINK("https://klasma.github.io/Logging_0480/klagomål/A 45459-2024 FSC-klagomål.docx", "A 45459-2024")</f>
        <v/>
      </c>
      <c r="W140">
        <f>HYPERLINK("https://klasma.github.io/Logging_0480/klagomålsmail/A 45459-2024 FSC-klagomål mail.docx", "A 45459-2024")</f>
        <v/>
      </c>
      <c r="X140">
        <f>HYPERLINK("https://klasma.github.io/Logging_0480/tillsyn/A 45459-2024 tillsynsbegäran.docx", "A 45459-2024")</f>
        <v/>
      </c>
      <c r="Y140">
        <f>HYPERLINK("https://klasma.github.io/Logging_0480/tillsynsmail/A 45459-2024 tillsynsbegäran mail.docx", "A 45459-2024")</f>
        <v/>
      </c>
    </row>
    <row r="141" ht="15" customHeight="1">
      <c r="A141" t="inlineStr">
        <is>
          <t>A 51258-2024</t>
        </is>
      </c>
      <c r="B141" s="1" t="n">
        <v>45603</v>
      </c>
      <c r="C141" s="1" t="n">
        <v>45630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Sveaskog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HYPERLINK("https://klasma.github.io/Logging_0480/artfynd/A 51258-2024 artfynd.xlsx", "A 51258-2024")</f>
        <v/>
      </c>
      <c r="T141">
        <f>HYPERLINK("https://klasma.github.io/Logging_0480/kartor/A 51258-2024 karta.png", "A 51258-2024")</f>
        <v/>
      </c>
      <c r="V141">
        <f>HYPERLINK("https://klasma.github.io/Logging_0480/klagomål/A 51258-2024 FSC-klagomål.docx", "A 51258-2024")</f>
        <v/>
      </c>
      <c r="W141">
        <f>HYPERLINK("https://klasma.github.io/Logging_0480/klagomålsmail/A 51258-2024 FSC-klagomål mail.docx", "A 51258-2024")</f>
        <v/>
      </c>
      <c r="X141">
        <f>HYPERLINK("https://klasma.github.io/Logging_0480/tillsyn/A 51258-2024 tillsynsbegäran.docx", "A 51258-2024")</f>
        <v/>
      </c>
      <c r="Y141">
        <f>HYPERLINK("https://klasma.github.io/Logging_0480/tillsynsmail/A 51258-2024 tillsynsbegäran mail.docx", "A 51258-2024")</f>
        <v/>
      </c>
    </row>
    <row r="142" ht="15" customHeight="1">
      <c r="A142" t="inlineStr">
        <is>
          <t>A 52594-2024</t>
        </is>
      </c>
      <c r="B142" s="1" t="n">
        <v>45609</v>
      </c>
      <c r="C142" s="1" t="n">
        <v>45630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HYPERLINK("https://klasma.github.io/Logging_0480/artfynd/A 52594-2024 artfynd.xlsx", "A 52594-2024")</f>
        <v/>
      </c>
      <c r="T142">
        <f>HYPERLINK("https://klasma.github.io/Logging_0480/kartor/A 52594-2024 karta.png", "A 52594-2024")</f>
        <v/>
      </c>
      <c r="V142">
        <f>HYPERLINK("https://klasma.github.io/Logging_0480/klagomål/A 52594-2024 FSC-klagomål.docx", "A 52594-2024")</f>
        <v/>
      </c>
      <c r="W142">
        <f>HYPERLINK("https://klasma.github.io/Logging_0480/klagomålsmail/A 52594-2024 FSC-klagomål mail.docx", "A 52594-2024")</f>
        <v/>
      </c>
      <c r="X142">
        <f>HYPERLINK("https://klasma.github.io/Logging_0480/tillsyn/A 52594-2024 tillsynsbegäran.docx", "A 52594-2024")</f>
        <v/>
      </c>
      <c r="Y142">
        <f>HYPERLINK("https://klasma.github.io/Logging_0480/tillsynsmail/A 52594-2024 tillsynsbegäran mail.docx", "A 52594-2024")</f>
        <v/>
      </c>
    </row>
    <row r="143" ht="15" customHeight="1">
      <c r="A143" t="inlineStr">
        <is>
          <t>A 56113-2024</t>
        </is>
      </c>
      <c r="B143" s="1" t="n">
        <v>45624</v>
      </c>
      <c r="C143" s="1" t="n">
        <v>45630</v>
      </c>
      <c r="D143" t="inlineStr">
        <is>
          <t>SÖDERMANLANDS LÄN</t>
        </is>
      </c>
      <c r="E143" t="inlineStr">
        <is>
          <t>NYKÖPING</t>
        </is>
      </c>
      <c r="G143" t="n">
        <v>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Hasselticka</t>
        </is>
      </c>
      <c r="S143">
        <f>HYPERLINK("https://klasma.github.io/Logging_0480/artfynd/A 56113-2024 artfynd.xlsx", "A 56113-2024")</f>
        <v/>
      </c>
      <c r="T143">
        <f>HYPERLINK("https://klasma.github.io/Logging_0480/kartor/A 56113-2024 karta.png", "A 56113-2024")</f>
        <v/>
      </c>
      <c r="V143">
        <f>HYPERLINK("https://klasma.github.io/Logging_0480/klagomål/A 56113-2024 FSC-klagomål.docx", "A 56113-2024")</f>
        <v/>
      </c>
      <c r="W143">
        <f>HYPERLINK("https://klasma.github.io/Logging_0480/klagomålsmail/A 56113-2024 FSC-klagomål mail.docx", "A 56113-2024")</f>
        <v/>
      </c>
      <c r="X143">
        <f>HYPERLINK("https://klasma.github.io/Logging_0480/tillsyn/A 56113-2024 tillsynsbegäran.docx", "A 56113-2024")</f>
        <v/>
      </c>
      <c r="Y143">
        <f>HYPERLINK("https://klasma.github.io/Logging_0480/tillsynsmail/A 56113-2024 tillsynsbegäran mail.docx", "A 56113-2024")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45630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45630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45630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45630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45630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45630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45630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45630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45630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45630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45630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45630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45630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45630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45630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45630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45630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45630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45630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45630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45630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45630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45630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45630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45630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45630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45630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45630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45630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45630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45630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45630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45630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45630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45630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45630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45630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45630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45630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45630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45630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45630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45630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45630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45630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45630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45630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45630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45630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45630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45630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45630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45630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45630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45630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45630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45630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45630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45630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45630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45630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45630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45630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45630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45630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45630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45630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45630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45630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45630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45630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45630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45630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45630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45630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45630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45630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45630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45630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45630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45630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45630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45630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45630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45630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45630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45630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45630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45630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45630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45630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45630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45630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45630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45630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45630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45630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45630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45630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45630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45630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45630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45630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45630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45630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45630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45630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45630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45630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45630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45630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45630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45630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45630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45630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45630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45630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45630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45630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45630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45630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45630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45630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45630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45630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45630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45630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45630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45630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45630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45630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45630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45630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45630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45630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45630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45630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45630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45630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45630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45630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45630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45630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45630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45630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45630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45630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45630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45630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45630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45630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45630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45630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45630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45630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45630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45630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45630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45630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45630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45630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45630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45630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45630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45630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45630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45630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45630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45630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45630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45630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45630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45630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45630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45630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45630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45630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45630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45630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45630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45630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45630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45630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45630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45630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45630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45630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45630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45630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45630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45630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45630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45630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45630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45630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45630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45630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45630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45630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45630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45630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45630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45630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45630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45630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45630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45630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45630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45630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45630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45630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45630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45630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45630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45630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45630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45630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45630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45630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45630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45630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45630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45630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45630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45630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45630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45630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45630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45630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45630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45630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45630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45630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45630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45630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45630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45630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45630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45630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45630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45630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45630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45630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45630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45630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45630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45630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45630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45630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45630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45630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45630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45630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45630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45630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45630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45630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45630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45630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45630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45630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45630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45630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45630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45630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45630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45630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45630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45630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45630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45630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45630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45630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45630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45630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45630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45630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45630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45630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45630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45630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45630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45630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45630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45630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45630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45630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45630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45630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45630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45630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45630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45630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45630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45630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45630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45630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45630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45630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45630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45630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45630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45630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45630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45630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45630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45630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45630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45630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45630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45630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45630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45630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45630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45630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45630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45630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45630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45630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45630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45630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45630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45630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45630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45630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45630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45630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45630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45630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45630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45630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45630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45630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45630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45630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45630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45630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45630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45630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45630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45630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45630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45630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45630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45630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45630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45630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45630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45630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45630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45630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45630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45630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45630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45630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45630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45630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45630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45630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45630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45630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45630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45630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45630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45630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45630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45630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45630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45630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45630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45630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45630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45630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45630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45630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45630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45630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45630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45630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45630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45630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45630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45630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45630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45630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45630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45630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45630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45630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45630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45630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45630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45630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45630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45630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45630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45630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45630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45630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45630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45630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45630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45630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45630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45630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45630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45630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45630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45630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45630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45630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45630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45630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45630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45630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45630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45630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45630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45630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45630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45630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45630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45630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45630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45630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45630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45630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45630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45630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45630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45630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45630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45630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45630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45630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45630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45630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45630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45630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45630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45630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45630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45630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45630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45630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45630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45630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45630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45630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45630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45630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45630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45630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45630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45630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45630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45630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45630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45630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45630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45630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45630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45630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45630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45630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45630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45630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45630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45630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45630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45630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45630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45630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45630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45630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45630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45630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45630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45630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45630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45630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45630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45630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45630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45630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45630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45630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45630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45630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45630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45630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45630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45630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45630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45630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45630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45630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45630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45630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45630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45630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45630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45630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45630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45630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45630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45630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45630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45630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45630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45630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45630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45630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45630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45630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45630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45630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45630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45630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45630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45630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45630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45630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45630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45630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45630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45630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45630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45630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45630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45630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45630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45630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45630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45630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45630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45630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45630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45630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45630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45630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45630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45630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45630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45630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45630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45630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45630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45630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45630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45630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45630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45630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45630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45630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45630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45630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45630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45630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45630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45630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45630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45630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45630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45630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45630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45630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45630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45630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45630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45630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45630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45630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45630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45630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45630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45630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45630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45630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45630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45630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45630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45630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45630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45630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45630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45630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45630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45630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45630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45630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45630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45630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45630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45630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45630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45630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45630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45630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45630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45630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45630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45630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45630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45630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45630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45630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45630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45630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45630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45630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45630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45630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45630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45630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45630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45630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45630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45630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45630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45630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45630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45630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45630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45630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45630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45630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45630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45630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45630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45630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45630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45630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45630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45630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45630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45630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45630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45630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45630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45630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45630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45630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45630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45630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45630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45630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45630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45630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45630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45630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45630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45630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45630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45630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45630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45630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45630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45630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45630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45630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45630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45630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45630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45630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45630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45630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45630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45630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45630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45630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45630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45630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45630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45630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45630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45630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45630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45630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45630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45630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45630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45630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45630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45630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45630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45630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45630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45630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45630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45630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45630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45630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45630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45630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45630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45630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45630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45630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45630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45630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45630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45630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45630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45630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45630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45630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45630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45630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45630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45630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45630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45630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45630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45630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45630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45630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45630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45630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45630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45630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45630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45630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45630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45630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45630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45630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45630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45630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45630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45630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45630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45630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45630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45630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45630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45630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45630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45630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45630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45630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45630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45630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45630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45630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45630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45630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45630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45630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45630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45630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45630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45630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45630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45630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45630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45630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45630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45630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45630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45630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45630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45630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45630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45630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45630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45630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45630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45630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45630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45630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45630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45630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45630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45630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45630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45630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45630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45630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45630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45630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45630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45630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45630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45630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45630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45630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45630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45630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45630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45630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45630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45630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45630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45630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45630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45630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45630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45630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45630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45630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45630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45630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45630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45630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45630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45630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45630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45630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45630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45630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45630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45630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45630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45630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45630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45630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45630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45630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45630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45630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45630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45630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45630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45630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45630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45630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45630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45630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45630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45630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45630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45630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45630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45630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45630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45630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45630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45630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45630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45630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45630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45630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45630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45630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45630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45630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45630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45630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45630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45630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45630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45630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45630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45630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45630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45630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45630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45630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45630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45630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45630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45630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45630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45630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45630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45630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45630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45630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45630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45630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45630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45630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45630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45630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45630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45630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45630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45630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45630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45630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45630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45630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45630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45630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45630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45630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45630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45630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45630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45630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45630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45630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45630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45630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45630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45630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45630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45630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45630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45630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45630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45630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45630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45630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45630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45630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45630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45630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45630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45630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45630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45630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45630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45630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45630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45630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45630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45630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45630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45630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45630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45630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45630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45630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45630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45630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45630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45630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45630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45630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45630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45630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45630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45630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45630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45630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45630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45630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45630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45630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45630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45630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45630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45630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45630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45630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45630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45630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45630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45630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45630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45630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45630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45630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45630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45630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45630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45630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45630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45630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45630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45630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45630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45630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45630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45630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45630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45630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45630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45630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45630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45630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45630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45630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45630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45630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45630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45630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45630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45630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45630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45630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45630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45630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45630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45630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45630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45630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45630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45630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45630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45630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45630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45630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45630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45630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45630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45630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45630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45630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45630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45630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45630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45630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45630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45630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45630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45630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45630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45630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45630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45630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45630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45630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45630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45630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45630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45630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45630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45630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45630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45630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45630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45630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45630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45630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45630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45630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45630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45630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45630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45630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45630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45630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45630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45630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45630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45630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45630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45630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45630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45630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45630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45630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45630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45630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45630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45630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45630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45630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45630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45630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45630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45630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45630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45630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45630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45630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45630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45630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45630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45630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45630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45630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45630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45630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45630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45630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45630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45630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45630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45630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45630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45630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45630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45630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45630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45630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45630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45630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45630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45630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45630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45630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45630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45630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45630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45630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45630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45630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45630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45630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45630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45630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45630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45630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45630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45630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45630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45630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45630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45630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45630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45630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45630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45630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45630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45630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45630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45630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45630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45630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45630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45630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45630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45630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45630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45630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45630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45630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45630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45630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45630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45630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45630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45630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45630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45630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45630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45630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45630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45630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45630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45630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45630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45630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45630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45630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45630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45630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45630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45630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45630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45630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45630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45630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45630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45630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45630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45630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45630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45630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45630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45630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45630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45630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45630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45630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45630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45630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45630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45630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45630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45630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45630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45630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45630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45630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45630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45630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45630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45630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45630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45630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45630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45630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45630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45630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45630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45630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45630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45630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45630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45630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45630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45630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45630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45630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45630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45630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45630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45630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45630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45630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45630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45630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45630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45630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45630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45630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45630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45630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45630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45630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45630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45630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45630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45630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45630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45630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45630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45630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45630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45630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45630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45630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45630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45630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45630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45630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45630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45630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45630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45630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45630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45630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45630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45630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45630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45630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45630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45630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45630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45630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45630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45630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45630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45630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45630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45630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45630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45630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45630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45630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45630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45630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45630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45630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45630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45630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45630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45630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45630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45630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45630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45630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45630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45630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45630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45630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45630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45630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45630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45630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45630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45630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45630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45630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45630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45630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45630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45630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45630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45630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45630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45630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45630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45630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45630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45630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45630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45630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45630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45630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45630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45630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45630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45630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45630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45630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45630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45630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45630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45630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45630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45630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45630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45630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45630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45630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45630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45630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45630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45630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45630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45630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45630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45630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45630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45630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45630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45630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45630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45630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45630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45630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45630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45630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45630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45630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45630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45630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45630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45630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45630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45630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45630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45630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45630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45630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45630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45630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45630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45630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45630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45630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45630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45630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45630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45630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45630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45630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45630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45630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45630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45630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45630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45630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45630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45630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45630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45630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45630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45630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45630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45630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45630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45630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45630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45630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45630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45630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45630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45630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45630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45630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45630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45630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45630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45630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45630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45630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45630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45630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45630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45630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45630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45630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45630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45630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45630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45630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45630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45630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45630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45630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45630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45630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45630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45630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45630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45630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45630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45630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45630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45630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45630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45630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45630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45630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45630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45630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45630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45630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45630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45630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45630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45630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45630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45630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45630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45630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45630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45630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45630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45630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45630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45630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45630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45630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45630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45630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45630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45630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45630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45630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45630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45630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45630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45630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45630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45630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45630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45630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45630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45630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45630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45630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45630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45630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45630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45630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45630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45630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45630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45630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45630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45630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45630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45630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45630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45630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45630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45630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45630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45630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45630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45630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45630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45630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45630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45630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45630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45630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45630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45630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45630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45630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45630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45630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45630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45630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45630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45630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45630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45630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45630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45630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45630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45630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45630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45630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45630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45630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45630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45630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45630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45630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45630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45630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45630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45630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45630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45630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45630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45630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45630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45630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45630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45630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45630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45630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45630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45630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45630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45630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45630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45630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45630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45630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45630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45630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45630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45630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45630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45630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45630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45630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45630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51210-2024</t>
        </is>
      </c>
      <c r="B1664" s="1" t="n">
        <v>45603</v>
      </c>
      <c r="C1664" s="1" t="n">
        <v>45630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45630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45630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45630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51214-2024</t>
        </is>
      </c>
      <c r="B1669" s="1" t="n">
        <v>45603</v>
      </c>
      <c r="C1669" s="1" t="n">
        <v>45630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51233-2024</t>
        </is>
      </c>
      <c r="B1670" s="1" t="n">
        <v>45603</v>
      </c>
      <c r="C1670" s="1" t="n">
        <v>45630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51251-2024</t>
        </is>
      </c>
      <c r="B1671" s="1" t="n">
        <v>45603</v>
      </c>
      <c r="C1671" s="1" t="n">
        <v>45630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51255-2024</t>
        </is>
      </c>
      <c r="B1672" s="1" t="n">
        <v>45603</v>
      </c>
      <c r="C1672" s="1" t="n">
        <v>45630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51259-2024</t>
        </is>
      </c>
      <c r="B1673" s="1" t="n">
        <v>45603</v>
      </c>
      <c r="C1673" s="1" t="n">
        <v>45630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51244-2024</t>
        </is>
      </c>
      <c r="B1674" s="1" t="n">
        <v>45603</v>
      </c>
      <c r="C1674" s="1" t="n">
        <v>45630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51253-2024</t>
        </is>
      </c>
      <c r="B1675" s="1" t="n">
        <v>45603</v>
      </c>
      <c r="C1675" s="1" t="n">
        <v>45630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51257-2024</t>
        </is>
      </c>
      <c r="B1676" s="1" t="n">
        <v>45603</v>
      </c>
      <c r="C1676" s="1" t="n">
        <v>45630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51243-2024</t>
        </is>
      </c>
      <c r="B1677" s="1" t="n">
        <v>45603</v>
      </c>
      <c r="C1677" s="1" t="n">
        <v>45630</v>
      </c>
      <c r="D1677" t="inlineStr">
        <is>
          <t>SÖDERMANLANDS LÄN</t>
        </is>
      </c>
      <c r="E1677" t="inlineStr">
        <is>
          <t>NYKÖPING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45630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45630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51249-2024</t>
        </is>
      </c>
      <c r="B1680" s="1" t="n">
        <v>45603</v>
      </c>
      <c r="C1680" s="1" t="n">
        <v>45630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51254-2024</t>
        </is>
      </c>
      <c r="B1681" s="1" t="n">
        <v>45603</v>
      </c>
      <c r="C1681" s="1" t="n">
        <v>45630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51556-2024</t>
        </is>
      </c>
      <c r="B1682" s="1" t="n">
        <v>45604</v>
      </c>
      <c r="C1682" s="1" t="n">
        <v>45630</v>
      </c>
      <c r="D1682" t="inlineStr">
        <is>
          <t>SÖDERMANLANDS LÄN</t>
        </is>
      </c>
      <c r="E1682" t="inlineStr">
        <is>
          <t>NYKÖPING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51560-2024</t>
        </is>
      </c>
      <c r="B1683" s="1" t="n">
        <v>45604</v>
      </c>
      <c r="C1683" s="1" t="n">
        <v>45630</v>
      </c>
      <c r="D1683" t="inlineStr">
        <is>
          <t>SÖDERMANLANDS LÄN</t>
        </is>
      </c>
      <c r="E1683" t="inlineStr">
        <is>
          <t>NYKÖPING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45630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45630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45630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45630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45630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45630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45630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45630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45630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57026-2024</t>
        </is>
      </c>
      <c r="B1696" s="1" t="n">
        <v>45628</v>
      </c>
      <c r="C1696" s="1" t="n">
        <v>45630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2024-12-04T15:09:57Z</dcterms:created>
  <dcterms:modified xmlns:dcterms="http://purl.org/dc/terms/" xmlns:xsi="http://www.w3.org/2001/XMLSchema-instance" xsi:type="dcterms:W3CDTF">2024-12-04T15:09:59Z</dcterms:modified>
</cp:coreProperties>
</file>