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50065-2025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45943</v>
      </c>
      <c r="E2" s="1" t="n">
        <v>46307</v>
      </c>
      <c r="F2" t="inlineStr">
        <is>
          <t>SÖDERMANLANDS LÄN</t>
        </is>
      </c>
      <c r="G2" t="inlineStr">
        <is>
          <t>NYKÖPING</t>
        </is>
      </c>
      <c r="H2" t="inlineStr">
        <is>
          <t>Holmen skog AB</t>
        </is>
      </c>
      <c r="I2" t="n">
        <v>11.7</v>
      </c>
      <c r="J2" t="n">
        <v>1</v>
      </c>
      <c r="K2" t="n">
        <v>5</v>
      </c>
      <c r="L2" t="n">
        <v>5</v>
      </c>
      <c r="M2" t="n">
        <v>3</v>
      </c>
      <c r="N2" t="n">
        <v>0</v>
      </c>
      <c r="O2" t="n">
        <v>0</v>
      </c>
      <c r="P2" t="n">
        <v>0</v>
      </c>
      <c r="Q2" t="n">
        <v>8</v>
      </c>
      <c r="R2" t="n">
        <v>3</v>
      </c>
      <c r="S2" t="n">
        <v>13</v>
      </c>
      <c r="T2" t="n">
        <v>38</v>
      </c>
      <c r="U2" t="n">
        <v>3</v>
      </c>
      <c r="V2" s="2" t="inlineStr">
        <is>
          <t>Knärot
Lammticka
Skrovlig taggsvamp
Dropptaggsvamp
Grantaggsvamp
Motaggsvamp
Skarp dropptaggsvamp
Svartvit taggsvamp
Blomkålssvamp
Bronshjon
Grönpyrola
Mindre märgborre
Zontaggsvamp</t>
        </is>
      </c>
      <c r="W2">
        <f>HYPERLINK("https://klasma.github.io/Logging_0480/artfynd/A 50065-2025 artfynd.xlsx", "A 50065-2025")</f>
        <v/>
      </c>
      <c r="X2">
        <f>HYPERLINK("https://klasma.github.io/Logging_0480/kartor/A 50065-2025 karta.png", "A 50065-2025")</f>
        <v/>
      </c>
      <c r="Y2">
        <f>HYPERLINK("https://klasma.github.io/Logging_0480/kartor_geotiff/A 50065-2025 georefererad karta.tif", "A 50065-2025")</f>
        <v/>
      </c>
      <c r="Z2">
        <f>HYPERLINK("https://klasma.github.io/Logging_0480/knärot/A 50065-2025 karta knärot.png", "A 50065-2025")</f>
        <v/>
      </c>
      <c r="AA2">
        <f>HYPERLINK("https://klasma.github.io/Logging_0480/klagomål/A 50065-2025 FSC-klagomål.docx", "A 50065-2025")</f>
        <v/>
      </c>
      <c r="AB2">
        <f>HYPERLINK("https://klasma.github.io/Logging_0480/klagomålsmail/A 50065-2025 FSC-klagomål mail.docx", "A 50065-2025")</f>
        <v/>
      </c>
      <c r="AC2">
        <f>HYPERLINK("https://klasma.github.io/Logging_0480/tillsyn/A 50065-2025 tillsynsbegäran.docx", "A 50065-2025")</f>
        <v/>
      </c>
      <c r="AD2">
        <f>HYPERLINK("https://klasma.github.io/Logging_0480/tillsynsmail/A 50065-2025 tillsynsbegäran mail.docx", "A 50065-2025")</f>
        <v/>
      </c>
    </row>
    <row r="3" ht="15" customHeight="1">
      <c r="A3" t="inlineStr">
        <is>
          <t>A 37422-2024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45540</v>
      </c>
      <c r="E3" s="1" t="n">
        <v>46307</v>
      </c>
      <c r="F3" t="inlineStr">
        <is>
          <t>SÖDERMANLANDS LÄN</t>
        </is>
      </c>
      <c r="G3" t="inlineStr">
        <is>
          <t>NYKÖPING</t>
        </is>
      </c>
      <c r="H3" t="inlineStr">
        <is>
          <t>Holmen skog AB</t>
        </is>
      </c>
      <c r="I3" t="n">
        <v>12.4</v>
      </c>
      <c r="J3" t="n">
        <v>4</v>
      </c>
      <c r="K3" t="n">
        <v>6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12</v>
      </c>
      <c r="T3" t="n">
        <v>21</v>
      </c>
      <c r="U3" t="n">
        <v>21</v>
      </c>
      <c r="V3" s="2" t="inlineStr">
        <is>
          <t>Dropptaggsvamp
Motaggsvamp
Talltita
Blomkålssvamp
Blåmossa
Granbarkgnagare
Grovticka
Vågbandad barkbock
Zontaggsvamp
Mattlummer
Spillkråka
Vanlig groda</t>
        </is>
      </c>
      <c r="W3">
        <f>HYPERLINK("https://klasma.github.io/Logging_0480/artfynd/A 37422-2024 artfynd.xlsx", "A 37422-2024")</f>
        <v/>
      </c>
      <c r="X3">
        <f>HYPERLINK("https://klasma.github.io/Logging_0480/kartor/A 37422-2024 karta.png", "A 37422-2024")</f>
        <v/>
      </c>
      <c r="Y3">
        <f>HYPERLINK("https://klasma.github.io/Logging_0480/kartor_geotiff/A 37422-2024 georefererad karta.tif", "A 37422-2024")</f>
        <v/>
      </c>
      <c r="AA3">
        <f>HYPERLINK("https://klasma.github.io/Logging_0480/klagomål/A 37422-2024 FSC-klagomål.docx", "A 37422-2024")</f>
        <v/>
      </c>
      <c r="AB3">
        <f>HYPERLINK("https://klasma.github.io/Logging_0480/klagomålsmail/A 37422-2024 FSC-klagomål mail.docx", "A 37422-2024")</f>
        <v/>
      </c>
      <c r="AC3">
        <f>HYPERLINK("https://klasma.github.io/Logging_0480/tillsyn/A 37422-2024 tillsynsbegäran.docx", "A 37422-2024")</f>
        <v/>
      </c>
      <c r="AD3">
        <f>HYPERLINK("https://klasma.github.io/Logging_0480/tillsynsmail/A 37422-2024 tillsynsbegäran mail.docx", "A 37422-2024")</f>
        <v/>
      </c>
      <c r="AE3">
        <f>HYPERLINK("https://klasma.github.io/Logging_0480/fåglar/A 37422-2024 prioriterade fågelarter.docx", "A 37422-2024")</f>
        <v/>
      </c>
    </row>
    <row r="4" ht="15" customHeight="1">
      <c r="A4" t="inlineStr">
        <is>
          <t>A 52020-2025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45952</v>
      </c>
      <c r="E4" s="1" t="n">
        <v>46307</v>
      </c>
      <c r="F4" t="inlineStr">
        <is>
          <t>SÖDERMANLANDS LÄN</t>
        </is>
      </c>
      <c r="G4" t="inlineStr">
        <is>
          <t>NYKÖPING</t>
        </is>
      </c>
      <c r="H4" t="inlineStr">
        <is>
          <t>Holmen skog AB</t>
        </is>
      </c>
      <c r="I4" t="n">
        <v>13.5</v>
      </c>
      <c r="J4" t="n">
        <v>1</v>
      </c>
      <c r="K4" t="n">
        <v>4</v>
      </c>
      <c r="L4" t="n">
        <v>6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10</v>
      </c>
      <c r="T4" t="n">
        <v>11</v>
      </c>
      <c r="U4" t="n">
        <v>7</v>
      </c>
      <c r="V4" s="2" t="inlineStr">
        <is>
          <t>Dropptaggsvamp
Motaggsvamp
Svartvit taggsvamp
Tallticka
Talltita
Vedskivlav
Blåmossa
Grönpyrola
Klippfrullania
Stor revmossa</t>
        </is>
      </c>
      <c r="W4">
        <f>HYPERLINK("https://klasma.github.io/Logging_0480/artfynd/A 52020-2025 artfynd.xlsx", "A 52020-2025")</f>
        <v/>
      </c>
      <c r="X4">
        <f>HYPERLINK("https://klasma.github.io/Logging_0480/kartor/A 52020-2025 karta.png", "A 52020-2025")</f>
        <v/>
      </c>
      <c r="Y4">
        <f>HYPERLINK("https://klasma.github.io/Logging_0480/kartor_geotiff/A 52020-2025 georefererad karta.tif", "A 52020-2025")</f>
        <v/>
      </c>
      <c r="AA4">
        <f>HYPERLINK("https://klasma.github.io/Logging_0480/klagomål/A 52020-2025 FSC-klagomål.docx", "A 52020-2025")</f>
        <v/>
      </c>
      <c r="AB4">
        <f>HYPERLINK("https://klasma.github.io/Logging_0480/klagomålsmail/A 52020-2025 FSC-klagomål mail.docx", "A 52020-2025")</f>
        <v/>
      </c>
      <c r="AC4">
        <f>HYPERLINK("https://klasma.github.io/Logging_0480/tillsyn/A 52020-2025 tillsynsbegäran.docx", "A 52020-2025")</f>
        <v/>
      </c>
      <c r="AD4">
        <f>HYPERLINK("https://klasma.github.io/Logging_0480/tillsynsmail/A 52020-2025 tillsynsbegäran mail.docx", "A 52020-2025")</f>
        <v/>
      </c>
      <c r="AE4">
        <f>HYPERLINK("https://klasma.github.io/Logging_0480/fåglar/A 52020-2025 prioriterade fågelarter.docx", "A 52020-2025")</f>
        <v/>
      </c>
    </row>
    <row r="5" ht="15" customHeight="1">
      <c r="A5" t="inlineStr">
        <is>
          <t>S 4518-2023</t>
        </is>
      </c>
      <c r="B5" t="inlineStr">
        <is>
          <t>samrådsanmälan</t>
        </is>
      </c>
      <c r="C5" t="inlineStr">
        <is>
          <t>Skogsgödsling</t>
        </is>
      </c>
      <c r="D5" s="1" t="n">
        <v>45275</v>
      </c>
      <c r="E5" s="1" t="n">
        <v>46307</v>
      </c>
      <c r="F5" t="inlineStr">
        <is>
          <t>SÖDERMANLANDS LÄN</t>
        </is>
      </c>
      <c r="G5" t="inlineStr">
        <is>
          <t>NYKÖPING</t>
        </is>
      </c>
      <c r="H5" t="inlineStr">
        <is>
          <t>Holmen skog AB</t>
        </is>
      </c>
      <c r="I5" t="n">
        <v>99.59999999999999</v>
      </c>
      <c r="J5" t="n">
        <v>10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n">
        <v>10</v>
      </c>
      <c r="T5" t="n">
        <v>17</v>
      </c>
      <c r="U5" t="n">
        <v>8</v>
      </c>
      <c r="V5" s="2" t="inlineStr">
        <is>
          <t>Knärot
Gulsparv
Hårklomossa
Mattlummer
Spillkråka
Tjäder
Gröngöling
Kråka
Kungsfågel
Lopplummer (aggregat)</t>
        </is>
      </c>
      <c r="W5">
        <f>HYPERLINK("https://klasma.github.io/Logging_0480/artfynd/S 4518-2023 artfynd.xlsx", "S 4518-2023")</f>
        <v/>
      </c>
      <c r="X5">
        <f>HYPERLINK("https://klasma.github.io/Logging_0480/kartor/S 4518-2023 karta.png", "S 4518-2023")</f>
        <v/>
      </c>
      <c r="Y5">
        <f>HYPERLINK("https://klasma.github.io/Logging_0480/kartor_geotiff/S 4518-2023 georefererad karta.tif", "S 4518-2023")</f>
        <v/>
      </c>
      <c r="Z5">
        <f>HYPERLINK("https://klasma.github.io/Logging_0480/knärot/S 4518-2023 karta knärot.png", "S 4518-2023")</f>
        <v/>
      </c>
      <c r="AA5">
        <f>HYPERLINK("https://klasma.github.io/Logging_0480/klagomål/S 4518-2023 FSC-klagomål.docx", "S 4518-2023")</f>
        <v/>
      </c>
      <c r="AB5">
        <f>HYPERLINK("https://klasma.github.io/Logging_0480/klagomålsmail/S 4518-2023 FSC-klagomål mail.docx", "S 4518-2023")</f>
        <v/>
      </c>
      <c r="AC5">
        <f>HYPERLINK("https://klasma.github.io/Logging_0480/tillsyn/S 4518-2023 tillsynsbegäran.docx", "S 4518-2023")</f>
        <v/>
      </c>
      <c r="AD5">
        <f>HYPERLINK("https://klasma.github.io/Logging_0480/tillsynsmail/S 4518-2023 tillsynsbegäran mail.docx", "S 4518-2023")</f>
        <v/>
      </c>
      <c r="AE5">
        <f>HYPERLINK("https://klasma.github.io/Logging_0480/fåglar/S 4518-2023 prioriterade fågelarter.docx", "S 4518-2023")</f>
        <v/>
      </c>
    </row>
    <row r="6" ht="15" customHeight="1">
      <c r="A6" t="inlineStr">
        <is>
          <t>A 71887-2021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44543</v>
      </c>
      <c r="E6" s="1" t="n">
        <v>46307</v>
      </c>
      <c r="F6" t="inlineStr">
        <is>
          <t>SÖDERMANLANDS LÄN</t>
        </is>
      </c>
      <c r="G6" t="inlineStr">
        <is>
          <t>NYKÖPING</t>
        </is>
      </c>
      <c r="I6" t="n">
        <v>4.2</v>
      </c>
      <c r="J6" t="n">
        <v>2</v>
      </c>
      <c r="K6" t="n">
        <v>6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9</v>
      </c>
      <c r="T6" t="n">
        <v>12</v>
      </c>
      <c r="U6" t="n">
        <v>0</v>
      </c>
      <c r="V6" s="2" t="inlineStr">
        <is>
          <t>Kandelabersvamp
Blomkålssvamp
Granbarkgnagare
Jättesvampmal
Stubbspretmossa
Trådticka
Vågbandad barkbock
Blåsippa
Gullviva</t>
        </is>
      </c>
      <c r="W6">
        <f>HYPERLINK("https://klasma.github.io/Logging_0480/artfynd/A 71887-2021 artfynd.xlsx", "A 71887-2021")</f>
        <v/>
      </c>
      <c r="X6">
        <f>HYPERLINK("https://klasma.github.io/Logging_0480/kartor/A 71887-2021 karta.png", "A 71887-2021")</f>
        <v/>
      </c>
      <c r="Y6">
        <f>HYPERLINK("https://klasma.github.io/Logging_0480/kartor_geotiff/A 71887-2021 georefererad karta.tif", "A 71887-2021")</f>
        <v/>
      </c>
      <c r="AA6">
        <f>HYPERLINK("https://klasma.github.io/Logging_0480/klagomål/A 71887-2021 FSC-klagomål.docx", "A 71887-2021")</f>
        <v/>
      </c>
      <c r="AB6">
        <f>HYPERLINK("https://klasma.github.io/Logging_0480/klagomålsmail/A 71887-2021 FSC-klagomål mail.docx", "A 71887-2021")</f>
        <v/>
      </c>
      <c r="AC6">
        <f>HYPERLINK("https://klasma.github.io/Logging_0480/tillsyn/A 71887-2021 tillsynsbegäran.docx", "A 71887-2021")</f>
        <v/>
      </c>
      <c r="AD6">
        <f>HYPERLINK("https://klasma.github.io/Logging_0480/tillsynsmail/A 71887-2021 tillsynsbegäran mail.docx", "A 71887-2021")</f>
        <v/>
      </c>
    </row>
    <row r="7" ht="15" customHeight="1">
      <c r="A7" t="inlineStr">
        <is>
          <t>A 57006-2023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45244</v>
      </c>
      <c r="E7" s="1" t="n">
        <v>46307</v>
      </c>
      <c r="F7" t="inlineStr">
        <is>
          <t>SÖDERMANLANDS LÄN</t>
        </is>
      </c>
      <c r="G7" t="inlineStr">
        <is>
          <t>NYKÖPING</t>
        </is>
      </c>
      <c r="H7" t="inlineStr">
        <is>
          <t>Kommuner</t>
        </is>
      </c>
      <c r="I7" t="n">
        <v>11.9</v>
      </c>
      <c r="J7" t="n">
        <v>8</v>
      </c>
      <c r="K7" t="n">
        <v>1</v>
      </c>
      <c r="L7" t="n">
        <v>5</v>
      </c>
      <c r="M7" t="n">
        <v>1</v>
      </c>
      <c r="N7" t="n">
        <v>0</v>
      </c>
      <c r="O7" t="n">
        <v>0</v>
      </c>
      <c r="P7" t="n">
        <v>0</v>
      </c>
      <c r="Q7" t="n">
        <v>6</v>
      </c>
      <c r="R7" t="n">
        <v>1</v>
      </c>
      <c r="S7" t="n">
        <v>9</v>
      </c>
      <c r="T7" t="n">
        <v>11</v>
      </c>
      <c r="U7" t="n">
        <v>8</v>
      </c>
      <c r="V7" s="2" t="inlineStr">
        <is>
          <t>Tornseglare
Enkelbeckasin
Gulsparv
Järnsparv
Kricka
Sädesärla
Rödgul trumpetsvamp
Svartvit flugsnappare
Åkergroda</t>
        </is>
      </c>
      <c r="W7">
        <f>HYPERLINK("https://klasma.github.io/Logging_0480/artfynd/A 57006-2023 artfynd.xlsx", "A 57006-2023")</f>
        <v/>
      </c>
      <c r="X7">
        <f>HYPERLINK("https://klasma.github.io/Logging_0480/kartor/A 57006-2023 karta.png", "A 57006-2023")</f>
        <v/>
      </c>
      <c r="Y7">
        <f>HYPERLINK("https://klasma.github.io/Logging_0480/kartor_geotiff/A 57006-2023 georefererad karta.tif", "A 57006-2023")</f>
        <v/>
      </c>
      <c r="AA7">
        <f>HYPERLINK("https://klasma.github.io/Logging_0480/klagomål/A 57006-2023 FSC-klagomål.docx", "A 57006-2023")</f>
        <v/>
      </c>
      <c r="AB7">
        <f>HYPERLINK("https://klasma.github.io/Logging_0480/klagomålsmail/A 57006-2023 FSC-klagomål mail.docx", "A 57006-2023")</f>
        <v/>
      </c>
      <c r="AC7">
        <f>HYPERLINK("https://klasma.github.io/Logging_0480/tillsyn/A 57006-2023 tillsynsbegäran.docx", "A 57006-2023")</f>
        <v/>
      </c>
      <c r="AD7">
        <f>HYPERLINK("https://klasma.github.io/Logging_0480/tillsynsmail/A 57006-2023 tillsynsbegäran mail.docx", "A 57006-2023")</f>
        <v/>
      </c>
      <c r="AE7">
        <f>HYPERLINK("https://klasma.github.io/Logging_0480/fåglar/A 57006-2023 prioriterade fågelarter.docx", "A 57006-2023")</f>
        <v/>
      </c>
    </row>
    <row r="8" ht="15" customHeight="1">
      <c r="A8" t="inlineStr">
        <is>
          <t>S 4093-2022</t>
        </is>
      </c>
      <c r="B8" t="inlineStr">
        <is>
          <t>samrådsanmälan</t>
        </is>
      </c>
      <c r="C8" t="inlineStr">
        <is>
          <t>Annan skogsbruksåtgärd</t>
        </is>
      </c>
      <c r="D8" s="1" t="n">
        <v>44760</v>
      </c>
      <c r="E8" s="1" t="n">
        <v>46307</v>
      </c>
      <c r="F8" t="inlineStr">
        <is>
          <t>SÖDERMANLANDS LÄN</t>
        </is>
      </c>
      <c r="G8" t="inlineStr">
        <is>
          <t>NYKÖPING</t>
        </is>
      </c>
      <c r="H8" t="inlineStr">
        <is>
          <t>Holmen skog AB</t>
        </is>
      </c>
      <c r="I8" t="n">
        <v>45</v>
      </c>
      <c r="J8" t="n">
        <v>3</v>
      </c>
      <c r="K8" t="n">
        <v>3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0</v>
      </c>
      <c r="S8" t="n">
        <v>9</v>
      </c>
      <c r="T8" t="n">
        <v>21</v>
      </c>
      <c r="U8" t="n">
        <v>21</v>
      </c>
      <c r="V8" s="2" t="inlineStr">
        <is>
          <t>Dropptaggsvamp
Motaggsvamp
Talltita
Ullticka
Blåmossa
Vedticka
Vågbandad barkbock
Tjäder
Vanlig snok</t>
        </is>
      </c>
      <c r="W8">
        <f>HYPERLINK("https://klasma.github.io/Logging_0480/artfynd/S 4093-2022 artfynd.xlsx", "S 4093-2022")</f>
        <v/>
      </c>
      <c r="X8">
        <f>HYPERLINK("https://klasma.github.io/Logging_0480/kartor/S 4093-2022 karta.png", "S 4093-2022")</f>
        <v/>
      </c>
      <c r="Y8">
        <f>HYPERLINK("https://klasma.github.io/Logging_0480/kartor_geotiff/S 4093-2022 georefererad karta.tif", "S 4093-2022")</f>
        <v/>
      </c>
      <c r="AA8">
        <f>HYPERLINK("https://klasma.github.io/Logging_0480/klagomål/S 4093-2022 FSC-klagomål.docx", "S 4093-2022")</f>
        <v/>
      </c>
      <c r="AB8">
        <f>HYPERLINK("https://klasma.github.io/Logging_0480/klagomålsmail/S 4093-2022 FSC-klagomål mail.docx", "S 4093-2022")</f>
        <v/>
      </c>
      <c r="AC8">
        <f>HYPERLINK("https://klasma.github.io/Logging_0480/tillsyn/S 4093-2022 tillsynsbegäran.docx", "S 4093-2022")</f>
        <v/>
      </c>
      <c r="AD8">
        <f>HYPERLINK("https://klasma.github.io/Logging_0480/tillsynsmail/S 4093-2022 tillsynsbegäran mail.docx", "S 4093-2022")</f>
        <v/>
      </c>
      <c r="AE8">
        <f>HYPERLINK("https://klasma.github.io/Logging_0480/fåglar/S 4093-2022 prioriterade fågelarter.docx", "S 4093-2022")</f>
        <v/>
      </c>
    </row>
    <row r="9" ht="15" customHeight="1">
      <c r="A9" t="inlineStr">
        <is>
          <t>A 17228-2026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46119</v>
      </c>
      <c r="E9" s="1" t="n">
        <v>46307</v>
      </c>
      <c r="F9" t="inlineStr">
        <is>
          <t>SÖDERMANLANDS LÄN</t>
        </is>
      </c>
      <c r="G9" t="inlineStr">
        <is>
          <t>NYKÖPING</t>
        </is>
      </c>
      <c r="I9" t="n">
        <v>2.7</v>
      </c>
      <c r="J9" t="n">
        <v>1</v>
      </c>
      <c r="K9" t="n">
        <v>0</v>
      </c>
      <c r="L9" t="n">
        <v>3</v>
      </c>
      <c r="M9" t="n">
        <v>1</v>
      </c>
      <c r="N9" t="n">
        <v>0</v>
      </c>
      <c r="O9" t="n">
        <v>0</v>
      </c>
      <c r="P9" t="n">
        <v>0</v>
      </c>
      <c r="Q9" t="n">
        <v>4</v>
      </c>
      <c r="R9" t="n">
        <v>1</v>
      </c>
      <c r="S9" t="n">
        <v>8</v>
      </c>
      <c r="T9" t="n">
        <v>17</v>
      </c>
      <c r="U9" t="n">
        <v>13</v>
      </c>
      <c r="V9" s="2" t="inlineStr">
        <is>
          <t>Knärot
Orange taggsvamp
Svinrot
Tallticka
Blåbär
Kransmossa
Sälg
Vitsippa</t>
        </is>
      </c>
      <c r="W9">
        <f>HYPERLINK("https://klasma.github.io/Logging_0480/artfynd/A 17228-2026 artfynd.xlsx", "A 17228-2026")</f>
        <v/>
      </c>
      <c r="X9">
        <f>HYPERLINK("https://klasma.github.io/Logging_0480/kartor/A 17228-2026 karta.png", "A 17228-2026")</f>
        <v/>
      </c>
      <c r="Y9">
        <f>HYPERLINK("https://klasma.github.io/Logging_0480/kartor_geotiff/A 17228-2026 georefererad karta.tif", "A 17228-2026")</f>
        <v/>
      </c>
      <c r="Z9">
        <f>HYPERLINK("https://klasma.github.io/Logging_0480/knärot/A 17228-2026 karta knärot.png", "A 17228-2026")</f>
        <v/>
      </c>
      <c r="AA9">
        <f>HYPERLINK("https://klasma.github.io/Logging_0480/klagomål/A 17228-2026 FSC-klagomål.docx", "A 17228-2026")</f>
        <v/>
      </c>
      <c r="AB9">
        <f>HYPERLINK("https://klasma.github.io/Logging_0480/klagomålsmail/A 17228-2026 FSC-klagomål mail.docx", "A 17228-2026")</f>
        <v/>
      </c>
      <c r="AC9">
        <f>HYPERLINK("https://klasma.github.io/Logging_0480/tillsyn/A 17228-2026 tillsynsbegäran.docx", "A 17228-2026")</f>
        <v/>
      </c>
      <c r="AD9">
        <f>HYPERLINK("https://klasma.github.io/Logging_0480/tillsynsmail/A 17228-2026 tillsynsbegäran mail.docx", "A 17228-2026")</f>
        <v/>
      </c>
    </row>
    <row r="10" ht="15" customHeight="1">
      <c r="A10" t="inlineStr">
        <is>
          <t>A 25183-2022</t>
        </is>
      </c>
      <c r="B10" t="inlineStr">
        <is>
          <t>avverkningsanmälan</t>
        </is>
      </c>
      <c r="C10" t="inlineStr">
        <is>
          <t>Avverkning för annat ändamål</t>
        </is>
      </c>
      <c r="D10" s="1" t="n">
        <v>44729</v>
      </c>
      <c r="E10" s="1" t="n">
        <v>46307</v>
      </c>
      <c r="F10" t="inlineStr">
        <is>
          <t>SÖDERMANLANDS LÄN</t>
        </is>
      </c>
      <c r="G10" t="inlineStr">
        <is>
          <t>NYKÖPING</t>
        </is>
      </c>
      <c r="I10" t="n">
        <v>3</v>
      </c>
      <c r="J10" t="n">
        <v>0</v>
      </c>
      <c r="K10" t="n">
        <v>4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3</v>
      </c>
      <c r="R10" t="n">
        <v>1</v>
      </c>
      <c r="S10" t="n">
        <v>7</v>
      </c>
      <c r="T10" t="n">
        <v>7</v>
      </c>
      <c r="U10" t="n">
        <v>2</v>
      </c>
      <c r="V10" s="2" t="inlineStr">
        <is>
          <t>Ask
Backtimjan
Svinrot
Blåmossa
Gulvaxing
Toppvaxing
Ängsvaxing agg.</t>
        </is>
      </c>
      <c r="W10">
        <f>HYPERLINK("https://klasma.github.io/Logging_0480/artfynd/A 25183-2022 artfynd.xlsx", "A 25183-2022")</f>
        <v/>
      </c>
      <c r="X10">
        <f>HYPERLINK("https://klasma.github.io/Logging_0480/kartor/A 25183-2022 karta.png", "A 25183-2022")</f>
        <v/>
      </c>
      <c r="Y10">
        <f>HYPERLINK("https://klasma.github.io/Logging_0480/kartor_geotiff/A 25183-2022 georefererad karta.tif", "A 25183-2022")</f>
        <v/>
      </c>
      <c r="AA10">
        <f>HYPERLINK("https://klasma.github.io/Logging_0480/klagomål/A 25183-2022 FSC-klagomål.docx", "A 25183-2022")</f>
        <v/>
      </c>
      <c r="AB10">
        <f>HYPERLINK("https://klasma.github.io/Logging_0480/klagomålsmail/A 25183-2022 FSC-klagomål mail.docx", "A 25183-2022")</f>
        <v/>
      </c>
      <c r="AC10">
        <f>HYPERLINK("https://klasma.github.io/Logging_0480/tillsyn/A 25183-2022 tillsynsbegäran.docx", "A 25183-2022")</f>
        <v/>
      </c>
      <c r="AD10">
        <f>HYPERLINK("https://klasma.github.io/Logging_0480/tillsynsmail/A 25183-2022 tillsynsbegäran mail.docx", "A 25183-2022")</f>
        <v/>
      </c>
    </row>
    <row r="11" ht="15" customHeight="1">
      <c r="A11" t="inlineStr">
        <is>
          <t>A 57599-2025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45981</v>
      </c>
      <c r="E11" s="1" t="n">
        <v>46307</v>
      </c>
      <c r="F11" t="inlineStr">
        <is>
          <t>SÖDERMANLANDS LÄN</t>
        </is>
      </c>
      <c r="G11" t="inlineStr">
        <is>
          <t>NYKÖPING</t>
        </is>
      </c>
      <c r="I11" t="n">
        <v>10.6</v>
      </c>
      <c r="J11" t="n">
        <v>2</v>
      </c>
      <c r="K11" t="n">
        <v>3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  <c r="S11" t="n">
        <v>7</v>
      </c>
      <c r="T11" t="n">
        <v>7</v>
      </c>
      <c r="U11" t="n">
        <v>7</v>
      </c>
      <c r="V11" s="2" t="inlineStr">
        <is>
          <t>Blanksvart spiklav
Duvhök
Rynkskinn
Talltita
Bronshjon
Grönpyrola
Rödgul trumpetsvamp</t>
        </is>
      </c>
      <c r="W11">
        <f>HYPERLINK("https://klasma.github.io/Logging_0480/artfynd/A 57599-2025 artfynd.xlsx", "A 57599-2025")</f>
        <v/>
      </c>
      <c r="X11">
        <f>HYPERLINK("https://klasma.github.io/Logging_0480/kartor/A 57599-2025 karta.png", "A 57599-2025")</f>
        <v/>
      </c>
      <c r="Y11">
        <f>HYPERLINK("https://klasma.github.io/Logging_0480/kartor_geotiff/A 57599-2025 georefererad karta.tif", "A 57599-2025")</f>
        <v/>
      </c>
      <c r="AA11">
        <f>HYPERLINK("https://klasma.github.io/Logging_0480/klagomål/A 57599-2025 FSC-klagomål.docx", "A 57599-2025")</f>
        <v/>
      </c>
      <c r="AB11">
        <f>HYPERLINK("https://klasma.github.io/Logging_0480/klagomålsmail/A 57599-2025 FSC-klagomål mail.docx", "A 57599-2025")</f>
        <v/>
      </c>
      <c r="AC11">
        <f>HYPERLINK("https://klasma.github.io/Logging_0480/tillsyn/A 57599-2025 tillsynsbegäran.docx", "A 57599-2025")</f>
        <v/>
      </c>
      <c r="AD11">
        <f>HYPERLINK("https://klasma.github.io/Logging_0480/tillsynsmail/A 57599-2025 tillsynsbegäran mail.docx", "A 57599-2025")</f>
        <v/>
      </c>
      <c r="AE11">
        <f>HYPERLINK("https://klasma.github.io/Logging_0480/fåglar/A 57599-2025 prioriterade fågelarter.docx", "A 57599-2025")</f>
        <v/>
      </c>
    </row>
    <row r="12" ht="15" customHeight="1">
      <c r="A12" t="inlineStr">
        <is>
          <t>A 5855-2024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45335</v>
      </c>
      <c r="E12" s="1" t="n">
        <v>46307</v>
      </c>
      <c r="F12" t="inlineStr">
        <is>
          <t>SÖDERMANLANDS LÄN</t>
        </is>
      </c>
      <c r="G12" t="inlineStr">
        <is>
          <t>NYKÖPING</t>
        </is>
      </c>
      <c r="H12" t="inlineStr">
        <is>
          <t>Sveaskog</t>
        </is>
      </c>
      <c r="I12" t="n">
        <v>3.3</v>
      </c>
      <c r="J12" t="n">
        <v>3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6</v>
      </c>
      <c r="T12" t="n">
        <v>10</v>
      </c>
      <c r="U12" t="n">
        <v>0</v>
      </c>
      <c r="V12" s="2" t="inlineStr">
        <is>
          <t>Berggräsfjäril
Jungfrulin
Svinrot
Mindre vattensalamander
Fläcknycklar
Revlummer</t>
        </is>
      </c>
      <c r="W12">
        <f>HYPERLINK("https://klasma.github.io/Logging_0480/artfynd/A 5855-2024 artfynd.xlsx", "A 5855-2024")</f>
        <v/>
      </c>
      <c r="X12">
        <f>HYPERLINK("https://klasma.github.io/Logging_0480/kartor/A 5855-2024 karta.png", "A 5855-2024")</f>
        <v/>
      </c>
      <c r="Y12">
        <f>HYPERLINK("https://klasma.github.io/Logging_0480/kartor_geotiff/A 5855-2024 georefererad karta.tif", "A 5855-2024")</f>
        <v/>
      </c>
      <c r="AA12">
        <f>HYPERLINK("https://klasma.github.io/Logging_0480/klagomål/A 5855-2024 FSC-klagomål.docx", "A 5855-2024")</f>
        <v/>
      </c>
      <c r="AB12">
        <f>HYPERLINK("https://klasma.github.io/Logging_0480/klagomålsmail/A 5855-2024 FSC-klagomål mail.docx", "A 5855-2024")</f>
        <v/>
      </c>
      <c r="AC12">
        <f>HYPERLINK("https://klasma.github.io/Logging_0480/tillsyn/A 5855-2024 tillsynsbegäran.docx", "A 5855-2024")</f>
        <v/>
      </c>
      <c r="AD12">
        <f>HYPERLINK("https://klasma.github.io/Logging_0480/tillsynsmail/A 5855-2024 tillsynsbegäran mail.docx", "A 5855-2024")</f>
        <v/>
      </c>
    </row>
    <row r="13" ht="15" customHeight="1">
      <c r="A13" t="inlineStr">
        <is>
          <t>A 29797-2024</t>
        </is>
      </c>
      <c r="B13" t="inlineStr">
        <is>
          <t>avverkningsanmälan</t>
        </is>
      </c>
      <c r="C13" t="inlineStr">
        <is>
          <t>Avverkning för annat ändamål</t>
        </is>
      </c>
      <c r="D13" s="1" t="n">
        <v>45485</v>
      </c>
      <c r="E13" s="1" t="n">
        <v>46307</v>
      </c>
      <c r="F13" t="inlineStr">
        <is>
          <t>SÖDERMANLANDS LÄN</t>
        </is>
      </c>
      <c r="G13" t="inlineStr">
        <is>
          <t>NYKÖPING</t>
        </is>
      </c>
      <c r="I13" t="n">
        <v>22.2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6</v>
      </c>
      <c r="T13" t="n">
        <v>7</v>
      </c>
      <c r="U13" t="n">
        <v>2</v>
      </c>
      <c r="V13" s="2" t="inlineStr">
        <is>
          <t>Jungfrulin
Spillkråka
Citronfläckad kärrtrollslända
Större vattensalamander
Trana
Revlummer</t>
        </is>
      </c>
      <c r="W13">
        <f>HYPERLINK("https://klasma.github.io/Logging_0480/artfynd/A 29797-2024 artfynd.xlsx", "A 29797-2024")</f>
        <v/>
      </c>
      <c r="X13">
        <f>HYPERLINK("https://klasma.github.io/Logging_0480/kartor/A 29797-2024 karta.png", "A 29797-2024")</f>
        <v/>
      </c>
      <c r="Y13">
        <f>HYPERLINK("https://klasma.github.io/Logging_0480/kartor_geotiff/A 29797-2024 georefererad karta.tif", "A 29797-2024")</f>
        <v/>
      </c>
      <c r="AA13">
        <f>HYPERLINK("https://klasma.github.io/Logging_0480/klagomål/A 29797-2024 FSC-klagomål.docx", "A 29797-2024")</f>
        <v/>
      </c>
      <c r="AB13">
        <f>HYPERLINK("https://klasma.github.io/Logging_0480/klagomålsmail/A 29797-2024 FSC-klagomål mail.docx", "A 29797-2024")</f>
        <v/>
      </c>
      <c r="AC13">
        <f>HYPERLINK("https://klasma.github.io/Logging_0480/tillsyn/A 29797-2024 tillsynsbegäran.docx", "A 29797-2024")</f>
        <v/>
      </c>
      <c r="AD13">
        <f>HYPERLINK("https://klasma.github.io/Logging_0480/tillsynsmail/A 29797-2024 tillsynsbegäran mail.docx", "A 29797-2024")</f>
        <v/>
      </c>
      <c r="AE13">
        <f>HYPERLINK("https://klasma.github.io/Logging_0480/fåglar/A 29797-2024 prioriterade fågelarter.docx", "A 29797-2024")</f>
        <v/>
      </c>
    </row>
    <row r="14" ht="15" customHeight="1">
      <c r="A14" t="inlineStr">
        <is>
          <t>A 56099-2024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45624</v>
      </c>
      <c r="E14" s="1" t="n">
        <v>46307</v>
      </c>
      <c r="F14" t="inlineStr">
        <is>
          <t>SÖDERMANLANDS LÄN</t>
        </is>
      </c>
      <c r="G14" t="inlineStr">
        <is>
          <t>NYKÖPING</t>
        </is>
      </c>
      <c r="I14" t="n">
        <v>4.7</v>
      </c>
      <c r="J14" t="n">
        <v>0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6</v>
      </c>
      <c r="U14" t="n">
        <v>6</v>
      </c>
      <c r="V14" s="2" t="inlineStr">
        <is>
          <t>Granbarkgnagare
Grovticka
Jättesvampmal
Stekelbock
Stor aspticka
Stubbspretmossa</t>
        </is>
      </c>
      <c r="W14">
        <f>HYPERLINK("https://klasma.github.io/Logging_0480/artfynd/A 56099-2024 artfynd.xlsx", "A 56099-2024")</f>
        <v/>
      </c>
      <c r="X14">
        <f>HYPERLINK("https://klasma.github.io/Logging_0480/kartor/A 56099-2024 karta.png", "A 56099-2024")</f>
        <v/>
      </c>
      <c r="Y14">
        <f>HYPERLINK("https://klasma.github.io/Logging_0480/kartor_geotiff/A 56099-2024 georefererad karta.tif", "A 56099-2024")</f>
        <v/>
      </c>
      <c r="AA14">
        <f>HYPERLINK("https://klasma.github.io/Logging_0480/klagomål/A 56099-2024 FSC-klagomål.docx", "A 56099-2024")</f>
        <v/>
      </c>
      <c r="AB14">
        <f>HYPERLINK("https://klasma.github.io/Logging_0480/klagomålsmail/A 56099-2024 FSC-klagomål mail.docx", "A 56099-2024")</f>
        <v/>
      </c>
      <c r="AC14">
        <f>HYPERLINK("https://klasma.github.io/Logging_0480/tillsyn/A 56099-2024 tillsynsbegäran.docx", "A 56099-2024")</f>
        <v/>
      </c>
      <c r="AD14">
        <f>HYPERLINK("https://klasma.github.io/Logging_0480/tillsynsmail/A 56099-2024 tillsynsbegäran mail.docx", "A 56099-2024")</f>
        <v/>
      </c>
    </row>
    <row r="15" ht="15" customHeight="1">
      <c r="A15" t="inlineStr">
        <is>
          <t>A 36547-2025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45869</v>
      </c>
      <c r="E15" s="1" t="n">
        <v>46307</v>
      </c>
      <c r="F15" t="inlineStr">
        <is>
          <t>SÖDERMANLANDS LÄN</t>
        </is>
      </c>
      <c r="G15" t="inlineStr">
        <is>
          <t>NYKÖPING</t>
        </is>
      </c>
      <c r="H15" t="inlineStr">
        <is>
          <t>Holmen skog AB</t>
        </is>
      </c>
      <c r="I15" t="n">
        <v>19.9</v>
      </c>
      <c r="J15" t="n">
        <v>2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11</v>
      </c>
      <c r="U15" t="n">
        <v>11</v>
      </c>
      <c r="V15" s="2" t="inlineStr">
        <is>
          <t>Tallticka
Björksplintborre
Blåmossa
Granbarkgnagare
Spillkråka
Tjäder</t>
        </is>
      </c>
      <c r="W15">
        <f>HYPERLINK("https://klasma.github.io/Logging_0480/artfynd/A 36547-2025 artfynd.xlsx", "A 36547-2025")</f>
        <v/>
      </c>
      <c r="X15">
        <f>HYPERLINK("https://klasma.github.io/Logging_0480/kartor/A 36547-2025 karta.png", "A 36547-2025")</f>
        <v/>
      </c>
      <c r="Y15">
        <f>HYPERLINK("https://klasma.github.io/Logging_0480/kartor_geotiff/A 36547-2025 georefererad karta.tif", "A 36547-2025")</f>
        <v/>
      </c>
      <c r="AA15">
        <f>HYPERLINK("https://klasma.github.io/Logging_0480/klagomål/A 36547-2025 FSC-klagomål.docx", "A 36547-2025")</f>
        <v/>
      </c>
      <c r="AB15">
        <f>HYPERLINK("https://klasma.github.io/Logging_0480/klagomålsmail/A 36547-2025 FSC-klagomål mail.docx", "A 36547-2025")</f>
        <v/>
      </c>
      <c r="AC15">
        <f>HYPERLINK("https://klasma.github.io/Logging_0480/tillsyn/A 36547-2025 tillsynsbegäran.docx", "A 36547-2025")</f>
        <v/>
      </c>
      <c r="AD15">
        <f>HYPERLINK("https://klasma.github.io/Logging_0480/tillsynsmail/A 36547-2025 tillsynsbegäran mail.docx", "A 36547-2025")</f>
        <v/>
      </c>
      <c r="AE15">
        <f>HYPERLINK("https://klasma.github.io/Logging_0480/fåglar/A 36547-2025 prioriterade fågelarter.docx", "A 36547-2025")</f>
        <v/>
      </c>
    </row>
    <row r="16" ht="15" customHeight="1">
      <c r="A16" t="inlineStr">
        <is>
          <t>A 32882-2026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46244</v>
      </c>
      <c r="E16" s="1" t="n">
        <v>46307</v>
      </c>
      <c r="F16" t="inlineStr">
        <is>
          <t>SÖDERMANLANDS LÄN</t>
        </is>
      </c>
      <c r="G16" t="inlineStr">
        <is>
          <t>NYKÖPING</t>
        </is>
      </c>
      <c r="H16" t="inlineStr">
        <is>
          <t>Holmen skog AB</t>
        </is>
      </c>
      <c r="I16" t="n">
        <v>7.9</v>
      </c>
      <c r="J16" t="n">
        <v>0</v>
      </c>
      <c r="K16" t="n">
        <v>1</v>
      </c>
      <c r="L16" t="n">
        <v>4</v>
      </c>
      <c r="M16" t="n">
        <v>1</v>
      </c>
      <c r="N16" t="n">
        <v>0</v>
      </c>
      <c r="O16" t="n">
        <v>0</v>
      </c>
      <c r="P16" t="n">
        <v>0</v>
      </c>
      <c r="Q16" t="n">
        <v>5</v>
      </c>
      <c r="R16" t="n">
        <v>1</v>
      </c>
      <c r="S16" t="n">
        <v>6</v>
      </c>
      <c r="T16" t="n">
        <v>8</v>
      </c>
      <c r="U16" t="n">
        <v>0</v>
      </c>
      <c r="V16" s="2" t="inlineStr">
        <is>
          <t>Brunfläckig pärlemorfjäril
Berggräsfjäril
Dvärgbägarlav
Motaggsvamp
Vedskivlav
Blåmossa</t>
        </is>
      </c>
      <c r="W16">
        <f>HYPERLINK("https://klasma.github.io/Logging_0480/artfynd/A 32882-2026 artfynd.xlsx", "A 32882-2026")</f>
        <v/>
      </c>
      <c r="X16">
        <f>HYPERLINK("https://klasma.github.io/Logging_0480/kartor/A 32882-2026 karta.png", "A 32882-2026")</f>
        <v/>
      </c>
      <c r="Y16">
        <f>HYPERLINK("https://klasma.github.io/Logging_0480/kartor_geotiff/A 32882-2026 georefererad karta.tif", "A 32882-2026")</f>
        <v/>
      </c>
      <c r="AA16">
        <f>HYPERLINK("https://klasma.github.io/Logging_0480/klagomål/A 32882-2026 FSC-klagomål.docx", "A 32882-2026")</f>
        <v/>
      </c>
      <c r="AB16">
        <f>HYPERLINK("https://klasma.github.io/Logging_0480/klagomålsmail/A 32882-2026 FSC-klagomål mail.docx", "A 32882-2026")</f>
        <v/>
      </c>
      <c r="AC16">
        <f>HYPERLINK("https://klasma.github.io/Logging_0480/tillsyn/A 32882-2026 tillsynsbegäran.docx", "A 32882-2026")</f>
        <v/>
      </c>
      <c r="AD16">
        <f>HYPERLINK("https://klasma.github.io/Logging_0480/tillsynsmail/A 32882-2026 tillsynsbegäran mail.docx", "A 32882-2026")</f>
        <v/>
      </c>
    </row>
    <row r="17" ht="15" customHeight="1">
      <c r="A17" t="inlineStr">
        <is>
          <t>A 56727-2025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45978</v>
      </c>
      <c r="E17" s="1" t="n">
        <v>46307</v>
      </c>
      <c r="F17" t="inlineStr">
        <is>
          <t>SÖDERMANLANDS LÄN</t>
        </is>
      </c>
      <c r="G17" t="inlineStr">
        <is>
          <t>NYKÖPING</t>
        </is>
      </c>
      <c r="H17" t="inlineStr">
        <is>
          <t>Sveaskog</t>
        </is>
      </c>
      <c r="I17" t="n">
        <v>2.9</v>
      </c>
      <c r="J17" t="n">
        <v>6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6</v>
      </c>
      <c r="T17" t="n">
        <v>24</v>
      </c>
      <c r="U17" t="n">
        <v>5</v>
      </c>
      <c r="V17" s="2" t="inlineStr">
        <is>
          <t>Hasselsnok
Sandödla
Huggorm
Kopparödla
Skogsödla
Vanlig snok</t>
        </is>
      </c>
      <c r="W17">
        <f>HYPERLINK("https://klasma.github.io/Logging_0480/artfynd/A 56727-2025 artfynd.xlsx", "A 56727-2025")</f>
        <v/>
      </c>
      <c r="X17">
        <f>HYPERLINK("https://klasma.github.io/Logging_0480/kartor/A 56727-2025 karta.png", "A 56727-2025")</f>
        <v/>
      </c>
      <c r="Y17">
        <f>HYPERLINK("https://klasma.github.io/Logging_0480/kartor_geotiff/A 56727-2025 georefererad karta.tif", "A 56727-2025")</f>
        <v/>
      </c>
      <c r="AA17">
        <f>HYPERLINK("https://klasma.github.io/Logging_0480/klagomål/A 56727-2025 FSC-klagomål.docx", "A 56727-2025")</f>
        <v/>
      </c>
      <c r="AB17">
        <f>HYPERLINK("https://klasma.github.io/Logging_0480/klagomålsmail/A 56727-2025 FSC-klagomål mail.docx", "A 56727-2025")</f>
        <v/>
      </c>
      <c r="AC17">
        <f>HYPERLINK("https://klasma.github.io/Logging_0480/tillsyn/A 56727-2025 tillsynsbegäran.docx", "A 56727-2025")</f>
        <v/>
      </c>
      <c r="AD17">
        <f>HYPERLINK("https://klasma.github.io/Logging_0480/tillsynsmail/A 56727-2025 tillsynsbegäran mail.docx", "A 56727-2025")</f>
        <v/>
      </c>
    </row>
    <row r="18" ht="15" customHeight="1">
      <c r="A18" t="inlineStr">
        <is>
          <t>A 51246-2024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45603</v>
      </c>
      <c r="E18" s="1" t="n">
        <v>46307</v>
      </c>
      <c r="F18" t="inlineStr">
        <is>
          <t>SÖDERMANLANDS LÄN</t>
        </is>
      </c>
      <c r="G18" t="inlineStr">
        <is>
          <t>NYKÖPING</t>
        </is>
      </c>
      <c r="H18" t="inlineStr">
        <is>
          <t>Sveaskog</t>
        </is>
      </c>
      <c r="I18" t="n">
        <v>2.3</v>
      </c>
      <c r="J18" t="n">
        <v>1</v>
      </c>
      <c r="K18" t="n">
        <v>0</v>
      </c>
      <c r="L18" t="n">
        <v>3</v>
      </c>
      <c r="M18" t="n">
        <v>0</v>
      </c>
      <c r="N18" t="n">
        <v>1</v>
      </c>
      <c r="O18" t="n">
        <v>0</v>
      </c>
      <c r="P18" t="n">
        <v>0</v>
      </c>
      <c r="Q18" t="n">
        <v>4</v>
      </c>
      <c r="R18" t="n">
        <v>1</v>
      </c>
      <c r="S18" t="n">
        <v>5</v>
      </c>
      <c r="T18" t="n">
        <v>6</v>
      </c>
      <c r="U18" t="n">
        <v>3</v>
      </c>
      <c r="V18" s="2" t="inlineStr">
        <is>
          <t>Ask
Motaggsvamp
Svart skogssnigel
Tallticka
Fläcknycklar</t>
        </is>
      </c>
      <c r="W18">
        <f>HYPERLINK("https://klasma.github.io/Logging_0480/artfynd/A 51246-2024 artfynd.xlsx", "A 51246-2024")</f>
        <v/>
      </c>
      <c r="X18">
        <f>HYPERLINK("https://klasma.github.io/Logging_0480/kartor/A 51246-2024 karta.png", "A 51246-2024")</f>
        <v/>
      </c>
      <c r="Y18">
        <f>HYPERLINK("https://klasma.github.io/Logging_0480/kartor_geotiff/A 51246-2024 georefererad karta.tif", "A 51246-2024")</f>
        <v/>
      </c>
      <c r="AA18">
        <f>HYPERLINK("https://klasma.github.io/Logging_0480/klagomål/A 51246-2024 FSC-klagomål.docx", "A 51246-2024")</f>
        <v/>
      </c>
      <c r="AB18">
        <f>HYPERLINK("https://klasma.github.io/Logging_0480/klagomålsmail/A 51246-2024 FSC-klagomål mail.docx", "A 51246-2024")</f>
        <v/>
      </c>
      <c r="AC18">
        <f>HYPERLINK("https://klasma.github.io/Logging_0480/tillsyn/A 51246-2024 tillsynsbegäran.docx", "A 51246-2024")</f>
        <v/>
      </c>
      <c r="AD18">
        <f>HYPERLINK("https://klasma.github.io/Logging_0480/tillsynsmail/A 51246-2024 tillsynsbegäran mail.docx", "A 51246-2024")</f>
        <v/>
      </c>
    </row>
    <row r="19" ht="15" customHeight="1">
      <c r="A19" t="inlineStr">
        <is>
          <t>A 3671-2026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46043</v>
      </c>
      <c r="E19" s="1" t="n">
        <v>46307</v>
      </c>
      <c r="F19" t="inlineStr">
        <is>
          <t>SÖDERMANLANDS LÄN</t>
        </is>
      </c>
      <c r="G19" t="inlineStr">
        <is>
          <t>NYKÖPING</t>
        </is>
      </c>
      <c r="I19" t="n">
        <v>1.6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6</v>
      </c>
      <c r="U19" t="n">
        <v>0</v>
      </c>
      <c r="V19" s="2" t="inlineStr">
        <is>
          <t>Vedtrappmossa
Blomkålssvamp
Granbarkgnagare
Havsörn
Revlummer</t>
        </is>
      </c>
      <c r="W19">
        <f>HYPERLINK("https://klasma.github.io/Logging_0480/artfynd/A 3671-2026 artfynd.xlsx", "A 3671-2026")</f>
        <v/>
      </c>
      <c r="X19">
        <f>HYPERLINK("https://klasma.github.io/Logging_0480/kartor/A 3671-2026 karta.png", "A 3671-2026")</f>
        <v/>
      </c>
      <c r="Y19">
        <f>HYPERLINK("https://klasma.github.io/Logging_0480/kartor_geotiff/A 3671-2026 georefererad karta.tif", "A 3671-2026")</f>
        <v/>
      </c>
      <c r="AA19">
        <f>HYPERLINK("https://klasma.github.io/Logging_0480/klagomål/A 3671-2026 FSC-klagomål.docx", "A 3671-2026")</f>
        <v/>
      </c>
      <c r="AB19">
        <f>HYPERLINK("https://klasma.github.io/Logging_0480/klagomålsmail/A 3671-2026 FSC-klagomål mail.docx", "A 3671-2026")</f>
        <v/>
      </c>
      <c r="AC19">
        <f>HYPERLINK("https://klasma.github.io/Logging_0480/tillsyn/A 3671-2026 tillsynsbegäran.docx", "A 3671-2026")</f>
        <v/>
      </c>
      <c r="AD19">
        <f>HYPERLINK("https://klasma.github.io/Logging_0480/tillsynsmail/A 3671-2026 tillsynsbegäran mail.docx", "A 3671-2026")</f>
        <v/>
      </c>
      <c r="AE19">
        <f>HYPERLINK("https://klasma.github.io/Logging_0480/fåglar/A 3671-2026 prioriterade fågelarter.docx", "A 3671-2026")</f>
        <v/>
      </c>
    </row>
    <row r="20" ht="15" customHeight="1">
      <c r="A20" t="inlineStr">
        <is>
          <t>A 13256-2026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46093</v>
      </c>
      <c r="E20" s="1" t="n">
        <v>46307</v>
      </c>
      <c r="F20" t="inlineStr">
        <is>
          <t>SÖDERMANLANDS LÄN</t>
        </is>
      </c>
      <c r="G20" t="inlineStr">
        <is>
          <t>NYKÖPING</t>
        </is>
      </c>
      <c r="I20" t="n">
        <v>8.699999999999999</v>
      </c>
      <c r="J20" t="n">
        <v>5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5</v>
      </c>
      <c r="T20" t="n">
        <v>5</v>
      </c>
      <c r="U20" t="n">
        <v>0</v>
      </c>
      <c r="V20" s="2" t="inlineStr">
        <is>
          <t>Enkelbeckasin
Gulsparv
Kricka
Grönsiska
Trana</t>
        </is>
      </c>
      <c r="W20">
        <f>HYPERLINK("https://klasma.github.io/Logging_0480/artfynd/A 13256-2026 artfynd.xlsx", "A 13256-2026")</f>
        <v/>
      </c>
      <c r="X20">
        <f>HYPERLINK("https://klasma.github.io/Logging_0480/kartor/A 13256-2026 karta.png", "A 13256-2026")</f>
        <v/>
      </c>
      <c r="Y20">
        <f>HYPERLINK("https://klasma.github.io/Logging_0480/kartor_geotiff/A 13256-2026 georefererad karta.tif", "A 13256-2026")</f>
        <v/>
      </c>
      <c r="AA20">
        <f>HYPERLINK("https://klasma.github.io/Logging_0480/klagomål/A 13256-2026 FSC-klagomål.docx", "A 13256-2026")</f>
        <v/>
      </c>
      <c r="AB20">
        <f>HYPERLINK("https://klasma.github.io/Logging_0480/klagomålsmail/A 13256-2026 FSC-klagomål mail.docx", "A 13256-2026")</f>
        <v/>
      </c>
      <c r="AC20">
        <f>HYPERLINK("https://klasma.github.io/Logging_0480/tillsyn/A 13256-2026 tillsynsbegäran.docx", "A 13256-2026")</f>
        <v/>
      </c>
      <c r="AD20">
        <f>HYPERLINK("https://klasma.github.io/Logging_0480/tillsynsmail/A 13256-2026 tillsynsbegäran mail.docx", "A 13256-2026")</f>
        <v/>
      </c>
      <c r="AE20">
        <f>HYPERLINK("https://klasma.github.io/Logging_0480/fåglar/A 13256-2026 prioriterade fågelarter.docx", "A 13256-2026")</f>
        <v/>
      </c>
    </row>
    <row r="21" ht="15" customHeight="1">
      <c r="A21" t="inlineStr">
        <is>
          <t>A 39773-2026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46290</v>
      </c>
      <c r="E21" s="1" t="n">
        <v>46307</v>
      </c>
      <c r="F21" t="inlineStr">
        <is>
          <t>SÖDERMANLANDS LÄN</t>
        </is>
      </c>
      <c r="G21" t="inlineStr">
        <is>
          <t>NYKÖPING</t>
        </is>
      </c>
      <c r="H21" t="inlineStr">
        <is>
          <t>Holmen skog AB</t>
        </is>
      </c>
      <c r="I21" t="n">
        <v>3.6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5</v>
      </c>
      <c r="T21" t="n">
        <v>5</v>
      </c>
      <c r="U21" t="n">
        <v>0</v>
      </c>
      <c r="V21" s="2" t="inlineStr">
        <is>
          <t>Månlåsbräken
Talltita
Blåmossa
Mindre märgborre
Grönsiska</t>
        </is>
      </c>
      <c r="W21">
        <f>HYPERLINK("https://klasma.github.io/Logging_0480/artfynd/A 39773-2026 artfynd.xlsx", "A 39773-2026")</f>
        <v/>
      </c>
      <c r="X21">
        <f>HYPERLINK("https://klasma.github.io/Logging_0480/kartor/A 39773-2026 karta.png", "A 39773-2026")</f>
        <v/>
      </c>
      <c r="Y21">
        <f>HYPERLINK("https://klasma.github.io/Logging_0480/kartor_geotiff/A 39773-2026 georefererad karta.tif", "A 39773-2026")</f>
        <v/>
      </c>
      <c r="AA21">
        <f>HYPERLINK("https://klasma.github.io/Logging_0480/klagomål/A 39773-2026 FSC-klagomål.docx", "A 39773-2026")</f>
        <v/>
      </c>
      <c r="AB21">
        <f>HYPERLINK("https://klasma.github.io/Logging_0480/klagomålsmail/A 39773-2026 FSC-klagomål mail.docx", "A 39773-2026")</f>
        <v/>
      </c>
      <c r="AC21">
        <f>HYPERLINK("https://klasma.github.io/Logging_0480/tillsyn/A 39773-2026 tillsynsbegäran.docx", "A 39773-2026")</f>
        <v/>
      </c>
      <c r="AD21">
        <f>HYPERLINK("https://klasma.github.io/Logging_0480/tillsynsmail/A 39773-2026 tillsynsbegäran mail.docx", "A 39773-2026")</f>
        <v/>
      </c>
      <c r="AE21">
        <f>HYPERLINK("https://klasma.github.io/Logging_0480/fåglar/A 39773-2026 prioriterade fågelarter.docx", "A 39773-2026")</f>
        <v/>
      </c>
    </row>
    <row r="22" ht="15" customHeight="1">
      <c r="A22" t="inlineStr">
        <is>
          <t>S 3293-2022</t>
        </is>
      </c>
      <c r="B22" t="inlineStr">
        <is>
          <t>samrådsanmälan</t>
        </is>
      </c>
      <c r="C22" t="inlineStr">
        <is>
          <t>Åtgärd i nyckelbiotop</t>
        </is>
      </c>
      <c r="D22" s="1" t="n">
        <v>44726</v>
      </c>
      <c r="E22" s="1" t="n">
        <v>46307</v>
      </c>
      <c r="F22" t="inlineStr">
        <is>
          <t>SÖDERMANLANDS LÄN</t>
        </is>
      </c>
      <c r="G22" t="inlineStr">
        <is>
          <t>NYKÖPING</t>
        </is>
      </c>
      <c r="I22" t="n">
        <v>2.5</v>
      </c>
      <c r="J22" t="n">
        <v>0</v>
      </c>
      <c r="K22" t="n">
        <v>1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5</v>
      </c>
      <c r="T22" t="n">
        <v>5</v>
      </c>
      <c r="U22" t="n">
        <v>0</v>
      </c>
      <c r="V22" s="2" t="inlineStr">
        <is>
          <t>Fjällig taggsvamp s.str.
Sotvaxskivling
Tallticka
Tjockfotad fingersvamp
Grovticka</t>
        </is>
      </c>
      <c r="W22">
        <f>HYPERLINK("https://klasma.github.io/Logging_0480/artfynd/S 3293-2022 artfynd.xlsx", "S 3293-2022")</f>
        <v/>
      </c>
      <c r="X22">
        <f>HYPERLINK("https://klasma.github.io/Logging_0480/kartor/S 3293-2022 karta.png", "S 3293-2022")</f>
        <v/>
      </c>
      <c r="Y22">
        <f>HYPERLINK("https://klasma.github.io/Logging_0480/kartor_geotiff/S 3293-2022 georefererad karta.tif", "S 3293-2022")</f>
        <v/>
      </c>
      <c r="AA22">
        <f>HYPERLINK("https://klasma.github.io/Logging_0480/klagomål/S 3293-2022 FSC-klagomål.docx", "S 3293-2022")</f>
        <v/>
      </c>
      <c r="AB22">
        <f>HYPERLINK("https://klasma.github.io/Logging_0480/klagomålsmail/S 3293-2022 FSC-klagomål mail.docx", "S 3293-2022")</f>
        <v/>
      </c>
      <c r="AC22">
        <f>HYPERLINK("https://klasma.github.io/Logging_0480/tillsyn/S 3293-2022 tillsynsbegäran.docx", "S 3293-2022")</f>
        <v/>
      </c>
      <c r="AD22">
        <f>HYPERLINK("https://klasma.github.io/Logging_0480/tillsynsmail/S 3293-2022 tillsynsbegäran mail.docx", "S 3293-2022")</f>
        <v/>
      </c>
    </row>
    <row r="23" ht="15" customHeight="1">
      <c r="A23" t="inlineStr">
        <is>
          <t>S 3837-2022</t>
        </is>
      </c>
      <c r="B23" t="inlineStr">
        <is>
          <t>samrådsanmälan</t>
        </is>
      </c>
      <c r="C23" t="inlineStr">
        <is>
          <t>Åtgärd i nyckelbiotop</t>
        </is>
      </c>
      <c r="D23" s="1" t="n">
        <v>44746</v>
      </c>
      <c r="E23" s="1" t="n">
        <v>46307</v>
      </c>
      <c r="F23" t="inlineStr">
        <is>
          <t>SÖDERMANLANDS LÄN</t>
        </is>
      </c>
      <c r="G23" t="inlineStr">
        <is>
          <t>NYKÖPING</t>
        </is>
      </c>
      <c r="I23" t="n">
        <v>3.1</v>
      </c>
      <c r="J23" t="n">
        <v>0</v>
      </c>
      <c r="K23" t="n">
        <v>1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5</v>
      </c>
      <c r="T23" t="n">
        <v>5</v>
      </c>
      <c r="U23" t="n">
        <v>0</v>
      </c>
      <c r="V23" s="2" t="inlineStr">
        <is>
          <t>Fjällig taggsvamp s.str.
Sotvaxskivling
Tallticka
Tjockfotad fingersvamp
Grovticka</t>
        </is>
      </c>
      <c r="W23">
        <f>HYPERLINK("https://klasma.github.io/Logging_0480/artfynd/S 3837-2022 artfynd.xlsx", "S 3837-2022")</f>
        <v/>
      </c>
      <c r="X23">
        <f>HYPERLINK("https://klasma.github.io/Logging_0480/kartor/S 3837-2022 karta.png", "S 3837-2022")</f>
        <v/>
      </c>
      <c r="Y23">
        <f>HYPERLINK("https://klasma.github.io/Logging_0480/kartor_geotiff/S 3837-2022 georefererad karta.tif", "S 3837-2022")</f>
        <v/>
      </c>
      <c r="AA23">
        <f>HYPERLINK("https://klasma.github.io/Logging_0480/klagomål/S 3837-2022 FSC-klagomål.docx", "S 3837-2022")</f>
        <v/>
      </c>
      <c r="AB23">
        <f>HYPERLINK("https://klasma.github.io/Logging_0480/klagomålsmail/S 3837-2022 FSC-klagomål mail.docx", "S 3837-2022")</f>
        <v/>
      </c>
      <c r="AC23">
        <f>HYPERLINK("https://klasma.github.io/Logging_0480/tillsyn/S 3837-2022 tillsynsbegäran.docx", "S 3837-2022")</f>
        <v/>
      </c>
      <c r="AD23">
        <f>HYPERLINK("https://klasma.github.io/Logging_0480/tillsynsmail/S 3837-2022 tillsynsbegäran mail.docx", "S 3837-2022")</f>
        <v/>
      </c>
    </row>
    <row r="24" ht="15" customHeight="1">
      <c r="A24" t="inlineStr">
        <is>
          <t>A 33265-2024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45518</v>
      </c>
      <c r="E24" s="1" t="n">
        <v>46307</v>
      </c>
      <c r="F24" t="inlineStr">
        <is>
          <t>SÖDERMANLANDS LÄN</t>
        </is>
      </c>
      <c r="G24" t="inlineStr">
        <is>
          <t>NYKÖPING</t>
        </is>
      </c>
      <c r="I24" t="n">
        <v>7.8</v>
      </c>
      <c r="J24" t="n">
        <v>2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4</v>
      </c>
      <c r="T24" t="n">
        <v>7</v>
      </c>
      <c r="U24" t="n">
        <v>7</v>
      </c>
      <c r="V24" s="2" t="inlineStr">
        <is>
          <t>Knärot
Fjällig taggsvamp s.str.
Granbarkgnagare
Blåsippa</t>
        </is>
      </c>
      <c r="W24">
        <f>HYPERLINK("https://klasma.github.io/Logging_0480/artfynd/A 33265-2024 artfynd.xlsx", "A 33265-2024")</f>
        <v/>
      </c>
      <c r="X24">
        <f>HYPERLINK("https://klasma.github.io/Logging_0480/kartor/A 33265-2024 karta.png", "A 33265-2024")</f>
        <v/>
      </c>
      <c r="Y24">
        <f>HYPERLINK("https://klasma.github.io/Logging_0480/kartor_geotiff/A 33265-2024 georefererad karta.tif", "A 33265-2024")</f>
        <v/>
      </c>
      <c r="Z24">
        <f>HYPERLINK("https://klasma.github.io/Logging_0480/knärot/A 33265-2024 karta knärot.png", "A 33265-2024")</f>
        <v/>
      </c>
      <c r="AA24">
        <f>HYPERLINK("https://klasma.github.io/Logging_0480/klagomål/A 33265-2024 FSC-klagomål.docx", "A 33265-2024")</f>
        <v/>
      </c>
      <c r="AB24">
        <f>HYPERLINK("https://klasma.github.io/Logging_0480/klagomålsmail/A 33265-2024 FSC-klagomål mail.docx", "A 33265-2024")</f>
        <v/>
      </c>
      <c r="AC24">
        <f>HYPERLINK("https://klasma.github.io/Logging_0480/tillsyn/A 33265-2024 tillsynsbegäran.docx", "A 33265-2024")</f>
        <v/>
      </c>
      <c r="AD24">
        <f>HYPERLINK("https://klasma.github.io/Logging_0480/tillsynsmail/A 33265-2024 tillsynsbegäran mail.docx", "A 33265-2024")</f>
        <v/>
      </c>
    </row>
    <row r="25" ht="15" customHeight="1">
      <c r="A25" t="inlineStr">
        <is>
          <t>A 5869-2024</t>
        </is>
      </c>
      <c r="B25" t="inlineStr">
        <is>
          <t>avverkningsanmälan</t>
        </is>
      </c>
      <c r="C25" t="inlineStr">
        <is>
          <t>Avverkning för annat ändamål</t>
        </is>
      </c>
      <c r="D25" s="1" t="n">
        <v>45335</v>
      </c>
      <c r="E25" s="1" t="n">
        <v>46307</v>
      </c>
      <c r="F25" t="inlineStr">
        <is>
          <t>SÖDERMANLANDS LÄN</t>
        </is>
      </c>
      <c r="G25" t="inlineStr">
        <is>
          <t>NYKÖPING</t>
        </is>
      </c>
      <c r="H25" t="inlineStr">
        <is>
          <t>Sveaskog</t>
        </is>
      </c>
      <c r="I25" t="n">
        <v>1.5</v>
      </c>
      <c r="J25" t="n">
        <v>4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4</v>
      </c>
      <c r="T25" t="n">
        <v>4</v>
      </c>
      <c r="U25" t="n">
        <v>0</v>
      </c>
      <c r="V25" s="2" t="inlineStr">
        <is>
          <t>Gulsparv
Havsörn
Fläcknycklar
Revlummer</t>
        </is>
      </c>
      <c r="W25">
        <f>HYPERLINK("https://klasma.github.io/Logging_0480/artfynd/A 5869-2024 artfynd.xlsx", "A 5869-2024")</f>
        <v/>
      </c>
      <c r="X25">
        <f>HYPERLINK("https://klasma.github.io/Logging_0480/kartor/A 5869-2024 karta.png", "A 5869-2024")</f>
        <v/>
      </c>
      <c r="Y25">
        <f>HYPERLINK("https://klasma.github.io/Logging_0480/kartor_geotiff/A 5869-2024 georefererad karta.tif", "A 5869-2024")</f>
        <v/>
      </c>
      <c r="AA25">
        <f>HYPERLINK("https://klasma.github.io/Logging_0480/klagomål/A 5869-2024 FSC-klagomål.docx", "A 5869-2024")</f>
        <v/>
      </c>
      <c r="AB25">
        <f>HYPERLINK("https://klasma.github.io/Logging_0480/klagomålsmail/A 5869-2024 FSC-klagomål mail.docx", "A 5869-2024")</f>
        <v/>
      </c>
      <c r="AC25">
        <f>HYPERLINK("https://klasma.github.io/Logging_0480/tillsyn/A 5869-2024 tillsynsbegäran.docx", "A 5869-2024")</f>
        <v/>
      </c>
      <c r="AD25">
        <f>HYPERLINK("https://klasma.github.io/Logging_0480/tillsynsmail/A 5869-2024 tillsynsbegäran mail.docx", "A 5869-2024")</f>
        <v/>
      </c>
      <c r="AE25">
        <f>HYPERLINK("https://klasma.github.io/Logging_0480/fåglar/A 5869-2024 prioriterade fågelarter.docx", "A 5869-2024")</f>
        <v/>
      </c>
    </row>
    <row r="26" ht="15" customHeight="1">
      <c r="A26" t="inlineStr">
        <is>
          <t>A 1509-2023</t>
        </is>
      </c>
      <c r="B26" t="inlineStr">
        <is>
          <t>avverkningsanmälan</t>
        </is>
      </c>
      <c r="C26" t="inlineStr">
        <is>
          <t>Avverkning för att bevara och utveckla /försöksver</t>
        </is>
      </c>
      <c r="D26" s="1" t="n">
        <v>44937</v>
      </c>
      <c r="E26" s="1" t="n">
        <v>46307</v>
      </c>
      <c r="F26" t="inlineStr">
        <is>
          <t>SÖDERMANLANDS LÄN</t>
        </is>
      </c>
      <c r="G26" t="inlineStr">
        <is>
          <t>NYKÖPING</t>
        </is>
      </c>
      <c r="H26" t="inlineStr">
        <is>
          <t>Holmen skog AB</t>
        </is>
      </c>
      <c r="I26" t="n">
        <v>6.3</v>
      </c>
      <c r="J26" t="n">
        <v>0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4</v>
      </c>
      <c r="T26" t="n">
        <v>6</v>
      </c>
      <c r="U26" t="n">
        <v>4</v>
      </c>
      <c r="V26" s="2" t="inlineStr">
        <is>
          <t>Skogsklocka
Skorpgelélav
Aspvedgnagare
Stor aspticka</t>
        </is>
      </c>
      <c r="W26">
        <f>HYPERLINK("https://klasma.github.io/Logging_0480/artfynd/A 1509-2023 artfynd.xlsx", "A 1509-2023")</f>
        <v/>
      </c>
      <c r="X26">
        <f>HYPERLINK("https://klasma.github.io/Logging_0480/kartor/A 1509-2023 karta.png", "A 1509-2023")</f>
        <v/>
      </c>
      <c r="Y26">
        <f>HYPERLINK("https://klasma.github.io/Logging_0480/kartor_geotiff/A 1509-2023 georefererad karta.tif", "A 1509-2023")</f>
        <v/>
      </c>
      <c r="AA26">
        <f>HYPERLINK("https://klasma.github.io/Logging_0480/klagomål/A 1509-2023 FSC-klagomål.docx", "A 1509-2023")</f>
        <v/>
      </c>
      <c r="AB26">
        <f>HYPERLINK("https://klasma.github.io/Logging_0480/klagomålsmail/A 1509-2023 FSC-klagomål mail.docx", "A 1509-2023")</f>
        <v/>
      </c>
      <c r="AC26">
        <f>HYPERLINK("https://klasma.github.io/Logging_0480/tillsyn/A 1509-2023 tillsynsbegäran.docx", "A 1509-2023")</f>
        <v/>
      </c>
      <c r="AD26">
        <f>HYPERLINK("https://klasma.github.io/Logging_0480/tillsynsmail/A 1509-2023 tillsynsbegäran mail.docx", "A 1509-2023")</f>
        <v/>
      </c>
    </row>
    <row r="27" ht="15" customHeight="1">
      <c r="A27" t="inlineStr">
        <is>
          <t>A 8663-2022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44613</v>
      </c>
      <c r="E27" s="1" t="n">
        <v>46307</v>
      </c>
      <c r="F27" t="inlineStr">
        <is>
          <t>SÖDERMANLANDS LÄN</t>
        </is>
      </c>
      <c r="G27" t="inlineStr">
        <is>
          <t>NYKÖPING</t>
        </is>
      </c>
      <c r="I27" t="n">
        <v>6.5</v>
      </c>
      <c r="J27" t="n">
        <v>0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4</v>
      </c>
      <c r="T27" t="n">
        <v>4</v>
      </c>
      <c r="U27" t="n">
        <v>0</v>
      </c>
      <c r="V27" s="2" t="inlineStr">
        <is>
          <t>Fjällig taggsvamp s.str.
Orange taggsvamp
Blomkålssvamp
Stubbspretmossa</t>
        </is>
      </c>
      <c r="W27">
        <f>HYPERLINK("https://klasma.github.io/Logging_0480/artfynd/A 8663-2022 artfynd.xlsx", "A 8663-2022")</f>
        <v/>
      </c>
      <c r="X27">
        <f>HYPERLINK("https://klasma.github.io/Logging_0480/kartor/A 8663-2022 karta.png", "A 8663-2022")</f>
        <v/>
      </c>
      <c r="Y27">
        <f>HYPERLINK("https://klasma.github.io/Logging_0480/kartor_geotiff/A 8663-2022 georefererad karta.tif", "A 8663-2022")</f>
        <v/>
      </c>
      <c r="AA27">
        <f>HYPERLINK("https://klasma.github.io/Logging_0480/klagomål/A 8663-2022 FSC-klagomål.docx", "A 8663-2022")</f>
        <v/>
      </c>
      <c r="AB27">
        <f>HYPERLINK("https://klasma.github.io/Logging_0480/klagomålsmail/A 8663-2022 FSC-klagomål mail.docx", "A 8663-2022")</f>
        <v/>
      </c>
      <c r="AC27">
        <f>HYPERLINK("https://klasma.github.io/Logging_0480/tillsyn/A 8663-2022 tillsynsbegäran.docx", "A 8663-2022")</f>
        <v/>
      </c>
      <c r="AD27">
        <f>HYPERLINK("https://klasma.github.io/Logging_0480/tillsynsmail/A 8663-2022 tillsynsbegäran mail.docx", "A 8663-2022")</f>
        <v/>
      </c>
    </row>
    <row r="28" ht="15" customHeight="1">
      <c r="A28" t="inlineStr">
        <is>
          <t>A 52386-2025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45954</v>
      </c>
      <c r="E28" s="1" t="n">
        <v>46307</v>
      </c>
      <c r="F28" t="inlineStr">
        <is>
          <t>SÖDERMANLANDS LÄN</t>
        </is>
      </c>
      <c r="G28" t="inlineStr">
        <is>
          <t>NYKÖPING</t>
        </is>
      </c>
      <c r="H28" t="inlineStr">
        <is>
          <t>Holmen skog AB</t>
        </is>
      </c>
      <c r="I28" t="n">
        <v>9.800000000000001</v>
      </c>
      <c r="J28" t="n">
        <v>0</v>
      </c>
      <c r="K28" t="n">
        <v>3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4</v>
      </c>
      <c r="T28" t="n">
        <v>4</v>
      </c>
      <c r="U28" t="n">
        <v>3</v>
      </c>
      <c r="V28" s="2" t="inlineStr">
        <is>
          <t>Motaggsvamp
Blåmossa
Grönpyrola
Stor revmossa</t>
        </is>
      </c>
      <c r="W28">
        <f>HYPERLINK("https://klasma.github.io/Logging_0480/artfynd/A 52386-2025 artfynd.xlsx", "A 52386-2025")</f>
        <v/>
      </c>
      <c r="X28">
        <f>HYPERLINK("https://klasma.github.io/Logging_0480/kartor/A 52386-2025 karta.png", "A 52386-2025")</f>
        <v/>
      </c>
      <c r="Y28">
        <f>HYPERLINK("https://klasma.github.io/Logging_0480/kartor_geotiff/A 52386-2025 georefererad karta.tif", "A 52386-2025")</f>
        <v/>
      </c>
      <c r="AA28">
        <f>HYPERLINK("https://klasma.github.io/Logging_0480/klagomål/A 52386-2025 FSC-klagomål.docx", "A 52386-2025")</f>
        <v/>
      </c>
      <c r="AB28">
        <f>HYPERLINK("https://klasma.github.io/Logging_0480/klagomålsmail/A 52386-2025 FSC-klagomål mail.docx", "A 52386-2025")</f>
        <v/>
      </c>
      <c r="AC28">
        <f>HYPERLINK("https://klasma.github.io/Logging_0480/tillsyn/A 52386-2025 tillsynsbegäran.docx", "A 52386-2025")</f>
        <v/>
      </c>
      <c r="AD28">
        <f>HYPERLINK("https://klasma.github.io/Logging_0480/tillsynsmail/A 52386-2025 tillsynsbegäran mail.docx", "A 52386-2025")</f>
        <v/>
      </c>
    </row>
    <row r="29" ht="15" customHeight="1">
      <c r="A29" t="inlineStr">
        <is>
          <t>A 63101-2025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46009</v>
      </c>
      <c r="E29" s="1" t="n">
        <v>46307</v>
      </c>
      <c r="F29" t="inlineStr">
        <is>
          <t>SÖDERMANLANDS LÄN</t>
        </is>
      </c>
      <c r="G29" t="inlineStr">
        <is>
          <t>NYKÖPING</t>
        </is>
      </c>
      <c r="H29" t="inlineStr">
        <is>
          <t>Sveaskog</t>
        </is>
      </c>
      <c r="I29" t="n">
        <v>3.8</v>
      </c>
      <c r="J29" t="n">
        <v>0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4</v>
      </c>
      <c r="T29" t="n">
        <v>5</v>
      </c>
      <c r="U29" t="n">
        <v>0</v>
      </c>
      <c r="V29" s="2" t="inlineStr">
        <is>
          <t>Motaggsvamp
Bronshjon
Mindre märgborre
Vedticka</t>
        </is>
      </c>
      <c r="W29">
        <f>HYPERLINK("https://klasma.github.io/Logging_0480/artfynd/A 63101-2025 artfynd.xlsx", "A 63101-2025")</f>
        <v/>
      </c>
      <c r="X29">
        <f>HYPERLINK("https://klasma.github.io/Logging_0480/kartor/A 63101-2025 karta.png", "A 63101-2025")</f>
        <v/>
      </c>
      <c r="Y29">
        <f>HYPERLINK("https://klasma.github.io/Logging_0480/kartor_geotiff/A 63101-2025 georefererad karta.tif", "A 63101-2025")</f>
        <v/>
      </c>
      <c r="AA29">
        <f>HYPERLINK("https://klasma.github.io/Logging_0480/klagomål/A 63101-2025 FSC-klagomål.docx", "A 63101-2025")</f>
        <v/>
      </c>
      <c r="AB29">
        <f>HYPERLINK("https://klasma.github.io/Logging_0480/klagomålsmail/A 63101-2025 FSC-klagomål mail.docx", "A 63101-2025")</f>
        <v/>
      </c>
      <c r="AC29">
        <f>HYPERLINK("https://klasma.github.io/Logging_0480/tillsyn/A 63101-2025 tillsynsbegäran.docx", "A 63101-2025")</f>
        <v/>
      </c>
      <c r="AD29">
        <f>HYPERLINK("https://klasma.github.io/Logging_0480/tillsynsmail/A 63101-2025 tillsynsbegäran mail.docx", "A 63101-2025")</f>
        <v/>
      </c>
    </row>
    <row r="30" ht="15" customHeight="1">
      <c r="A30" t="inlineStr">
        <is>
          <t>A 10115-2026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46075</v>
      </c>
      <c r="E30" s="1" t="n">
        <v>46307</v>
      </c>
      <c r="F30" t="inlineStr">
        <is>
          <t>SÖDERMANLANDS LÄN</t>
        </is>
      </c>
      <c r="G30" t="inlineStr">
        <is>
          <t>NYKÖPING</t>
        </is>
      </c>
      <c r="I30" t="n">
        <v>4.2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4</v>
      </c>
      <c r="T30" t="n">
        <v>5</v>
      </c>
      <c r="U30" t="n">
        <v>1</v>
      </c>
      <c r="V30" s="2" t="inlineStr">
        <is>
          <t>Dropptaggsvamp
Phellodon aquiloniniger
Grönpyrola
Vanlig padda</t>
        </is>
      </c>
      <c r="W30">
        <f>HYPERLINK("https://klasma.github.io/Logging_0480/artfynd/A 10115-2026 artfynd.xlsx", "A 10115-2026")</f>
        <v/>
      </c>
      <c r="X30">
        <f>HYPERLINK("https://klasma.github.io/Logging_0480/kartor/A 10115-2026 karta.png", "A 10115-2026")</f>
        <v/>
      </c>
      <c r="Y30">
        <f>HYPERLINK("https://klasma.github.io/Logging_0480/kartor_geotiff/A 10115-2026 georefererad karta.tif", "A 10115-2026")</f>
        <v/>
      </c>
      <c r="AA30">
        <f>HYPERLINK("https://klasma.github.io/Logging_0480/klagomål/A 10115-2026 FSC-klagomål.docx", "A 10115-2026")</f>
        <v/>
      </c>
      <c r="AB30">
        <f>HYPERLINK("https://klasma.github.io/Logging_0480/klagomålsmail/A 10115-2026 FSC-klagomål mail.docx", "A 10115-2026")</f>
        <v/>
      </c>
      <c r="AC30">
        <f>HYPERLINK("https://klasma.github.io/Logging_0480/tillsyn/A 10115-2026 tillsynsbegäran.docx", "A 10115-2026")</f>
        <v/>
      </c>
      <c r="AD30">
        <f>HYPERLINK("https://klasma.github.io/Logging_0480/tillsynsmail/A 10115-2026 tillsynsbegäran mail.docx", "A 10115-2026")</f>
        <v/>
      </c>
    </row>
    <row r="31" ht="15" customHeight="1">
      <c r="A31" t="inlineStr">
        <is>
          <t>A 69612-2021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44531</v>
      </c>
      <c r="E31" s="1" t="n">
        <v>46307</v>
      </c>
      <c r="F31" t="inlineStr">
        <is>
          <t>SÖDERMANLANDS LÄN</t>
        </is>
      </c>
      <c r="G31" t="inlineStr">
        <is>
          <t>NYKÖPING</t>
        </is>
      </c>
      <c r="I31" t="n">
        <v>9.199999999999999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3</v>
      </c>
      <c r="U31" t="n">
        <v>1</v>
      </c>
      <c r="V31" s="2" t="inlineStr">
        <is>
          <t>Fjällig taggsvamp s.str.
Stubbtrådmossa
Blomkålssvamp</t>
        </is>
      </c>
      <c r="W31">
        <f>HYPERLINK("https://klasma.github.io/Logging_0480/artfynd/A 69612-2021 artfynd.xlsx", "A 69612-2021")</f>
        <v/>
      </c>
      <c r="X31">
        <f>HYPERLINK("https://klasma.github.io/Logging_0480/kartor/A 69612-2021 karta.png", "A 69612-2021")</f>
        <v/>
      </c>
      <c r="Y31">
        <f>HYPERLINK("https://klasma.github.io/Logging_0480/kartor_geotiff/A 69612-2021 georefererad karta.tif", "A 69612-2021")</f>
        <v/>
      </c>
      <c r="AA31">
        <f>HYPERLINK("https://klasma.github.io/Logging_0480/klagomål/A 69612-2021 FSC-klagomål.docx", "A 69612-2021")</f>
        <v/>
      </c>
      <c r="AB31">
        <f>HYPERLINK("https://klasma.github.io/Logging_0480/klagomålsmail/A 69612-2021 FSC-klagomål mail.docx", "A 69612-2021")</f>
        <v/>
      </c>
      <c r="AC31">
        <f>HYPERLINK("https://klasma.github.io/Logging_0480/tillsyn/A 69612-2021 tillsynsbegäran.docx", "A 69612-2021")</f>
        <v/>
      </c>
      <c r="AD31">
        <f>HYPERLINK("https://klasma.github.io/Logging_0480/tillsynsmail/A 69612-2021 tillsynsbegäran mail.docx", "A 69612-2021")</f>
        <v/>
      </c>
    </row>
    <row r="32" ht="15" customHeight="1">
      <c r="A32" t="inlineStr">
        <is>
          <t>A 4710-2024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45328</v>
      </c>
      <c r="E32" s="1" t="n">
        <v>46307</v>
      </c>
      <c r="F32" t="inlineStr">
        <is>
          <t>SÖDERMANLANDS LÄN</t>
        </is>
      </c>
      <c r="G32" t="inlineStr">
        <is>
          <t>NYKÖPING</t>
        </is>
      </c>
      <c r="I32" t="n">
        <v>8.699999999999999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3</v>
      </c>
      <c r="T32" t="n">
        <v>3</v>
      </c>
      <c r="U32" t="n">
        <v>0</v>
      </c>
      <c r="V32" s="2" t="inlineStr">
        <is>
          <t>Ask
Blåsippa
Grönvit nattviol</t>
        </is>
      </c>
      <c r="W32">
        <f>HYPERLINK("https://klasma.github.io/Logging_0480/artfynd/A 4710-2024 artfynd.xlsx", "A 4710-2024")</f>
        <v/>
      </c>
      <c r="X32">
        <f>HYPERLINK("https://klasma.github.io/Logging_0480/kartor/A 4710-2024 karta.png", "A 4710-2024")</f>
        <v/>
      </c>
      <c r="Y32">
        <f>HYPERLINK("https://klasma.github.io/Logging_0480/kartor_geotiff/A 4710-2024 georefererad karta.tif", "A 4710-2024")</f>
        <v/>
      </c>
      <c r="AA32">
        <f>HYPERLINK("https://klasma.github.io/Logging_0480/klagomål/A 4710-2024 FSC-klagomål.docx", "A 4710-2024")</f>
        <v/>
      </c>
      <c r="AB32">
        <f>HYPERLINK("https://klasma.github.io/Logging_0480/klagomålsmail/A 4710-2024 FSC-klagomål mail.docx", "A 4710-2024")</f>
        <v/>
      </c>
      <c r="AC32">
        <f>HYPERLINK("https://klasma.github.io/Logging_0480/tillsyn/A 4710-2024 tillsynsbegäran.docx", "A 4710-2024")</f>
        <v/>
      </c>
      <c r="AD32">
        <f>HYPERLINK("https://klasma.github.io/Logging_0480/tillsynsmail/A 4710-2024 tillsynsbegäran mail.docx", "A 4710-2024")</f>
        <v/>
      </c>
    </row>
    <row r="33" ht="15" customHeight="1">
      <c r="A33" t="inlineStr">
        <is>
          <t>A 11640-2022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44631</v>
      </c>
      <c r="E33" s="1" t="n">
        <v>46307</v>
      </c>
      <c r="F33" t="inlineStr">
        <is>
          <t>SÖDERMANLANDS LÄN</t>
        </is>
      </c>
      <c r="G33" t="inlineStr">
        <is>
          <t>NYKÖPING</t>
        </is>
      </c>
      <c r="H33" t="inlineStr">
        <is>
          <t>Kyrkan</t>
        </is>
      </c>
      <c r="I33" t="n">
        <v>7.6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3</v>
      </c>
      <c r="U33" t="n">
        <v>0</v>
      </c>
      <c r="V33" s="2" t="inlineStr">
        <is>
          <t>Fjällig taggsvamp s.str.
Granbarkgnagare
Grovticka</t>
        </is>
      </c>
      <c r="W33">
        <f>HYPERLINK("https://klasma.github.io/Logging_0480/artfynd/A 11640-2022 artfynd.xlsx", "A 11640-2022")</f>
        <v/>
      </c>
      <c r="X33">
        <f>HYPERLINK("https://klasma.github.io/Logging_0480/kartor/A 11640-2022 karta.png", "A 11640-2022")</f>
        <v/>
      </c>
      <c r="Y33">
        <f>HYPERLINK("https://klasma.github.io/Logging_0480/kartor_geotiff/A 11640-2022 georefererad karta.tif", "A 11640-2022")</f>
        <v/>
      </c>
      <c r="AA33">
        <f>HYPERLINK("https://klasma.github.io/Logging_0480/klagomål/A 11640-2022 FSC-klagomål.docx", "A 11640-2022")</f>
        <v/>
      </c>
      <c r="AB33">
        <f>HYPERLINK("https://klasma.github.io/Logging_0480/klagomålsmail/A 11640-2022 FSC-klagomål mail.docx", "A 11640-2022")</f>
        <v/>
      </c>
      <c r="AC33">
        <f>HYPERLINK("https://klasma.github.io/Logging_0480/tillsyn/A 11640-2022 tillsynsbegäran.docx", "A 11640-2022")</f>
        <v/>
      </c>
      <c r="AD33">
        <f>HYPERLINK("https://klasma.github.io/Logging_0480/tillsynsmail/A 11640-2022 tillsynsbegäran mail.docx", "A 11640-2022")</f>
        <v/>
      </c>
    </row>
    <row r="34" ht="15" customHeight="1">
      <c r="A34" t="inlineStr">
        <is>
          <t>A 54227-2025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45964</v>
      </c>
      <c r="E34" s="1" t="n">
        <v>46307</v>
      </c>
      <c r="F34" t="inlineStr">
        <is>
          <t>SÖDERMANLANDS LÄN</t>
        </is>
      </c>
      <c r="G34" t="inlineStr">
        <is>
          <t>NYKÖPING</t>
        </is>
      </c>
      <c r="H34" t="inlineStr">
        <is>
          <t>Holmen skog AB</t>
        </is>
      </c>
      <c r="I34" t="n">
        <v>1.8</v>
      </c>
      <c r="J34" t="n">
        <v>0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3</v>
      </c>
      <c r="T34" t="n">
        <v>3</v>
      </c>
      <c r="U34" t="n">
        <v>0</v>
      </c>
      <c r="V34" s="2" t="inlineStr">
        <is>
          <t>Grantaggsvamp
Skarp dropptaggsvamp
Zontaggsvamp</t>
        </is>
      </c>
      <c r="W34">
        <f>HYPERLINK("https://klasma.github.io/Logging_0480/artfynd/A 54227-2025 artfynd.xlsx", "A 54227-2025")</f>
        <v/>
      </c>
      <c r="X34">
        <f>HYPERLINK("https://klasma.github.io/Logging_0480/kartor/A 54227-2025 karta.png", "A 54227-2025")</f>
        <v/>
      </c>
      <c r="Y34">
        <f>HYPERLINK("https://klasma.github.io/Logging_0480/kartor_geotiff/A 54227-2025 georefererad karta.tif", "A 54227-2025")</f>
        <v/>
      </c>
      <c r="AA34">
        <f>HYPERLINK("https://klasma.github.io/Logging_0480/klagomål/A 54227-2025 FSC-klagomål.docx", "A 54227-2025")</f>
        <v/>
      </c>
      <c r="AB34">
        <f>HYPERLINK("https://klasma.github.io/Logging_0480/klagomålsmail/A 54227-2025 FSC-klagomål mail.docx", "A 54227-2025")</f>
        <v/>
      </c>
      <c r="AC34">
        <f>HYPERLINK("https://klasma.github.io/Logging_0480/tillsyn/A 54227-2025 tillsynsbegäran.docx", "A 54227-2025")</f>
        <v/>
      </c>
      <c r="AD34">
        <f>HYPERLINK("https://klasma.github.io/Logging_0480/tillsynsmail/A 54227-2025 tillsynsbegäran mail.docx", "A 54227-2025")</f>
        <v/>
      </c>
    </row>
    <row r="35" ht="15" customHeight="1">
      <c r="A35" t="inlineStr">
        <is>
          <t>A 38203-2022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44812</v>
      </c>
      <c r="E35" s="1" t="n">
        <v>46307</v>
      </c>
      <c r="F35" t="inlineStr">
        <is>
          <t>SÖDERMANLANDS LÄN</t>
        </is>
      </c>
      <c r="G35" t="inlineStr">
        <is>
          <t>NYKÖPING</t>
        </is>
      </c>
      <c r="I35" t="n">
        <v>1.9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3</v>
      </c>
      <c r="T35" t="n">
        <v>3</v>
      </c>
      <c r="U35" t="n">
        <v>0</v>
      </c>
      <c r="V35" s="2" t="inlineStr">
        <is>
          <t>Gulsparv
Kösa
Linmåra/småsnärjmåra</t>
        </is>
      </c>
      <c r="W35">
        <f>HYPERLINK("https://klasma.github.io/Logging_0480/artfynd/A 38203-2022 artfynd.xlsx", "A 38203-2022")</f>
        <v/>
      </c>
      <c r="X35">
        <f>HYPERLINK("https://klasma.github.io/Logging_0480/kartor/A 38203-2022 karta.png", "A 38203-2022")</f>
        <v/>
      </c>
      <c r="Y35">
        <f>HYPERLINK("https://klasma.github.io/Logging_0480/kartor_geotiff/A 38203-2022 georefererad karta.tif", "A 38203-2022")</f>
        <v/>
      </c>
      <c r="AA35">
        <f>HYPERLINK("https://klasma.github.io/Logging_0480/klagomål/A 38203-2022 FSC-klagomål.docx", "A 38203-2022")</f>
        <v/>
      </c>
      <c r="AB35">
        <f>HYPERLINK("https://klasma.github.io/Logging_0480/klagomålsmail/A 38203-2022 FSC-klagomål mail.docx", "A 38203-2022")</f>
        <v/>
      </c>
      <c r="AC35">
        <f>HYPERLINK("https://klasma.github.io/Logging_0480/tillsyn/A 38203-2022 tillsynsbegäran.docx", "A 38203-2022")</f>
        <v/>
      </c>
      <c r="AD35">
        <f>HYPERLINK("https://klasma.github.io/Logging_0480/tillsynsmail/A 38203-2022 tillsynsbegäran mail.docx", "A 38203-2022")</f>
        <v/>
      </c>
      <c r="AE35">
        <f>HYPERLINK("https://klasma.github.io/Logging_0480/fåglar/A 38203-2022 prioriterade fågelarter.docx", "A 38203-2022")</f>
        <v/>
      </c>
    </row>
    <row r="36" ht="15" customHeight="1">
      <c r="A36" t="inlineStr">
        <is>
          <t>A 53573-2022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44879</v>
      </c>
      <c r="E36" s="1" t="n">
        <v>46307</v>
      </c>
      <c r="F36" t="inlineStr">
        <is>
          <t>SÖDERMANLANDS LÄN</t>
        </is>
      </c>
      <c r="G36" t="inlineStr">
        <is>
          <t>NYKÖPING</t>
        </is>
      </c>
      <c r="H36" t="inlineStr">
        <is>
          <t>Övriga Aktiebolag</t>
        </is>
      </c>
      <c r="I36" t="n">
        <v>9.199999999999999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</v>
      </c>
      <c r="T36" t="n">
        <v>3</v>
      </c>
      <c r="U36" t="n">
        <v>0</v>
      </c>
      <c r="V36" s="2" t="inlineStr">
        <is>
          <t>Dofttaggsvamp
Fjällig taggsvamp s.str.
Sotvaxskivling</t>
        </is>
      </c>
      <c r="W36">
        <f>HYPERLINK("https://klasma.github.io/Logging_0480/artfynd/A 53573-2022 artfynd.xlsx", "A 53573-2022")</f>
        <v/>
      </c>
      <c r="X36">
        <f>HYPERLINK("https://klasma.github.io/Logging_0480/kartor/A 53573-2022 karta.png", "A 53573-2022")</f>
        <v/>
      </c>
      <c r="Y36">
        <f>HYPERLINK("https://klasma.github.io/Logging_0480/kartor_geotiff/A 53573-2022 georefererad karta.tif", "A 53573-2022")</f>
        <v/>
      </c>
      <c r="AA36">
        <f>HYPERLINK("https://klasma.github.io/Logging_0480/klagomål/A 53573-2022 FSC-klagomål.docx", "A 53573-2022")</f>
        <v/>
      </c>
      <c r="AB36">
        <f>HYPERLINK("https://klasma.github.io/Logging_0480/klagomålsmail/A 53573-2022 FSC-klagomål mail.docx", "A 53573-2022")</f>
        <v/>
      </c>
      <c r="AC36">
        <f>HYPERLINK("https://klasma.github.io/Logging_0480/tillsyn/A 53573-2022 tillsynsbegäran.docx", "A 53573-2022")</f>
        <v/>
      </c>
      <c r="AD36">
        <f>HYPERLINK("https://klasma.github.io/Logging_0480/tillsynsmail/A 53573-2022 tillsynsbegäran mail.docx", "A 53573-2022")</f>
        <v/>
      </c>
    </row>
    <row r="37" ht="15" customHeight="1">
      <c r="A37" t="inlineStr">
        <is>
          <t>A 39740-2022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44817</v>
      </c>
      <c r="E37" s="1" t="n">
        <v>46307</v>
      </c>
      <c r="F37" t="inlineStr">
        <is>
          <t>SÖDERMANLANDS LÄN</t>
        </is>
      </c>
      <c r="G37" t="inlineStr">
        <is>
          <t>NYKÖPING</t>
        </is>
      </c>
      <c r="H37" t="inlineStr">
        <is>
          <t>Kommuner</t>
        </is>
      </c>
      <c r="I37" t="n">
        <v>3.4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3</v>
      </c>
      <c r="U37" t="n">
        <v>2</v>
      </c>
      <c r="V37" s="2" t="inlineStr">
        <is>
          <t>Tallticka
Vågbandad barkbock
Blåsippa</t>
        </is>
      </c>
      <c r="W37">
        <f>HYPERLINK("https://klasma.github.io/Logging_0480/artfynd/A 39740-2022 artfynd.xlsx", "A 39740-2022")</f>
        <v/>
      </c>
      <c r="X37">
        <f>HYPERLINK("https://klasma.github.io/Logging_0480/kartor/A 39740-2022 karta.png", "A 39740-2022")</f>
        <v/>
      </c>
      <c r="Y37">
        <f>HYPERLINK("https://klasma.github.io/Logging_0480/kartor_geotiff/A 39740-2022 georefererad karta.tif", "A 39740-2022")</f>
        <v/>
      </c>
      <c r="AA37">
        <f>HYPERLINK("https://klasma.github.io/Logging_0480/klagomål/A 39740-2022 FSC-klagomål.docx", "A 39740-2022")</f>
        <v/>
      </c>
      <c r="AB37">
        <f>HYPERLINK("https://klasma.github.io/Logging_0480/klagomålsmail/A 39740-2022 FSC-klagomål mail.docx", "A 39740-2022")</f>
        <v/>
      </c>
      <c r="AC37">
        <f>HYPERLINK("https://klasma.github.io/Logging_0480/tillsyn/A 39740-2022 tillsynsbegäran.docx", "A 39740-2022")</f>
        <v/>
      </c>
      <c r="AD37">
        <f>HYPERLINK("https://klasma.github.io/Logging_0480/tillsynsmail/A 39740-2022 tillsynsbegäran mail.docx", "A 39740-2022")</f>
        <v/>
      </c>
    </row>
    <row r="38" ht="15" customHeight="1">
      <c r="A38" t="inlineStr">
        <is>
          <t>A 22417-2023</t>
        </is>
      </c>
      <c r="B38" t="inlineStr">
        <is>
          <t>avverkningsanmälan</t>
        </is>
      </c>
      <c r="C38" t="inlineStr">
        <is>
          <t>Avverkning för att bevara och utveckla /försöksver</t>
        </is>
      </c>
      <c r="D38" s="1" t="n">
        <v>45070</v>
      </c>
      <c r="E38" s="1" t="n">
        <v>46307</v>
      </c>
      <c r="F38" t="inlineStr">
        <is>
          <t>SÖDERMANLANDS LÄN</t>
        </is>
      </c>
      <c r="G38" t="inlineStr">
        <is>
          <t>NYKÖPING</t>
        </is>
      </c>
      <c r="H38" t="inlineStr">
        <is>
          <t>Holmen skog AB</t>
        </is>
      </c>
      <c r="I38" t="n">
        <v>1.6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3</v>
      </c>
      <c r="U38" t="n">
        <v>2</v>
      </c>
      <c r="V38" s="2" t="inlineStr">
        <is>
          <t>Backstarr
Sjöhjortron
Vanlig snok</t>
        </is>
      </c>
      <c r="W38">
        <f>HYPERLINK("https://klasma.github.io/Logging_0480/artfynd/A 22417-2023 artfynd.xlsx", "A 22417-2023")</f>
        <v/>
      </c>
      <c r="X38">
        <f>HYPERLINK("https://klasma.github.io/Logging_0480/kartor/A 22417-2023 karta.png", "A 22417-2023")</f>
        <v/>
      </c>
      <c r="Y38">
        <f>HYPERLINK("https://klasma.github.io/Logging_0480/kartor_geotiff/A 22417-2023 georefererad karta.tif", "A 22417-2023")</f>
        <v/>
      </c>
      <c r="AA38">
        <f>HYPERLINK("https://klasma.github.io/Logging_0480/klagomål/A 22417-2023 FSC-klagomål.docx", "A 22417-2023")</f>
        <v/>
      </c>
      <c r="AB38">
        <f>HYPERLINK("https://klasma.github.io/Logging_0480/klagomålsmail/A 22417-2023 FSC-klagomål mail.docx", "A 22417-2023")</f>
        <v/>
      </c>
      <c r="AC38">
        <f>HYPERLINK("https://klasma.github.io/Logging_0480/tillsyn/A 22417-2023 tillsynsbegäran.docx", "A 22417-2023")</f>
        <v/>
      </c>
      <c r="AD38">
        <f>HYPERLINK("https://klasma.github.io/Logging_0480/tillsynsmail/A 22417-2023 tillsynsbegäran mail.docx", "A 22417-2023")</f>
        <v/>
      </c>
    </row>
    <row r="39" ht="15" customHeight="1">
      <c r="A39" t="inlineStr">
        <is>
          <t>A 54498-2023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45226</v>
      </c>
      <c r="E39" s="1" t="n">
        <v>46307</v>
      </c>
      <c r="F39" t="inlineStr">
        <is>
          <t>SÖDERMANLANDS LÄN</t>
        </is>
      </c>
      <c r="G39" t="inlineStr">
        <is>
          <t>NYKÖPING</t>
        </is>
      </c>
      <c r="I39" t="n">
        <v>4.7</v>
      </c>
      <c r="J39" t="n">
        <v>3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3</v>
      </c>
      <c r="T39" t="n">
        <v>3</v>
      </c>
      <c r="U39" t="n">
        <v>1</v>
      </c>
      <c r="V39" s="2" t="inlineStr">
        <is>
          <t>Brun glada
Trana
Utter</t>
        </is>
      </c>
      <c r="W39">
        <f>HYPERLINK("https://klasma.github.io/Logging_0480/artfynd/A 54498-2023 artfynd.xlsx", "A 54498-2023")</f>
        <v/>
      </c>
      <c r="X39">
        <f>HYPERLINK("https://klasma.github.io/Logging_0480/kartor/A 54498-2023 karta.png", "A 54498-2023")</f>
        <v/>
      </c>
      <c r="Y39">
        <f>HYPERLINK("https://klasma.github.io/Logging_0480/kartor_geotiff/A 54498-2023 georefererad karta.tif", "A 54498-2023")</f>
        <v/>
      </c>
      <c r="AA39">
        <f>HYPERLINK("https://klasma.github.io/Logging_0480/klagomål/A 54498-2023 FSC-klagomål.docx", "A 54498-2023")</f>
        <v/>
      </c>
      <c r="AB39">
        <f>HYPERLINK("https://klasma.github.io/Logging_0480/klagomålsmail/A 54498-2023 FSC-klagomål mail.docx", "A 54498-2023")</f>
        <v/>
      </c>
      <c r="AC39">
        <f>HYPERLINK("https://klasma.github.io/Logging_0480/tillsyn/A 54498-2023 tillsynsbegäran.docx", "A 54498-2023")</f>
        <v/>
      </c>
      <c r="AD39">
        <f>HYPERLINK("https://klasma.github.io/Logging_0480/tillsynsmail/A 54498-2023 tillsynsbegäran mail.docx", "A 54498-2023")</f>
        <v/>
      </c>
      <c r="AE39">
        <f>HYPERLINK("https://klasma.github.io/Logging_0480/fåglar/A 54498-2023 prioriterade fågelarter.docx", "A 54498-2023")</f>
        <v/>
      </c>
    </row>
    <row r="40" ht="15" customHeight="1">
      <c r="A40" t="inlineStr">
        <is>
          <t>A 57727-2025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45981</v>
      </c>
      <c r="E40" s="1" t="n">
        <v>46307</v>
      </c>
      <c r="F40" t="inlineStr">
        <is>
          <t>SÖDERMANLANDS LÄN</t>
        </is>
      </c>
      <c r="G40" t="inlineStr">
        <is>
          <t>NYKÖPING</t>
        </is>
      </c>
      <c r="I40" t="n">
        <v>9.6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3</v>
      </c>
      <c r="U40" t="n">
        <v>0</v>
      </c>
      <c r="V40" s="2" t="inlineStr">
        <is>
          <t>Grönsångare
Spillkråka
Trana</t>
        </is>
      </c>
      <c r="W40">
        <f>HYPERLINK("https://klasma.github.io/Logging_0480/artfynd/A 57727-2025 artfynd.xlsx", "A 57727-2025")</f>
        <v/>
      </c>
      <c r="X40">
        <f>HYPERLINK("https://klasma.github.io/Logging_0480/kartor/A 57727-2025 karta.png", "A 57727-2025")</f>
        <v/>
      </c>
      <c r="Y40">
        <f>HYPERLINK("https://klasma.github.io/Logging_0480/kartor_geotiff/A 57727-2025 georefererad karta.tif", "A 57727-2025")</f>
        <v/>
      </c>
      <c r="AA40">
        <f>HYPERLINK("https://klasma.github.io/Logging_0480/klagomål/A 57727-2025 FSC-klagomål.docx", "A 57727-2025")</f>
        <v/>
      </c>
      <c r="AB40">
        <f>HYPERLINK("https://klasma.github.io/Logging_0480/klagomålsmail/A 57727-2025 FSC-klagomål mail.docx", "A 57727-2025")</f>
        <v/>
      </c>
      <c r="AC40">
        <f>HYPERLINK("https://klasma.github.io/Logging_0480/tillsyn/A 57727-2025 tillsynsbegäran.docx", "A 57727-2025")</f>
        <v/>
      </c>
      <c r="AD40">
        <f>HYPERLINK("https://klasma.github.io/Logging_0480/tillsynsmail/A 57727-2025 tillsynsbegäran mail.docx", "A 57727-2025")</f>
        <v/>
      </c>
      <c r="AE40">
        <f>HYPERLINK("https://klasma.github.io/Logging_0480/fåglar/A 57727-2025 prioriterade fågelarter.docx", "A 57727-2025")</f>
        <v/>
      </c>
    </row>
    <row r="41" ht="15" customHeight="1">
      <c r="A41" t="inlineStr">
        <is>
          <t>A 24092-2026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46166</v>
      </c>
      <c r="E41" s="1" t="n">
        <v>46307</v>
      </c>
      <c r="F41" t="inlineStr">
        <is>
          <t>SÖDERMANLANDS LÄN</t>
        </is>
      </c>
      <c r="G41" t="inlineStr">
        <is>
          <t>NYKÖPING</t>
        </is>
      </c>
      <c r="I41" t="n">
        <v>5.4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3</v>
      </c>
      <c r="U41" t="n">
        <v>3</v>
      </c>
      <c r="V41" s="2" t="inlineStr">
        <is>
          <t>Blåbär
Vildkaprifol
Ängskovall</t>
        </is>
      </c>
      <c r="W41">
        <f>HYPERLINK("https://klasma.github.io/Logging_0480/artfynd/A 24092-2026 artfynd.xlsx", "A 24092-2026")</f>
        <v/>
      </c>
      <c r="X41">
        <f>HYPERLINK("https://klasma.github.io/Logging_0480/kartor/A 24092-2026 karta.png", "A 24092-2026")</f>
        <v/>
      </c>
      <c r="Y41">
        <f>HYPERLINK("https://klasma.github.io/Logging_0480/kartor_geotiff/A 24092-2026 georefererad karta.tif", "A 24092-2026")</f>
        <v/>
      </c>
      <c r="AA41">
        <f>HYPERLINK("https://klasma.github.io/Logging_0480/klagomål/A 24092-2026 FSC-klagomål.docx", "A 24092-2026")</f>
        <v/>
      </c>
      <c r="AB41">
        <f>HYPERLINK("https://klasma.github.io/Logging_0480/klagomålsmail/A 24092-2026 FSC-klagomål mail.docx", "A 24092-2026")</f>
        <v/>
      </c>
      <c r="AC41">
        <f>HYPERLINK("https://klasma.github.io/Logging_0480/tillsyn/A 24092-2026 tillsynsbegäran.docx", "A 24092-2026")</f>
        <v/>
      </c>
      <c r="AD41">
        <f>HYPERLINK("https://klasma.github.io/Logging_0480/tillsynsmail/A 24092-2026 tillsynsbegäran mail.docx", "A 24092-2026")</f>
        <v/>
      </c>
    </row>
    <row r="42" ht="15" customHeight="1">
      <c r="A42" t="inlineStr">
        <is>
          <t>A 56560-2022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44893</v>
      </c>
      <c r="E42" s="1" t="n">
        <v>46307</v>
      </c>
      <c r="F42" t="inlineStr">
        <is>
          <t>SÖDERMANLANDS LÄN</t>
        </is>
      </c>
      <c r="G42" t="inlineStr">
        <is>
          <t>NYKÖPING</t>
        </is>
      </c>
      <c r="H42" t="inlineStr">
        <is>
          <t>Övriga Aktiebolag</t>
        </is>
      </c>
      <c r="I42" t="n">
        <v>1.1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2</v>
      </c>
      <c r="U42" t="n">
        <v>2</v>
      </c>
      <c r="V42" s="2" t="inlineStr">
        <is>
          <t>Fjällvråk
Kråka</t>
        </is>
      </c>
      <c r="W42">
        <f>HYPERLINK("https://klasma.github.io/Logging_0480/artfynd/A 56560-2022 artfynd.xlsx", "A 56560-2022")</f>
        <v/>
      </c>
      <c r="X42">
        <f>HYPERLINK("https://klasma.github.io/Logging_0480/kartor/A 56560-2022 karta.png", "A 56560-2022")</f>
        <v/>
      </c>
      <c r="Y42">
        <f>HYPERLINK("https://klasma.github.io/Logging_0480/kartor_geotiff/A 56560-2022 georefererad karta.tif", "A 56560-2022")</f>
        <v/>
      </c>
      <c r="AA42">
        <f>HYPERLINK("https://klasma.github.io/Logging_0480/klagomål/A 56560-2022 FSC-klagomål.docx", "A 56560-2022")</f>
        <v/>
      </c>
      <c r="AB42">
        <f>HYPERLINK("https://klasma.github.io/Logging_0480/klagomålsmail/A 56560-2022 FSC-klagomål mail.docx", "A 56560-2022")</f>
        <v/>
      </c>
      <c r="AC42">
        <f>HYPERLINK("https://klasma.github.io/Logging_0480/tillsyn/A 56560-2022 tillsynsbegäran.docx", "A 56560-2022")</f>
        <v/>
      </c>
      <c r="AD42">
        <f>HYPERLINK("https://klasma.github.io/Logging_0480/tillsynsmail/A 56560-2022 tillsynsbegäran mail.docx", "A 56560-2022")</f>
        <v/>
      </c>
      <c r="AE42">
        <f>HYPERLINK("https://klasma.github.io/Logging_0480/fåglar/A 56560-2022 prioriterade fågelarter.docx", "A 56560-2022")</f>
        <v/>
      </c>
    </row>
    <row r="43" ht="15" customHeight="1">
      <c r="A43" t="inlineStr">
        <is>
          <t>A 5857-2024</t>
        </is>
      </c>
      <c r="B43" t="inlineStr">
        <is>
          <t>avverkningsanmälan</t>
        </is>
      </c>
      <c r="C43" t="inlineStr">
        <is>
          <t>Avverkning för annat ändamål</t>
        </is>
      </c>
      <c r="D43" s="1" t="n">
        <v>45335</v>
      </c>
      <c r="E43" s="1" t="n">
        <v>46307</v>
      </c>
      <c r="F43" t="inlineStr">
        <is>
          <t>SÖDERMANLANDS LÄN</t>
        </is>
      </c>
      <c r="G43" t="inlineStr">
        <is>
          <t>NYKÖPING</t>
        </is>
      </c>
      <c r="H43" t="inlineStr">
        <is>
          <t>Sveaskog</t>
        </is>
      </c>
      <c r="I43" t="n">
        <v>1.9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2</v>
      </c>
      <c r="U43" t="n">
        <v>1</v>
      </c>
      <c r="V43" s="2" t="inlineStr">
        <is>
          <t>Törnskata
Revlummer</t>
        </is>
      </c>
      <c r="W43">
        <f>HYPERLINK("https://klasma.github.io/Logging_0480/artfynd/A 5857-2024 artfynd.xlsx", "A 5857-2024")</f>
        <v/>
      </c>
      <c r="X43">
        <f>HYPERLINK("https://klasma.github.io/Logging_0480/kartor/A 5857-2024 karta.png", "A 5857-2024")</f>
        <v/>
      </c>
      <c r="Y43">
        <f>HYPERLINK("https://klasma.github.io/Logging_0480/kartor_geotiff/A 5857-2024 georefererad karta.tif", "A 5857-2024")</f>
        <v/>
      </c>
      <c r="AA43">
        <f>HYPERLINK("https://klasma.github.io/Logging_0480/klagomål/A 5857-2024 FSC-klagomål.docx", "A 5857-2024")</f>
        <v/>
      </c>
      <c r="AB43">
        <f>HYPERLINK("https://klasma.github.io/Logging_0480/klagomålsmail/A 5857-2024 FSC-klagomål mail.docx", "A 5857-2024")</f>
        <v/>
      </c>
      <c r="AC43">
        <f>HYPERLINK("https://klasma.github.io/Logging_0480/tillsyn/A 5857-2024 tillsynsbegäran.docx", "A 5857-2024")</f>
        <v/>
      </c>
      <c r="AD43">
        <f>HYPERLINK("https://klasma.github.io/Logging_0480/tillsynsmail/A 5857-2024 tillsynsbegäran mail.docx", "A 5857-2024")</f>
        <v/>
      </c>
      <c r="AE43">
        <f>HYPERLINK("https://klasma.github.io/Logging_0480/fåglar/A 5857-2024 prioriterade fågelarter.docx", "A 5857-2024")</f>
        <v/>
      </c>
    </row>
    <row r="44" ht="15" customHeight="1">
      <c r="A44" t="inlineStr">
        <is>
          <t>A 10977-2024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45370</v>
      </c>
      <c r="E44" s="1" t="n">
        <v>46307</v>
      </c>
      <c r="F44" t="inlineStr">
        <is>
          <t>SÖDERMANLANDS LÄN</t>
        </is>
      </c>
      <c r="G44" t="inlineStr">
        <is>
          <t>NYKÖPING</t>
        </is>
      </c>
      <c r="H44" t="inlineStr">
        <is>
          <t>Kommuner</t>
        </is>
      </c>
      <c r="I44" t="n">
        <v>3.7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2</v>
      </c>
      <c r="U44" t="n">
        <v>0</v>
      </c>
      <c r="V44" s="2" t="inlineStr">
        <is>
          <t>Stor aspticka
Vätteros</t>
        </is>
      </c>
      <c r="W44">
        <f>HYPERLINK("https://klasma.github.io/Logging_0480/artfynd/A 10977-2024 artfynd.xlsx", "A 10977-2024")</f>
        <v/>
      </c>
      <c r="X44">
        <f>HYPERLINK("https://klasma.github.io/Logging_0480/kartor/A 10977-2024 karta.png", "A 10977-2024")</f>
        <v/>
      </c>
      <c r="Y44">
        <f>HYPERLINK("https://klasma.github.io/Logging_0480/kartor_geotiff/A 10977-2024 georefererad karta.tif", "A 10977-2024")</f>
        <v/>
      </c>
      <c r="AA44">
        <f>HYPERLINK("https://klasma.github.io/Logging_0480/klagomål/A 10977-2024 FSC-klagomål.docx", "A 10977-2024")</f>
        <v/>
      </c>
      <c r="AB44">
        <f>HYPERLINK("https://klasma.github.io/Logging_0480/klagomålsmail/A 10977-2024 FSC-klagomål mail.docx", "A 10977-2024")</f>
        <v/>
      </c>
      <c r="AC44">
        <f>HYPERLINK("https://klasma.github.io/Logging_0480/tillsyn/A 10977-2024 tillsynsbegäran.docx", "A 10977-2024")</f>
        <v/>
      </c>
      <c r="AD44">
        <f>HYPERLINK("https://klasma.github.io/Logging_0480/tillsynsmail/A 10977-2024 tillsynsbegäran mail.docx", "A 10977-2024")</f>
        <v/>
      </c>
    </row>
    <row r="45" ht="15" customHeight="1">
      <c r="A45" t="inlineStr">
        <is>
          <t>A 56420-2021</t>
        </is>
      </c>
      <c r="B45" t="inlineStr">
        <is>
          <t>avverkningsanmälan</t>
        </is>
      </c>
      <c r="C45" t="inlineStr">
        <is>
          <t>Avverkning för att bevara och utveckla /försöksver</t>
        </is>
      </c>
      <c r="D45" s="1" t="n">
        <v>44480</v>
      </c>
      <c r="E45" s="1" t="n">
        <v>46307</v>
      </c>
      <c r="F45" t="inlineStr">
        <is>
          <t>SÖDERMANLANDS LÄN</t>
        </is>
      </c>
      <c r="G45" t="inlineStr">
        <is>
          <t>NYKÖPING</t>
        </is>
      </c>
      <c r="H45" t="inlineStr">
        <is>
          <t>Holmen skog AB</t>
        </is>
      </c>
      <c r="I45" t="n">
        <v>2.8</v>
      </c>
      <c r="J45" t="n">
        <v>2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2</v>
      </c>
      <c r="T45" t="n">
        <v>2</v>
      </c>
      <c r="U45" t="n">
        <v>1</v>
      </c>
      <c r="V45" s="2" t="inlineStr">
        <is>
          <t>Björktrast
Kungsörn</t>
        </is>
      </c>
      <c r="W45">
        <f>HYPERLINK("https://klasma.github.io/Logging_0480/artfynd/A 56420-2021 artfynd.xlsx", "A 56420-2021")</f>
        <v/>
      </c>
      <c r="X45">
        <f>HYPERLINK("https://klasma.github.io/Logging_0480/kartor/A 56420-2021 karta.png", "A 56420-2021")</f>
        <v/>
      </c>
      <c r="Y45">
        <f>HYPERLINK("https://klasma.github.io/Logging_0480/kartor_geotiff/A 56420-2021 georefererad karta.tif", "A 56420-2021")</f>
        <v/>
      </c>
      <c r="AA45">
        <f>HYPERLINK("https://klasma.github.io/Logging_0480/klagomål/A 56420-2021 FSC-klagomål.docx", "A 56420-2021")</f>
        <v/>
      </c>
      <c r="AB45">
        <f>HYPERLINK("https://klasma.github.io/Logging_0480/klagomålsmail/A 56420-2021 FSC-klagomål mail.docx", "A 56420-2021")</f>
        <v/>
      </c>
      <c r="AC45">
        <f>HYPERLINK("https://klasma.github.io/Logging_0480/tillsyn/A 56420-2021 tillsynsbegäran.docx", "A 56420-2021")</f>
        <v/>
      </c>
      <c r="AD45">
        <f>HYPERLINK("https://klasma.github.io/Logging_0480/tillsynsmail/A 56420-2021 tillsynsbegäran mail.docx", "A 56420-2021")</f>
        <v/>
      </c>
      <c r="AE45">
        <f>HYPERLINK("https://klasma.github.io/Logging_0480/fåglar/A 56420-2021 prioriterade fågelarter.docx", "A 56420-2021")</f>
        <v/>
      </c>
    </row>
    <row r="46" ht="15" customHeight="1">
      <c r="A46" t="inlineStr">
        <is>
          <t>A 60518-2022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44904</v>
      </c>
      <c r="E46" s="1" t="n">
        <v>46307</v>
      </c>
      <c r="F46" t="inlineStr">
        <is>
          <t>SÖDERMANLANDS LÄN</t>
        </is>
      </c>
      <c r="G46" t="inlineStr">
        <is>
          <t>NYKÖPING</t>
        </is>
      </c>
      <c r="I46" t="n">
        <v>6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3</v>
      </c>
      <c r="U46" t="n">
        <v>0</v>
      </c>
      <c r="V46" s="2" t="inlineStr">
        <is>
          <t>Gullklöver
Gullviva</t>
        </is>
      </c>
      <c r="W46">
        <f>HYPERLINK("https://klasma.github.io/Logging_0480/artfynd/A 60518-2022 artfynd.xlsx", "A 60518-2022")</f>
        <v/>
      </c>
      <c r="X46">
        <f>HYPERLINK("https://klasma.github.io/Logging_0480/kartor/A 60518-2022 karta.png", "A 60518-2022")</f>
        <v/>
      </c>
      <c r="Y46">
        <f>HYPERLINK("https://klasma.github.io/Logging_0480/kartor_geotiff/A 60518-2022 georefererad karta.tif", "A 60518-2022")</f>
        <v/>
      </c>
      <c r="AA46">
        <f>HYPERLINK("https://klasma.github.io/Logging_0480/klagomål/A 60518-2022 FSC-klagomål.docx", "A 60518-2022")</f>
        <v/>
      </c>
      <c r="AB46">
        <f>HYPERLINK("https://klasma.github.io/Logging_0480/klagomålsmail/A 60518-2022 FSC-klagomål mail.docx", "A 60518-2022")</f>
        <v/>
      </c>
      <c r="AC46">
        <f>HYPERLINK("https://klasma.github.io/Logging_0480/tillsyn/A 60518-2022 tillsynsbegäran.docx", "A 60518-2022")</f>
        <v/>
      </c>
      <c r="AD46">
        <f>HYPERLINK("https://klasma.github.io/Logging_0480/tillsynsmail/A 60518-2022 tillsynsbegäran mail.docx", "A 60518-2022")</f>
        <v/>
      </c>
    </row>
    <row r="47" ht="15" customHeight="1">
      <c r="A47" t="inlineStr">
        <is>
          <t>A 38923-2024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45547</v>
      </c>
      <c r="E47" s="1" t="n">
        <v>46307</v>
      </c>
      <c r="F47" t="inlineStr">
        <is>
          <t>SÖDERMANLANDS LÄN</t>
        </is>
      </c>
      <c r="G47" t="inlineStr">
        <is>
          <t>NYKÖPING</t>
        </is>
      </c>
      <c r="I47" t="n">
        <v>18.9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2</v>
      </c>
      <c r="T47" t="n">
        <v>4</v>
      </c>
      <c r="U47" t="n">
        <v>1</v>
      </c>
      <c r="V47" s="2" t="inlineStr">
        <is>
          <t>Tallticka
Blodticka</t>
        </is>
      </c>
      <c r="W47">
        <f>HYPERLINK("https://klasma.github.io/Logging_0480/artfynd/A 38923-2024 artfynd.xlsx", "A 38923-2024")</f>
        <v/>
      </c>
      <c r="X47">
        <f>HYPERLINK("https://klasma.github.io/Logging_0480/kartor/A 38923-2024 karta.png", "A 38923-2024")</f>
        <v/>
      </c>
      <c r="Y47">
        <f>HYPERLINK("https://klasma.github.io/Logging_0480/kartor_geotiff/A 38923-2024 georefererad karta.tif", "A 38923-2024")</f>
        <v/>
      </c>
      <c r="AA47">
        <f>HYPERLINK("https://klasma.github.io/Logging_0480/klagomål/A 38923-2024 FSC-klagomål.docx", "A 38923-2024")</f>
        <v/>
      </c>
      <c r="AB47">
        <f>HYPERLINK("https://klasma.github.io/Logging_0480/klagomålsmail/A 38923-2024 FSC-klagomål mail.docx", "A 38923-2024")</f>
        <v/>
      </c>
      <c r="AC47">
        <f>HYPERLINK("https://klasma.github.io/Logging_0480/tillsyn/A 38923-2024 tillsynsbegäran.docx", "A 38923-2024")</f>
        <v/>
      </c>
      <c r="AD47">
        <f>HYPERLINK("https://klasma.github.io/Logging_0480/tillsynsmail/A 38923-2024 tillsynsbegäran mail.docx", "A 38923-2024")</f>
        <v/>
      </c>
    </row>
    <row r="48" ht="15" customHeight="1">
      <c r="A48" t="inlineStr">
        <is>
          <t>A 5865-2024</t>
        </is>
      </c>
      <c r="B48" t="inlineStr">
        <is>
          <t>avverkningsanmälan</t>
        </is>
      </c>
      <c r="C48" t="inlineStr">
        <is>
          <t>Avverkning för annat ändamål</t>
        </is>
      </c>
      <c r="D48" s="1" t="n">
        <v>45335</v>
      </c>
      <c r="E48" s="1" t="n">
        <v>46307</v>
      </c>
      <c r="F48" t="inlineStr">
        <is>
          <t>SÖDERMANLANDS LÄN</t>
        </is>
      </c>
      <c r="G48" t="inlineStr">
        <is>
          <t>NYKÖPING</t>
        </is>
      </c>
      <c r="H48" t="inlineStr">
        <is>
          <t>Sveaskog</t>
        </is>
      </c>
      <c r="I48" t="n">
        <v>4.9</v>
      </c>
      <c r="J48" t="n">
        <v>2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2</v>
      </c>
      <c r="T48" t="n">
        <v>2</v>
      </c>
      <c r="U48" t="n">
        <v>1</v>
      </c>
      <c r="V48" s="2" t="inlineStr">
        <is>
          <t>Entita
Fläcknycklar</t>
        </is>
      </c>
      <c r="W48">
        <f>HYPERLINK("https://klasma.github.io/Logging_0480/artfynd/A 5865-2024 artfynd.xlsx", "A 5865-2024")</f>
        <v/>
      </c>
      <c r="X48">
        <f>HYPERLINK("https://klasma.github.io/Logging_0480/kartor/A 5865-2024 karta.png", "A 5865-2024")</f>
        <v/>
      </c>
      <c r="Y48">
        <f>HYPERLINK("https://klasma.github.io/Logging_0480/kartor_geotiff/A 5865-2024 georefererad karta.tif", "A 5865-2024")</f>
        <v/>
      </c>
      <c r="AA48">
        <f>HYPERLINK("https://klasma.github.io/Logging_0480/klagomål/A 5865-2024 FSC-klagomål.docx", "A 5865-2024")</f>
        <v/>
      </c>
      <c r="AB48">
        <f>HYPERLINK("https://klasma.github.io/Logging_0480/klagomålsmail/A 5865-2024 FSC-klagomål mail.docx", "A 5865-2024")</f>
        <v/>
      </c>
      <c r="AC48">
        <f>HYPERLINK("https://klasma.github.io/Logging_0480/tillsyn/A 5865-2024 tillsynsbegäran.docx", "A 5865-2024")</f>
        <v/>
      </c>
      <c r="AD48">
        <f>HYPERLINK("https://klasma.github.io/Logging_0480/tillsynsmail/A 5865-2024 tillsynsbegäran mail.docx", "A 5865-2024")</f>
        <v/>
      </c>
      <c r="AE48">
        <f>HYPERLINK("https://klasma.github.io/Logging_0480/fåglar/A 5865-2024 prioriterade fågelarter.docx", "A 5865-2024")</f>
        <v/>
      </c>
    </row>
    <row r="49" ht="15" customHeight="1">
      <c r="A49" t="inlineStr">
        <is>
          <t>A 49231-2023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45210</v>
      </c>
      <c r="E49" s="1" t="n">
        <v>46307</v>
      </c>
      <c r="F49" t="inlineStr">
        <is>
          <t>SÖDERMANLANDS LÄN</t>
        </is>
      </c>
      <c r="G49" t="inlineStr">
        <is>
          <t>NYKÖPING</t>
        </is>
      </c>
      <c r="I49" t="n">
        <v>0.5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2</v>
      </c>
      <c r="T49" t="n">
        <v>2</v>
      </c>
      <c r="U49" t="n">
        <v>0</v>
      </c>
      <c r="V49" s="2" t="inlineStr">
        <is>
          <t>Bombmurkla
Blåmossa</t>
        </is>
      </c>
      <c r="W49">
        <f>HYPERLINK("https://klasma.github.io/Logging_0480/artfynd/A 49231-2023 artfynd.xlsx", "A 49231-2023")</f>
        <v/>
      </c>
      <c r="X49">
        <f>HYPERLINK("https://klasma.github.io/Logging_0480/kartor/A 49231-2023 karta.png", "A 49231-2023")</f>
        <v/>
      </c>
      <c r="Y49">
        <f>HYPERLINK("https://klasma.github.io/Logging_0480/kartor_geotiff/A 49231-2023 georefererad karta.tif", "A 49231-2023")</f>
        <v/>
      </c>
      <c r="AA49">
        <f>HYPERLINK("https://klasma.github.io/Logging_0480/klagomål/A 49231-2023 FSC-klagomål.docx", "A 49231-2023")</f>
        <v/>
      </c>
      <c r="AB49">
        <f>HYPERLINK("https://klasma.github.io/Logging_0480/klagomålsmail/A 49231-2023 FSC-klagomål mail.docx", "A 49231-2023")</f>
        <v/>
      </c>
      <c r="AC49">
        <f>HYPERLINK("https://klasma.github.io/Logging_0480/tillsyn/A 49231-2023 tillsynsbegäran.docx", "A 49231-2023")</f>
        <v/>
      </c>
      <c r="AD49">
        <f>HYPERLINK("https://klasma.github.io/Logging_0480/tillsynsmail/A 49231-2023 tillsynsbegäran mail.docx", "A 49231-2023")</f>
        <v/>
      </c>
    </row>
    <row r="50" ht="15" customHeight="1">
      <c r="A50" t="inlineStr">
        <is>
          <t>A 34310-2022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44792</v>
      </c>
      <c r="E50" s="1" t="n">
        <v>46307</v>
      </c>
      <c r="F50" t="inlineStr">
        <is>
          <t>SÖDERMANLANDS LÄN</t>
        </is>
      </c>
      <c r="G50" t="inlineStr">
        <is>
          <t>NYKÖPING</t>
        </is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2</v>
      </c>
      <c r="T50" t="n">
        <v>7</v>
      </c>
      <c r="U50" t="n">
        <v>0</v>
      </c>
      <c r="V50" s="2" t="inlineStr">
        <is>
          <t>Bombmurkla
Grönpyrola</t>
        </is>
      </c>
      <c r="W50">
        <f>HYPERLINK("https://klasma.github.io/Logging_0480/artfynd/A 34310-2022 artfynd.xlsx", "A 34310-2022")</f>
        <v/>
      </c>
      <c r="X50">
        <f>HYPERLINK("https://klasma.github.io/Logging_0480/kartor/A 34310-2022 karta.png", "A 34310-2022")</f>
        <v/>
      </c>
      <c r="Y50">
        <f>HYPERLINK("https://klasma.github.io/Logging_0480/kartor_geotiff/A 34310-2022 georefererad karta.tif", "A 34310-2022")</f>
        <v/>
      </c>
      <c r="AA50">
        <f>HYPERLINK("https://klasma.github.io/Logging_0480/klagomål/A 34310-2022 FSC-klagomål.docx", "A 34310-2022")</f>
        <v/>
      </c>
      <c r="AB50">
        <f>HYPERLINK("https://klasma.github.io/Logging_0480/klagomålsmail/A 34310-2022 FSC-klagomål mail.docx", "A 34310-2022")</f>
        <v/>
      </c>
      <c r="AC50">
        <f>HYPERLINK("https://klasma.github.io/Logging_0480/tillsyn/A 34310-2022 tillsynsbegäran.docx", "A 34310-2022")</f>
        <v/>
      </c>
      <c r="AD50">
        <f>HYPERLINK("https://klasma.github.io/Logging_0480/tillsynsmail/A 34310-2022 tillsynsbegäran mail.docx", "A 34310-2022")</f>
        <v/>
      </c>
    </row>
    <row r="51" ht="15" customHeight="1">
      <c r="A51" t="inlineStr">
        <is>
          <t>A 29766-2022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44755</v>
      </c>
      <c r="E51" s="1" t="n">
        <v>46307</v>
      </c>
      <c r="F51" t="inlineStr">
        <is>
          <t>SÖDERMANLANDS LÄN</t>
        </is>
      </c>
      <c r="G51" t="inlineStr">
        <is>
          <t>NYKÖPING</t>
        </is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2</v>
      </c>
      <c r="U51" t="n">
        <v>0</v>
      </c>
      <c r="V51" s="2" t="inlineStr">
        <is>
          <t>Broskvaxing
Kungsfågel</t>
        </is>
      </c>
      <c r="W51">
        <f>HYPERLINK("https://klasma.github.io/Logging_0480/artfynd/A 29766-2022 artfynd.xlsx", "A 29766-2022")</f>
        <v/>
      </c>
      <c r="X51">
        <f>HYPERLINK("https://klasma.github.io/Logging_0480/kartor/A 29766-2022 karta.png", "A 29766-2022")</f>
        <v/>
      </c>
      <c r="Y51">
        <f>HYPERLINK("https://klasma.github.io/Logging_0480/kartor_geotiff/A 29766-2022 georefererad karta.tif", "A 29766-2022")</f>
        <v/>
      </c>
      <c r="AA51">
        <f>HYPERLINK("https://klasma.github.io/Logging_0480/klagomål/A 29766-2022 FSC-klagomål.docx", "A 29766-2022")</f>
        <v/>
      </c>
      <c r="AB51">
        <f>HYPERLINK("https://klasma.github.io/Logging_0480/klagomålsmail/A 29766-2022 FSC-klagomål mail.docx", "A 29766-2022")</f>
        <v/>
      </c>
      <c r="AC51">
        <f>HYPERLINK("https://klasma.github.io/Logging_0480/tillsyn/A 29766-2022 tillsynsbegäran.docx", "A 29766-2022")</f>
        <v/>
      </c>
      <c r="AD51">
        <f>HYPERLINK("https://klasma.github.io/Logging_0480/tillsynsmail/A 29766-2022 tillsynsbegäran mail.docx", "A 29766-2022")</f>
        <v/>
      </c>
    </row>
    <row r="52" ht="15" customHeight="1">
      <c r="A52" t="inlineStr">
        <is>
          <t>A 48153-2023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45205</v>
      </c>
      <c r="E52" s="1" t="n">
        <v>46307</v>
      </c>
      <c r="F52" t="inlineStr">
        <is>
          <t>SÖDERMANLANDS LÄN</t>
        </is>
      </c>
      <c r="G52" t="inlineStr">
        <is>
          <t>NYKÖPING</t>
        </is>
      </c>
      <c r="H52" t="inlineStr">
        <is>
          <t>Holmen skog AB</t>
        </is>
      </c>
      <c r="I52" t="n">
        <v>2.7</v>
      </c>
      <c r="J52" t="n">
        <v>2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2</v>
      </c>
      <c r="T52" t="n">
        <v>2</v>
      </c>
      <c r="U52" t="n">
        <v>2</v>
      </c>
      <c r="V52" s="2" t="inlineStr">
        <is>
          <t>Nötkråka
Havsörn</t>
        </is>
      </c>
      <c r="W52">
        <f>HYPERLINK("https://klasma.github.io/Logging_0480/artfynd/A 48153-2023 artfynd.xlsx", "A 48153-2023")</f>
        <v/>
      </c>
      <c r="X52">
        <f>HYPERLINK("https://klasma.github.io/Logging_0480/kartor/A 48153-2023 karta.png", "A 48153-2023")</f>
        <v/>
      </c>
      <c r="Y52">
        <f>HYPERLINK("https://klasma.github.io/Logging_0480/kartor_geotiff/A 48153-2023 georefererad karta.tif", "A 48153-2023")</f>
        <v/>
      </c>
      <c r="AA52">
        <f>HYPERLINK("https://klasma.github.io/Logging_0480/klagomål/A 48153-2023 FSC-klagomål.docx", "A 48153-2023")</f>
        <v/>
      </c>
      <c r="AB52">
        <f>HYPERLINK("https://klasma.github.io/Logging_0480/klagomålsmail/A 48153-2023 FSC-klagomål mail.docx", "A 48153-2023")</f>
        <v/>
      </c>
      <c r="AC52">
        <f>HYPERLINK("https://klasma.github.io/Logging_0480/tillsyn/A 48153-2023 tillsynsbegäran.docx", "A 48153-2023")</f>
        <v/>
      </c>
      <c r="AD52">
        <f>HYPERLINK("https://klasma.github.io/Logging_0480/tillsynsmail/A 48153-2023 tillsynsbegäran mail.docx", "A 48153-2023")</f>
        <v/>
      </c>
      <c r="AE52">
        <f>HYPERLINK("https://klasma.github.io/Logging_0480/fåglar/A 48153-2023 prioriterade fågelarter.docx", "A 48153-2023")</f>
        <v/>
      </c>
    </row>
    <row r="53" ht="15" customHeight="1">
      <c r="A53" t="inlineStr">
        <is>
          <t>A 58167-2025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45982</v>
      </c>
      <c r="E53" s="1" t="n">
        <v>46307</v>
      </c>
      <c r="F53" t="inlineStr">
        <is>
          <t>SÖDERMANLANDS LÄN</t>
        </is>
      </c>
      <c r="G53" t="inlineStr">
        <is>
          <t>NYKÖPING</t>
        </is>
      </c>
      <c r="H53" t="inlineStr">
        <is>
          <t>Holmen skog AB</t>
        </is>
      </c>
      <c r="I53" t="n">
        <v>2.8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2</v>
      </c>
      <c r="U53" t="n">
        <v>0</v>
      </c>
      <c r="V53" s="2" t="inlineStr">
        <is>
          <t>Grönpyrola
Mattlummer</t>
        </is>
      </c>
      <c r="W53">
        <f>HYPERLINK("https://klasma.github.io/Logging_0480/artfynd/A 58167-2025 artfynd.xlsx", "A 58167-2025")</f>
        <v/>
      </c>
      <c r="X53">
        <f>HYPERLINK("https://klasma.github.io/Logging_0480/kartor/A 58167-2025 karta.png", "A 58167-2025")</f>
        <v/>
      </c>
      <c r="Y53">
        <f>HYPERLINK("https://klasma.github.io/Logging_0480/kartor_geotiff/A 58167-2025 georefererad karta.tif", "A 58167-2025")</f>
        <v/>
      </c>
      <c r="AA53">
        <f>HYPERLINK("https://klasma.github.io/Logging_0480/klagomål/A 58167-2025 FSC-klagomål.docx", "A 58167-2025")</f>
        <v/>
      </c>
      <c r="AB53">
        <f>HYPERLINK("https://klasma.github.io/Logging_0480/klagomålsmail/A 58167-2025 FSC-klagomål mail.docx", "A 58167-2025")</f>
        <v/>
      </c>
      <c r="AC53">
        <f>HYPERLINK("https://klasma.github.io/Logging_0480/tillsyn/A 58167-2025 tillsynsbegäran.docx", "A 58167-2025")</f>
        <v/>
      </c>
      <c r="AD53">
        <f>HYPERLINK("https://klasma.github.io/Logging_0480/tillsynsmail/A 58167-2025 tillsynsbegäran mail.docx", "A 58167-2025")</f>
        <v/>
      </c>
    </row>
    <row r="54" ht="15" customHeight="1">
      <c r="A54" t="inlineStr">
        <is>
          <t>A 16078-2023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45027</v>
      </c>
      <c r="E54" s="1" t="n">
        <v>46307</v>
      </c>
      <c r="F54" t="inlineStr">
        <is>
          <t>SÖDERMANLANDS LÄN</t>
        </is>
      </c>
      <c r="G54" t="inlineStr">
        <is>
          <t>NYKÖPING</t>
        </is>
      </c>
      <c r="I54" t="n">
        <v>0.9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2</v>
      </c>
      <c r="T54" t="n">
        <v>3</v>
      </c>
      <c r="U54" t="n">
        <v>3</v>
      </c>
      <c r="V54" s="2" t="inlineStr">
        <is>
          <t>Rödlånke
Fläcknycklar</t>
        </is>
      </c>
      <c r="W54">
        <f>HYPERLINK("https://klasma.github.io/Logging_0480/artfynd/A 16078-2023 artfynd.xlsx", "A 16078-2023")</f>
        <v/>
      </c>
      <c r="X54">
        <f>HYPERLINK("https://klasma.github.io/Logging_0480/kartor/A 16078-2023 karta.png", "A 16078-2023")</f>
        <v/>
      </c>
      <c r="Y54">
        <f>HYPERLINK("https://klasma.github.io/Logging_0480/kartor_geotiff/A 16078-2023 georefererad karta.tif", "A 16078-2023")</f>
        <v/>
      </c>
      <c r="AA54">
        <f>HYPERLINK("https://klasma.github.io/Logging_0480/klagomål/A 16078-2023 FSC-klagomål.docx", "A 16078-2023")</f>
        <v/>
      </c>
      <c r="AB54">
        <f>HYPERLINK("https://klasma.github.io/Logging_0480/klagomålsmail/A 16078-2023 FSC-klagomål mail.docx", "A 16078-2023")</f>
        <v/>
      </c>
      <c r="AC54">
        <f>HYPERLINK("https://klasma.github.io/Logging_0480/tillsyn/A 16078-2023 tillsynsbegäran.docx", "A 16078-2023")</f>
        <v/>
      </c>
      <c r="AD54">
        <f>HYPERLINK("https://klasma.github.io/Logging_0480/tillsynsmail/A 16078-2023 tillsynsbegäran mail.docx", "A 16078-2023")</f>
        <v/>
      </c>
    </row>
    <row r="55" ht="15" customHeight="1">
      <c r="A55" t="inlineStr">
        <is>
          <t>A 14862-2026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46104</v>
      </c>
      <c r="E55" s="1" t="n">
        <v>46307</v>
      </c>
      <c r="F55" t="inlineStr">
        <is>
          <t>SÖDERMANLANDS LÄN</t>
        </is>
      </c>
      <c r="G55" t="inlineStr">
        <is>
          <t>NYKÖPING</t>
        </is>
      </c>
      <c r="I55" t="n">
        <v>10.8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2</v>
      </c>
      <c r="T55" t="n">
        <v>3</v>
      </c>
      <c r="U55" t="n">
        <v>3</v>
      </c>
      <c r="V55" s="2" t="inlineStr">
        <is>
          <t>Dropptaggsvamp
Blåbär</t>
        </is>
      </c>
      <c r="W55">
        <f>HYPERLINK("https://klasma.github.io/Logging_0480/artfynd/A 14862-2026 artfynd.xlsx", "A 14862-2026")</f>
        <v/>
      </c>
      <c r="X55">
        <f>HYPERLINK("https://klasma.github.io/Logging_0480/kartor/A 14862-2026 karta.png", "A 14862-2026")</f>
        <v/>
      </c>
      <c r="Y55">
        <f>HYPERLINK("https://klasma.github.io/Logging_0480/kartor_geotiff/A 14862-2026 georefererad karta.tif", "A 14862-2026")</f>
        <v/>
      </c>
      <c r="AA55">
        <f>HYPERLINK("https://klasma.github.io/Logging_0480/klagomål/A 14862-2026 FSC-klagomål.docx", "A 14862-2026")</f>
        <v/>
      </c>
      <c r="AB55">
        <f>HYPERLINK("https://klasma.github.io/Logging_0480/klagomålsmail/A 14862-2026 FSC-klagomål mail.docx", "A 14862-2026")</f>
        <v/>
      </c>
      <c r="AC55">
        <f>HYPERLINK("https://klasma.github.io/Logging_0480/tillsyn/A 14862-2026 tillsynsbegäran.docx", "A 14862-2026")</f>
        <v/>
      </c>
      <c r="AD55">
        <f>HYPERLINK("https://klasma.github.io/Logging_0480/tillsynsmail/A 14862-2026 tillsynsbegäran mail.docx", "A 14862-2026")</f>
        <v/>
      </c>
    </row>
    <row r="56" ht="15" customHeight="1">
      <c r="A56" t="inlineStr">
        <is>
          <t>A 60460-2022</t>
        </is>
      </c>
      <c r="B56" t="inlineStr">
        <is>
          <t>avverkningsanmälan</t>
        </is>
      </c>
      <c r="C56" t="inlineStr">
        <is>
          <t>Avverkning för att bevara och utveckla /försöksver</t>
        </is>
      </c>
      <c r="D56" s="1" t="n">
        <v>44911</v>
      </c>
      <c r="E56" s="1" t="n">
        <v>46307</v>
      </c>
      <c r="F56" t="inlineStr">
        <is>
          <t>SÖDERMANLANDS LÄN</t>
        </is>
      </c>
      <c r="G56" t="inlineStr">
        <is>
          <t>NYKÖPING</t>
        </is>
      </c>
      <c r="H56" t="inlineStr">
        <is>
          <t>Holmen skog AB</t>
        </is>
      </c>
      <c r="I56" t="n">
        <v>1.7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3</v>
      </c>
      <c r="U56" t="n">
        <v>3</v>
      </c>
      <c r="V56" s="2" t="inlineStr">
        <is>
          <t>Barkticka
Blåsippa</t>
        </is>
      </c>
      <c r="W56">
        <f>HYPERLINK("https://klasma.github.io/Logging_0480/artfynd/A 60460-2022 artfynd.xlsx", "A 60460-2022")</f>
        <v/>
      </c>
      <c r="X56">
        <f>HYPERLINK("https://klasma.github.io/Logging_0480/kartor/A 60460-2022 karta.png", "A 60460-2022")</f>
        <v/>
      </c>
      <c r="Y56">
        <f>HYPERLINK("https://klasma.github.io/Logging_0480/kartor_geotiff/A 60460-2022 georefererad karta.tif", "A 60460-2022")</f>
        <v/>
      </c>
      <c r="AA56">
        <f>HYPERLINK("https://klasma.github.io/Logging_0480/klagomål/A 60460-2022 FSC-klagomål.docx", "A 60460-2022")</f>
        <v/>
      </c>
      <c r="AB56">
        <f>HYPERLINK("https://klasma.github.io/Logging_0480/klagomålsmail/A 60460-2022 FSC-klagomål mail.docx", "A 60460-2022")</f>
        <v/>
      </c>
      <c r="AC56">
        <f>HYPERLINK("https://klasma.github.io/Logging_0480/tillsyn/A 60460-2022 tillsynsbegäran.docx", "A 60460-2022")</f>
        <v/>
      </c>
      <c r="AD56">
        <f>HYPERLINK("https://klasma.github.io/Logging_0480/tillsynsmail/A 60460-2022 tillsynsbegäran mail.docx", "A 60460-2022")</f>
        <v/>
      </c>
    </row>
    <row r="57" ht="15" customHeight="1">
      <c r="A57" t="inlineStr">
        <is>
          <t>A 6276-2026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46055</v>
      </c>
      <c r="E57" s="1" t="n">
        <v>46307</v>
      </c>
      <c r="F57" t="inlineStr">
        <is>
          <t>SÖDERMANLANDS LÄN</t>
        </is>
      </c>
      <c r="G57" t="inlineStr">
        <is>
          <t>NYKÖPING</t>
        </is>
      </c>
      <c r="I57" t="n">
        <v>9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2</v>
      </c>
      <c r="T57" t="n">
        <v>2</v>
      </c>
      <c r="U57" t="n">
        <v>2</v>
      </c>
      <c r="V57" s="2" t="inlineStr">
        <is>
          <t>Duvhök
Granbarkgnagare</t>
        </is>
      </c>
      <c r="W57">
        <f>HYPERLINK("https://klasma.github.io/Logging_0480/artfynd/A 6276-2026 artfynd.xlsx", "A 6276-2026")</f>
        <v/>
      </c>
      <c r="X57">
        <f>HYPERLINK("https://klasma.github.io/Logging_0480/kartor/A 6276-2026 karta.png", "A 6276-2026")</f>
        <v/>
      </c>
      <c r="Y57">
        <f>HYPERLINK("https://klasma.github.io/Logging_0480/kartor_geotiff/A 6276-2026 georefererad karta.tif", "A 6276-2026")</f>
        <v/>
      </c>
      <c r="AA57">
        <f>HYPERLINK("https://klasma.github.io/Logging_0480/klagomål/A 6276-2026 FSC-klagomål.docx", "A 6276-2026")</f>
        <v/>
      </c>
      <c r="AB57">
        <f>HYPERLINK("https://klasma.github.io/Logging_0480/klagomålsmail/A 6276-2026 FSC-klagomål mail.docx", "A 6276-2026")</f>
        <v/>
      </c>
      <c r="AC57">
        <f>HYPERLINK("https://klasma.github.io/Logging_0480/tillsyn/A 6276-2026 tillsynsbegäran.docx", "A 6276-2026")</f>
        <v/>
      </c>
      <c r="AD57">
        <f>HYPERLINK("https://klasma.github.io/Logging_0480/tillsynsmail/A 6276-2026 tillsynsbegäran mail.docx", "A 6276-2026")</f>
        <v/>
      </c>
      <c r="AE57">
        <f>HYPERLINK("https://klasma.github.io/Logging_0480/fåglar/A 6276-2026 prioriterade fågelarter.docx", "A 6276-2026")</f>
        <v/>
      </c>
    </row>
    <row r="58" ht="15" customHeight="1">
      <c r="A58" t="inlineStr">
        <is>
          <t>A 5385-2026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46050</v>
      </c>
      <c r="E58" s="1" t="n">
        <v>46307</v>
      </c>
      <c r="F58" t="inlineStr">
        <is>
          <t>SÖDERMANLANDS LÄN</t>
        </is>
      </c>
      <c r="G58" t="inlineStr">
        <is>
          <t>NYKÖPING</t>
        </is>
      </c>
      <c r="I58" t="n">
        <v>3.5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2</v>
      </c>
      <c r="U58" t="n">
        <v>2</v>
      </c>
      <c r="V58" s="2" t="inlineStr">
        <is>
          <t>Spillkråka
Tallört (aggregat)</t>
        </is>
      </c>
      <c r="W58">
        <f>HYPERLINK("https://klasma.github.io/Logging_0480/artfynd/A 5385-2026 artfynd.xlsx", "A 5385-2026")</f>
        <v/>
      </c>
      <c r="X58">
        <f>HYPERLINK("https://klasma.github.io/Logging_0480/kartor/A 5385-2026 karta.png", "A 5385-2026")</f>
        <v/>
      </c>
      <c r="Y58">
        <f>HYPERLINK("https://klasma.github.io/Logging_0480/kartor_geotiff/A 5385-2026 georefererad karta.tif", "A 5385-2026")</f>
        <v/>
      </c>
      <c r="AA58">
        <f>HYPERLINK("https://klasma.github.io/Logging_0480/klagomål/A 5385-2026 FSC-klagomål.docx", "A 5385-2026")</f>
        <v/>
      </c>
      <c r="AB58">
        <f>HYPERLINK("https://klasma.github.io/Logging_0480/klagomålsmail/A 5385-2026 FSC-klagomål mail.docx", "A 5385-2026")</f>
        <v/>
      </c>
      <c r="AC58">
        <f>HYPERLINK("https://klasma.github.io/Logging_0480/tillsyn/A 5385-2026 tillsynsbegäran.docx", "A 5385-2026")</f>
        <v/>
      </c>
      <c r="AD58">
        <f>HYPERLINK("https://klasma.github.io/Logging_0480/tillsynsmail/A 5385-2026 tillsynsbegäran mail.docx", "A 5385-2026")</f>
        <v/>
      </c>
      <c r="AE58">
        <f>HYPERLINK("https://klasma.github.io/Logging_0480/fåglar/A 5385-2026 prioriterade fågelarter.docx", "A 5385-2026")</f>
        <v/>
      </c>
    </row>
    <row r="59" ht="15" customHeight="1">
      <c r="A59" t="inlineStr">
        <is>
          <t>A 38757-2026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46286</v>
      </c>
      <c r="E59" s="1" t="n">
        <v>46307</v>
      </c>
      <c r="F59" t="inlineStr">
        <is>
          <t>SÖDERMANLANDS LÄN</t>
        </is>
      </c>
      <c r="G59" t="inlineStr">
        <is>
          <t>NYKÖPING</t>
        </is>
      </c>
      <c r="I59" t="n">
        <v>9.1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2</v>
      </c>
      <c r="T59" t="n">
        <v>2</v>
      </c>
      <c r="U59" t="n">
        <v>0</v>
      </c>
      <c r="V59" s="2" t="inlineStr">
        <is>
          <t>Blanksvart spiklav
Motaggsvamp</t>
        </is>
      </c>
      <c r="W59">
        <f>HYPERLINK("https://klasma.github.io/Logging_0480/artfynd/A 38757-2026 artfynd.xlsx", "A 38757-2026")</f>
        <v/>
      </c>
      <c r="X59">
        <f>HYPERLINK("https://klasma.github.io/Logging_0480/kartor/A 38757-2026 karta.png", "A 38757-2026")</f>
        <v/>
      </c>
      <c r="Y59">
        <f>HYPERLINK("https://klasma.github.io/Logging_0480/kartor_geotiff/A 38757-2026 georefererad karta.tif", "A 38757-2026")</f>
        <v/>
      </c>
      <c r="AA59">
        <f>HYPERLINK("https://klasma.github.io/Logging_0480/klagomål/A 38757-2026 FSC-klagomål.docx", "A 38757-2026")</f>
        <v/>
      </c>
      <c r="AB59">
        <f>HYPERLINK("https://klasma.github.io/Logging_0480/klagomålsmail/A 38757-2026 FSC-klagomål mail.docx", "A 38757-2026")</f>
        <v/>
      </c>
      <c r="AC59">
        <f>HYPERLINK("https://klasma.github.io/Logging_0480/tillsyn/A 38757-2026 tillsynsbegäran.docx", "A 38757-2026")</f>
        <v/>
      </c>
      <c r="AD59">
        <f>HYPERLINK("https://klasma.github.io/Logging_0480/tillsynsmail/A 38757-2026 tillsynsbegäran mail.docx", "A 38757-2026")</f>
        <v/>
      </c>
    </row>
    <row r="60" ht="15" customHeight="1">
      <c r="A60" t="inlineStr">
        <is>
          <t>A 1037-2026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46030</v>
      </c>
      <c r="E60" s="1" t="n">
        <v>46307</v>
      </c>
      <c r="F60" t="inlineStr">
        <is>
          <t>SÖDERMANLANDS LÄN</t>
        </is>
      </c>
      <c r="G60" t="inlineStr">
        <is>
          <t>NYKÖPING</t>
        </is>
      </c>
      <c r="I60" t="n">
        <v>11.6</v>
      </c>
      <c r="J60" t="n">
        <v>2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2</v>
      </c>
      <c r="T60" t="n">
        <v>2</v>
      </c>
      <c r="U60" t="n">
        <v>0</v>
      </c>
      <c r="V60" s="2" t="inlineStr">
        <is>
          <t>Talltita
Spillkråka</t>
        </is>
      </c>
      <c r="W60">
        <f>HYPERLINK("https://klasma.github.io/Logging_0480/artfynd/A 1037-2026 artfynd.xlsx", "A 1037-2026")</f>
        <v/>
      </c>
      <c r="X60">
        <f>HYPERLINK("https://klasma.github.io/Logging_0480/kartor/A 1037-2026 karta.png", "A 1037-2026")</f>
        <v/>
      </c>
      <c r="Y60">
        <f>HYPERLINK("https://klasma.github.io/Logging_0480/kartor_geotiff/A 1037-2026 georefererad karta.tif", "A 1037-2026")</f>
        <v/>
      </c>
      <c r="AA60">
        <f>HYPERLINK("https://klasma.github.io/Logging_0480/klagomål/A 1037-2026 FSC-klagomål.docx", "A 1037-2026")</f>
        <v/>
      </c>
      <c r="AB60">
        <f>HYPERLINK("https://klasma.github.io/Logging_0480/klagomålsmail/A 1037-2026 FSC-klagomål mail.docx", "A 1037-2026")</f>
        <v/>
      </c>
      <c r="AC60">
        <f>HYPERLINK("https://klasma.github.io/Logging_0480/tillsyn/A 1037-2026 tillsynsbegäran.docx", "A 1037-2026")</f>
        <v/>
      </c>
      <c r="AD60">
        <f>HYPERLINK("https://klasma.github.io/Logging_0480/tillsynsmail/A 1037-2026 tillsynsbegäran mail.docx", "A 1037-2026")</f>
        <v/>
      </c>
      <c r="AE60">
        <f>HYPERLINK("https://klasma.github.io/Logging_0480/fåglar/A 1037-2026 prioriterade fågelarter.docx", "A 1037-2026")</f>
        <v/>
      </c>
    </row>
    <row r="61" ht="15" customHeight="1">
      <c r="A61" t="inlineStr">
        <is>
          <t>A 56725-2025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45978</v>
      </c>
      <c r="E61" s="1" t="n">
        <v>46307</v>
      </c>
      <c r="F61" t="inlineStr">
        <is>
          <t>SÖDERMANLANDS LÄN</t>
        </is>
      </c>
      <c r="G61" t="inlineStr">
        <is>
          <t>NYKÖPING</t>
        </is>
      </c>
      <c r="H61" t="inlineStr">
        <is>
          <t>Sveaskog</t>
        </is>
      </c>
      <c r="I61" t="n">
        <v>0.6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2</v>
      </c>
      <c r="U61" t="n">
        <v>0</v>
      </c>
      <c r="V61" s="2" t="inlineStr">
        <is>
          <t>Vanlig snok
Revlummer</t>
        </is>
      </c>
      <c r="W61">
        <f>HYPERLINK("https://klasma.github.io/Logging_0480/artfynd/A 56725-2025 artfynd.xlsx", "A 56725-2025")</f>
        <v/>
      </c>
      <c r="X61">
        <f>HYPERLINK("https://klasma.github.io/Logging_0480/kartor/A 56725-2025 karta.png", "A 56725-2025")</f>
        <v/>
      </c>
      <c r="Y61">
        <f>HYPERLINK("https://klasma.github.io/Logging_0480/kartor_geotiff/A 56725-2025 georefererad karta.tif", "A 56725-2025")</f>
        <v/>
      </c>
      <c r="AA61">
        <f>HYPERLINK("https://klasma.github.io/Logging_0480/klagomål/A 56725-2025 FSC-klagomål.docx", "A 56725-2025")</f>
        <v/>
      </c>
      <c r="AB61">
        <f>HYPERLINK("https://klasma.github.io/Logging_0480/klagomålsmail/A 56725-2025 FSC-klagomål mail.docx", "A 56725-2025")</f>
        <v/>
      </c>
      <c r="AC61">
        <f>HYPERLINK("https://klasma.github.io/Logging_0480/tillsyn/A 56725-2025 tillsynsbegäran.docx", "A 56725-2025")</f>
        <v/>
      </c>
      <c r="AD61">
        <f>HYPERLINK("https://klasma.github.io/Logging_0480/tillsynsmail/A 56725-2025 tillsynsbegäran mail.docx", "A 56725-2025")</f>
        <v/>
      </c>
    </row>
    <row r="62" ht="15" customHeight="1">
      <c r="A62" t="inlineStr">
        <is>
          <t>A 56728-2025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45978</v>
      </c>
      <c r="E62" s="1" t="n">
        <v>46307</v>
      </c>
      <c r="F62" t="inlineStr">
        <is>
          <t>SÖDERMANLANDS LÄN</t>
        </is>
      </c>
      <c r="G62" t="inlineStr">
        <is>
          <t>NYKÖPING</t>
        </is>
      </c>
      <c r="H62" t="inlineStr">
        <is>
          <t>Sveaskog</t>
        </is>
      </c>
      <c r="I62" t="n">
        <v>2.5</v>
      </c>
      <c r="J62" t="n">
        <v>2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2</v>
      </c>
      <c r="T62" t="n">
        <v>10</v>
      </c>
      <c r="U62" t="n">
        <v>0</v>
      </c>
      <c r="V62" s="2" t="inlineStr">
        <is>
          <t>Sandödla
Vanlig snok</t>
        </is>
      </c>
      <c r="W62">
        <f>HYPERLINK("https://klasma.github.io/Logging_0480/artfynd/A 56728-2025 artfynd.xlsx", "A 56728-2025")</f>
        <v/>
      </c>
      <c r="X62">
        <f>HYPERLINK("https://klasma.github.io/Logging_0480/kartor/A 56728-2025 karta.png", "A 56728-2025")</f>
        <v/>
      </c>
      <c r="Y62">
        <f>HYPERLINK("https://klasma.github.io/Logging_0480/kartor_geotiff/A 56728-2025 georefererad karta.tif", "A 56728-2025")</f>
        <v/>
      </c>
      <c r="AA62">
        <f>HYPERLINK("https://klasma.github.io/Logging_0480/klagomål/A 56728-2025 FSC-klagomål.docx", "A 56728-2025")</f>
        <v/>
      </c>
      <c r="AB62">
        <f>HYPERLINK("https://klasma.github.io/Logging_0480/klagomålsmail/A 56728-2025 FSC-klagomål mail.docx", "A 56728-2025")</f>
        <v/>
      </c>
      <c r="AC62">
        <f>HYPERLINK("https://klasma.github.io/Logging_0480/tillsyn/A 56728-2025 tillsynsbegäran.docx", "A 56728-2025")</f>
        <v/>
      </c>
      <c r="AD62">
        <f>HYPERLINK("https://klasma.github.io/Logging_0480/tillsynsmail/A 56728-2025 tillsynsbegäran mail.docx", "A 56728-2025")</f>
        <v/>
      </c>
    </row>
    <row r="63" ht="15" customHeight="1">
      <c r="A63" t="inlineStr">
        <is>
          <t>A 55945-2025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45973</v>
      </c>
      <c r="E63" s="1" t="n">
        <v>46307</v>
      </c>
      <c r="F63" t="inlineStr">
        <is>
          <t>SÖDERMANLANDS LÄN</t>
        </is>
      </c>
      <c r="G63" t="inlineStr">
        <is>
          <t>NYKÖPING</t>
        </is>
      </c>
      <c r="I63" t="n">
        <v>9.1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2</v>
      </c>
      <c r="T63" t="n">
        <v>2</v>
      </c>
      <c r="U63" t="n">
        <v>2</v>
      </c>
      <c r="V63" s="2" t="inlineStr">
        <is>
          <t>Blanksvart spiklav
Motaggsvamp</t>
        </is>
      </c>
      <c r="W63">
        <f>HYPERLINK("https://klasma.github.io/Logging_0480/artfynd/A 55945-2025 artfynd.xlsx", "A 55945-2025")</f>
        <v/>
      </c>
      <c r="X63">
        <f>HYPERLINK("https://klasma.github.io/Logging_0480/kartor/A 55945-2025 karta.png", "A 55945-2025")</f>
        <v/>
      </c>
      <c r="Y63">
        <f>HYPERLINK("https://klasma.github.io/Logging_0480/kartor_geotiff/A 55945-2025 georefererad karta.tif", "A 55945-2025")</f>
        <v/>
      </c>
      <c r="AA63">
        <f>HYPERLINK("https://klasma.github.io/Logging_0480/klagomål/A 55945-2025 FSC-klagomål.docx", "A 55945-2025")</f>
        <v/>
      </c>
      <c r="AB63">
        <f>HYPERLINK("https://klasma.github.io/Logging_0480/klagomålsmail/A 55945-2025 FSC-klagomål mail.docx", "A 55945-2025")</f>
        <v/>
      </c>
      <c r="AC63">
        <f>HYPERLINK("https://klasma.github.io/Logging_0480/tillsyn/A 55945-2025 tillsynsbegäran.docx", "A 55945-2025")</f>
        <v/>
      </c>
      <c r="AD63">
        <f>HYPERLINK("https://klasma.github.io/Logging_0480/tillsynsmail/A 55945-2025 tillsynsbegäran mail.docx", "A 55945-2025")</f>
        <v/>
      </c>
    </row>
    <row r="64" ht="15" customHeight="1">
      <c r="A64" t="inlineStr">
        <is>
          <t>S 5250-2022</t>
        </is>
      </c>
      <c r="B64" t="inlineStr">
        <is>
          <t>samrådsanmälan</t>
        </is>
      </c>
      <c r="C64" t="inlineStr">
        <is>
          <t>Annan skogsbruksåtgärd</t>
        </is>
      </c>
      <c r="D64" s="1" t="n">
        <v>44825</v>
      </c>
      <c r="E64" s="1" t="n">
        <v>46307</v>
      </c>
      <c r="F64" t="inlineStr">
        <is>
          <t>SÖDERMANLANDS LÄN</t>
        </is>
      </c>
      <c r="G64" t="inlineStr">
        <is>
          <t>NYKÖPING</t>
        </is>
      </c>
      <c r="I64" t="n">
        <v>3.1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2</v>
      </c>
      <c r="T64" t="n">
        <v>2</v>
      </c>
      <c r="U64" t="n">
        <v>0</v>
      </c>
      <c r="V64" s="2" t="inlineStr">
        <is>
          <t>Ask
Grön sköldmossa</t>
        </is>
      </c>
      <c r="W64">
        <f>HYPERLINK("https://klasma.github.io/Logging_0480/artfynd/S 5250-2022 artfynd.xlsx", "S 5250-2022")</f>
        <v/>
      </c>
      <c r="X64">
        <f>HYPERLINK("https://klasma.github.io/Logging_0480/kartor/S 5250-2022 karta.png", "S 5250-2022")</f>
        <v/>
      </c>
      <c r="Y64">
        <f>HYPERLINK("https://klasma.github.io/Logging_0480/kartor_geotiff/S 5250-2022 georefererad karta.tif", "S 5250-2022")</f>
        <v/>
      </c>
      <c r="AA64">
        <f>HYPERLINK("https://klasma.github.io/Logging_0480/klagomål/S 5250-2022 FSC-klagomål.docx", "S 5250-2022")</f>
        <v/>
      </c>
      <c r="AB64">
        <f>HYPERLINK("https://klasma.github.io/Logging_0480/klagomålsmail/S 5250-2022 FSC-klagomål mail.docx", "S 5250-2022")</f>
        <v/>
      </c>
      <c r="AC64">
        <f>HYPERLINK("https://klasma.github.io/Logging_0480/tillsyn/S 5250-2022 tillsynsbegäran.docx", "S 5250-2022")</f>
        <v/>
      </c>
      <c r="AD64">
        <f>HYPERLINK("https://klasma.github.io/Logging_0480/tillsynsmail/S 5250-2022 tillsynsbegäran mail.docx", "S 5250-2022")</f>
        <v/>
      </c>
    </row>
    <row r="65" ht="15" customHeight="1">
      <c r="A65" t="inlineStr">
        <is>
          <t>A 52095-2022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44873</v>
      </c>
      <c r="E65" s="1" t="n">
        <v>46307</v>
      </c>
      <c r="F65" t="inlineStr">
        <is>
          <t>SÖDERMANLANDS LÄN</t>
        </is>
      </c>
      <c r="G65" t="inlineStr">
        <is>
          <t>NYKÖPING</t>
        </is>
      </c>
      <c r="I65" t="n">
        <v>1.8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s="2" t="inlineStr">
        <is>
          <t>Drillsnäppa</t>
        </is>
      </c>
      <c r="W65">
        <f>HYPERLINK("https://klasma.github.io/Logging_0480/artfynd/A 52095-2022 artfynd.xlsx", "A 52095-2022")</f>
        <v/>
      </c>
      <c r="X65">
        <f>HYPERLINK("https://klasma.github.io/Logging_0480/kartor/A 52095-2022 karta.png", "A 52095-2022")</f>
        <v/>
      </c>
      <c r="Y65">
        <f>HYPERLINK("https://klasma.github.io/Logging_0480/kartor_geotiff/A 52095-2022 georefererad karta.tif", "A 52095-2022")</f>
        <v/>
      </c>
      <c r="AA65">
        <f>HYPERLINK("https://klasma.github.io/Logging_0480/klagomål/A 52095-2022 FSC-klagomål.docx", "A 52095-2022")</f>
        <v/>
      </c>
      <c r="AB65">
        <f>HYPERLINK("https://klasma.github.io/Logging_0480/klagomålsmail/A 52095-2022 FSC-klagomål mail.docx", "A 52095-2022")</f>
        <v/>
      </c>
      <c r="AC65">
        <f>HYPERLINK("https://klasma.github.io/Logging_0480/tillsyn/A 52095-2022 tillsynsbegäran.docx", "A 52095-2022")</f>
        <v/>
      </c>
      <c r="AD65">
        <f>HYPERLINK("https://klasma.github.io/Logging_0480/tillsynsmail/A 52095-2022 tillsynsbegäran mail.docx", "A 52095-2022")</f>
        <v/>
      </c>
      <c r="AE65">
        <f>HYPERLINK("https://klasma.github.io/Logging_0480/fåglar/A 52095-2022 prioriterade fågelarter.docx", "A 52095-2022")</f>
        <v/>
      </c>
    </row>
    <row r="66" ht="15" customHeight="1">
      <c r="A66" t="inlineStr">
        <is>
          <t>A 67817-2021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44525</v>
      </c>
      <c r="E66" s="1" t="n">
        <v>46307</v>
      </c>
      <c r="F66" t="inlineStr">
        <is>
          <t>SÖDERMANLANDS LÄN</t>
        </is>
      </c>
      <c r="G66" t="inlineStr">
        <is>
          <t>NYKÖPING</t>
        </is>
      </c>
      <c r="H66" t="inlineStr">
        <is>
          <t>Sveaskog</t>
        </is>
      </c>
      <c r="I66" t="n">
        <v>0.9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0</v>
      </c>
      <c r="V66" s="2" t="inlineStr">
        <is>
          <t>Svedjenäva</t>
        </is>
      </c>
      <c r="W66">
        <f>HYPERLINK("https://klasma.github.io/Logging_0480/artfynd/A 67817-2021 artfynd.xlsx", "A 67817-2021")</f>
        <v/>
      </c>
      <c r="X66">
        <f>HYPERLINK("https://klasma.github.io/Logging_0480/kartor/A 67817-2021 karta.png", "A 67817-2021")</f>
        <v/>
      </c>
      <c r="Y66">
        <f>HYPERLINK("https://klasma.github.io/Logging_0480/kartor_geotiff/A 67817-2021 georefererad karta.tif", "A 67817-2021")</f>
        <v/>
      </c>
      <c r="AA66">
        <f>HYPERLINK("https://klasma.github.io/Logging_0480/klagomål/A 67817-2021 FSC-klagomål.docx", "A 67817-2021")</f>
        <v/>
      </c>
      <c r="AB66">
        <f>HYPERLINK("https://klasma.github.io/Logging_0480/klagomålsmail/A 67817-2021 FSC-klagomål mail.docx", "A 67817-2021")</f>
        <v/>
      </c>
      <c r="AC66">
        <f>HYPERLINK("https://klasma.github.io/Logging_0480/tillsyn/A 67817-2021 tillsynsbegäran.docx", "A 67817-2021")</f>
        <v/>
      </c>
      <c r="AD66">
        <f>HYPERLINK("https://klasma.github.io/Logging_0480/tillsynsmail/A 67817-2021 tillsynsbegäran mail.docx", "A 67817-2021")</f>
        <v/>
      </c>
    </row>
    <row r="67" ht="15" customHeight="1">
      <c r="A67" t="inlineStr">
        <is>
          <t>A 58396-2021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44488</v>
      </c>
      <c r="E67" s="1" t="n">
        <v>46307</v>
      </c>
      <c r="F67" t="inlineStr">
        <is>
          <t>SÖDERMANLANDS LÄN</t>
        </is>
      </c>
      <c r="G67" t="inlineStr">
        <is>
          <t>NYKÖPING</t>
        </is>
      </c>
      <c r="I67" t="n">
        <v>1.5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s="2" t="inlineStr">
        <is>
          <t>Havsörn</t>
        </is>
      </c>
      <c r="W67">
        <f>HYPERLINK("https://klasma.github.io/Logging_0480/artfynd/A 58396-2021 artfynd.xlsx", "A 58396-2021")</f>
        <v/>
      </c>
      <c r="X67">
        <f>HYPERLINK("https://klasma.github.io/Logging_0480/kartor/A 58396-2021 karta.png", "A 58396-2021")</f>
        <v/>
      </c>
      <c r="Y67">
        <f>HYPERLINK("https://klasma.github.io/Logging_0480/kartor_geotiff/A 58396-2021 georefererad karta.tif", "A 58396-2021")</f>
        <v/>
      </c>
      <c r="AA67">
        <f>HYPERLINK("https://klasma.github.io/Logging_0480/klagomål/A 58396-2021 FSC-klagomål.docx", "A 58396-2021")</f>
        <v/>
      </c>
      <c r="AB67">
        <f>HYPERLINK("https://klasma.github.io/Logging_0480/klagomålsmail/A 58396-2021 FSC-klagomål mail.docx", "A 58396-2021")</f>
        <v/>
      </c>
      <c r="AC67">
        <f>HYPERLINK("https://klasma.github.io/Logging_0480/tillsyn/A 58396-2021 tillsynsbegäran.docx", "A 58396-2021")</f>
        <v/>
      </c>
      <c r="AD67">
        <f>HYPERLINK("https://klasma.github.io/Logging_0480/tillsynsmail/A 58396-2021 tillsynsbegäran mail.docx", "A 58396-2021")</f>
        <v/>
      </c>
      <c r="AE67">
        <f>HYPERLINK("https://klasma.github.io/Logging_0480/fåglar/A 58396-2021 prioriterade fågelarter.docx", "A 58396-2021")</f>
        <v/>
      </c>
    </row>
    <row r="68" ht="15" customHeight="1">
      <c r="A68" t="inlineStr">
        <is>
          <t>A 22990-2022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44718</v>
      </c>
      <c r="E68" s="1" t="n">
        <v>46307</v>
      </c>
      <c r="F68" t="inlineStr">
        <is>
          <t>SÖDERMANLANDS LÄN</t>
        </is>
      </c>
      <c r="G68" t="inlineStr">
        <is>
          <t>NYKÖPING</t>
        </is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s="2" t="inlineStr">
        <is>
          <t>Jungfrulin</t>
        </is>
      </c>
      <c r="W68">
        <f>HYPERLINK("https://klasma.github.io/Logging_0480/artfynd/A 22990-2022 artfynd.xlsx", "A 22990-2022")</f>
        <v/>
      </c>
      <c r="X68">
        <f>HYPERLINK("https://klasma.github.io/Logging_0480/kartor/A 22990-2022 karta.png", "A 22990-2022")</f>
        <v/>
      </c>
      <c r="Y68">
        <f>HYPERLINK("https://klasma.github.io/Logging_0480/kartor_geotiff/A 22990-2022 georefererad karta.tif", "A 22990-2022")</f>
        <v/>
      </c>
      <c r="AA68">
        <f>HYPERLINK("https://klasma.github.io/Logging_0480/klagomål/A 22990-2022 FSC-klagomål.docx", "A 22990-2022")</f>
        <v/>
      </c>
      <c r="AB68">
        <f>HYPERLINK("https://klasma.github.io/Logging_0480/klagomålsmail/A 22990-2022 FSC-klagomål mail.docx", "A 22990-2022")</f>
        <v/>
      </c>
      <c r="AC68">
        <f>HYPERLINK("https://klasma.github.io/Logging_0480/tillsyn/A 22990-2022 tillsynsbegäran.docx", "A 22990-2022")</f>
        <v/>
      </c>
      <c r="AD68">
        <f>HYPERLINK("https://klasma.github.io/Logging_0480/tillsynsmail/A 22990-2022 tillsynsbegäran mail.docx", "A 22990-2022")</f>
        <v/>
      </c>
    </row>
    <row r="69" ht="15" customHeight="1">
      <c r="A69" t="inlineStr">
        <is>
          <t>A 18500-2024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45424</v>
      </c>
      <c r="E69" s="1" t="n">
        <v>46307</v>
      </c>
      <c r="F69" t="inlineStr">
        <is>
          <t>SÖDERMANLANDS LÄN</t>
        </is>
      </c>
      <c r="G69" t="inlineStr">
        <is>
          <t>NYKÖPING</t>
        </is>
      </c>
      <c r="I69" t="n">
        <v>2.4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s="2" t="inlineStr">
        <is>
          <t>Tornseglare</t>
        </is>
      </c>
      <c r="W69">
        <f>HYPERLINK("https://klasma.github.io/Logging_0480/artfynd/A 18500-2024 artfynd.xlsx", "A 18500-2024")</f>
        <v/>
      </c>
      <c r="X69">
        <f>HYPERLINK("https://klasma.github.io/Logging_0480/kartor/A 18500-2024 karta.png", "A 18500-2024")</f>
        <v/>
      </c>
      <c r="Y69">
        <f>HYPERLINK("https://klasma.github.io/Logging_0480/kartor_geotiff/A 18500-2024 georefererad karta.tif", "A 18500-2024")</f>
        <v/>
      </c>
      <c r="AA69">
        <f>HYPERLINK("https://klasma.github.io/Logging_0480/klagomål/A 18500-2024 FSC-klagomål.docx", "A 18500-2024")</f>
        <v/>
      </c>
      <c r="AB69">
        <f>HYPERLINK("https://klasma.github.io/Logging_0480/klagomålsmail/A 18500-2024 FSC-klagomål mail.docx", "A 18500-2024")</f>
        <v/>
      </c>
      <c r="AC69">
        <f>HYPERLINK("https://klasma.github.io/Logging_0480/tillsyn/A 18500-2024 tillsynsbegäran.docx", "A 18500-2024")</f>
        <v/>
      </c>
      <c r="AD69">
        <f>HYPERLINK("https://klasma.github.io/Logging_0480/tillsynsmail/A 18500-2024 tillsynsbegäran mail.docx", "A 18500-2024")</f>
        <v/>
      </c>
      <c r="AE69">
        <f>HYPERLINK("https://klasma.github.io/Logging_0480/fåglar/A 18500-2024 prioriterade fågelarter.docx", "A 18500-2024")</f>
        <v/>
      </c>
    </row>
    <row r="70" ht="15" customHeight="1">
      <c r="A70" t="inlineStr">
        <is>
          <t>A 20425-2024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45435</v>
      </c>
      <c r="E70" s="1" t="n">
        <v>46307</v>
      </c>
      <c r="F70" t="inlineStr">
        <is>
          <t>SÖDERMANLANDS LÄN</t>
        </is>
      </c>
      <c r="G70" t="inlineStr">
        <is>
          <t>NYKÖPING</t>
        </is>
      </c>
      <c r="H70" t="inlineStr">
        <is>
          <t>Kommuner</t>
        </is>
      </c>
      <c r="I70" t="n">
        <v>1.3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s="2" t="inlineStr">
        <is>
          <t>Skogsalm</t>
        </is>
      </c>
      <c r="W70">
        <f>HYPERLINK("https://klasma.github.io/Logging_0480/artfynd/A 20425-2024 artfynd.xlsx", "A 20425-2024")</f>
        <v/>
      </c>
      <c r="X70">
        <f>HYPERLINK("https://klasma.github.io/Logging_0480/kartor/A 20425-2024 karta.png", "A 20425-2024")</f>
        <v/>
      </c>
      <c r="Y70">
        <f>HYPERLINK("https://klasma.github.io/Logging_0480/kartor_geotiff/A 20425-2024 georefererad karta.tif", "A 20425-2024")</f>
        <v/>
      </c>
      <c r="AA70">
        <f>HYPERLINK("https://klasma.github.io/Logging_0480/klagomål/A 20425-2024 FSC-klagomål.docx", "A 20425-2024")</f>
        <v/>
      </c>
      <c r="AB70">
        <f>HYPERLINK("https://klasma.github.io/Logging_0480/klagomålsmail/A 20425-2024 FSC-klagomål mail.docx", "A 20425-2024")</f>
        <v/>
      </c>
      <c r="AC70">
        <f>HYPERLINK("https://klasma.github.io/Logging_0480/tillsyn/A 20425-2024 tillsynsbegäran.docx", "A 20425-2024")</f>
        <v/>
      </c>
      <c r="AD70">
        <f>HYPERLINK("https://klasma.github.io/Logging_0480/tillsynsmail/A 20425-2024 tillsynsbegäran mail.docx", "A 20425-2024")</f>
        <v/>
      </c>
    </row>
    <row r="71" ht="15" customHeight="1">
      <c r="A71" t="inlineStr">
        <is>
          <t>A 20325-2023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45056</v>
      </c>
      <c r="E71" s="1" t="n">
        <v>46307</v>
      </c>
      <c r="F71" t="inlineStr">
        <is>
          <t>SÖDERMANLANDS LÄN</t>
        </is>
      </c>
      <c r="G71" t="inlineStr">
        <is>
          <t>NYKÖPING</t>
        </is>
      </c>
      <c r="I71" t="n">
        <v>0.2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s="2" t="inlineStr">
        <is>
          <t>Kamjordstjärna</t>
        </is>
      </c>
      <c r="W71">
        <f>HYPERLINK("https://klasma.github.io/Logging_0480/artfynd/A 20325-2023 artfynd.xlsx", "A 20325-2023")</f>
        <v/>
      </c>
      <c r="X71">
        <f>HYPERLINK("https://klasma.github.io/Logging_0480/kartor/A 20325-2023 karta.png", "A 20325-2023")</f>
        <v/>
      </c>
      <c r="Y71">
        <f>HYPERLINK("https://klasma.github.io/Logging_0480/kartor_geotiff/A 20325-2023 georefererad karta.tif", "A 20325-2023")</f>
        <v/>
      </c>
      <c r="AA71">
        <f>HYPERLINK("https://klasma.github.io/Logging_0480/klagomål/A 20325-2023 FSC-klagomål.docx", "A 20325-2023")</f>
        <v/>
      </c>
      <c r="AB71">
        <f>HYPERLINK("https://klasma.github.io/Logging_0480/klagomålsmail/A 20325-2023 FSC-klagomål mail.docx", "A 20325-2023")</f>
        <v/>
      </c>
      <c r="AC71">
        <f>HYPERLINK("https://klasma.github.io/Logging_0480/tillsyn/A 20325-2023 tillsynsbegäran.docx", "A 20325-2023")</f>
        <v/>
      </c>
      <c r="AD71">
        <f>HYPERLINK("https://klasma.github.io/Logging_0480/tillsynsmail/A 20325-2023 tillsynsbegäran mail.docx", "A 20325-2023")</f>
        <v/>
      </c>
    </row>
    <row r="72" ht="15" customHeight="1">
      <c r="A72" t="inlineStr">
        <is>
          <t>A 5509-2023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44960</v>
      </c>
      <c r="E72" s="1" t="n">
        <v>46307</v>
      </c>
      <c r="F72" t="inlineStr">
        <is>
          <t>SÖDERMANLANDS LÄN</t>
        </is>
      </c>
      <c r="G72" t="inlineStr">
        <is>
          <t>NYKÖPING</t>
        </is>
      </c>
      <c r="I72" t="n">
        <v>1.2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s="2" t="inlineStr">
        <is>
          <t>Kungsfågel</t>
        </is>
      </c>
      <c r="W72">
        <f>HYPERLINK("https://klasma.github.io/Logging_0480/artfynd/A 5509-2023 artfynd.xlsx", "A 5509-2023")</f>
        <v/>
      </c>
      <c r="X72">
        <f>HYPERLINK("https://klasma.github.io/Logging_0480/kartor/A 5509-2023 karta.png", "A 5509-2023")</f>
        <v/>
      </c>
      <c r="Y72">
        <f>HYPERLINK("https://klasma.github.io/Logging_0480/kartor_geotiff/A 5509-2023 georefererad karta.tif", "A 5509-2023")</f>
        <v/>
      </c>
      <c r="AA72">
        <f>HYPERLINK("https://klasma.github.io/Logging_0480/klagomål/A 5509-2023 FSC-klagomål.docx", "A 5509-2023")</f>
        <v/>
      </c>
      <c r="AB72">
        <f>HYPERLINK("https://klasma.github.io/Logging_0480/klagomålsmail/A 5509-2023 FSC-klagomål mail.docx", "A 5509-2023")</f>
        <v/>
      </c>
      <c r="AC72">
        <f>HYPERLINK("https://klasma.github.io/Logging_0480/tillsyn/A 5509-2023 tillsynsbegäran.docx", "A 5509-2023")</f>
        <v/>
      </c>
      <c r="AD72">
        <f>HYPERLINK("https://klasma.github.io/Logging_0480/tillsynsmail/A 5509-2023 tillsynsbegäran mail.docx", "A 5509-2023")</f>
        <v/>
      </c>
    </row>
    <row r="73" ht="15" customHeight="1">
      <c r="A73" t="inlineStr">
        <is>
          <t>A 59329-2023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45252</v>
      </c>
      <c r="E73" s="1" t="n">
        <v>46307</v>
      </c>
      <c r="F73" t="inlineStr">
        <is>
          <t>SÖDERMANLANDS LÄN</t>
        </is>
      </c>
      <c r="G73" t="inlineStr">
        <is>
          <t>NYKÖPING</t>
        </is>
      </c>
      <c r="I73" t="n">
        <v>22.1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s="2" t="inlineStr">
        <is>
          <t>Blåsippa</t>
        </is>
      </c>
      <c r="W73">
        <f>HYPERLINK("https://klasma.github.io/Logging_0480/artfynd/A 59329-2023 artfynd.xlsx", "A 59329-2023")</f>
        <v/>
      </c>
      <c r="X73">
        <f>HYPERLINK("https://klasma.github.io/Logging_0480/kartor/A 59329-2023 karta.png", "A 59329-2023")</f>
        <v/>
      </c>
      <c r="Y73">
        <f>HYPERLINK("https://klasma.github.io/Logging_0480/kartor_geotiff/A 59329-2023 georefererad karta.tif", "A 59329-2023")</f>
        <v/>
      </c>
      <c r="AA73">
        <f>HYPERLINK("https://klasma.github.io/Logging_0480/klagomål/A 59329-2023 FSC-klagomål.docx", "A 59329-2023")</f>
        <v/>
      </c>
      <c r="AB73">
        <f>HYPERLINK("https://klasma.github.io/Logging_0480/klagomålsmail/A 59329-2023 FSC-klagomål mail.docx", "A 59329-2023")</f>
        <v/>
      </c>
      <c r="AC73">
        <f>HYPERLINK("https://klasma.github.io/Logging_0480/tillsyn/A 59329-2023 tillsynsbegäran.docx", "A 59329-2023")</f>
        <v/>
      </c>
      <c r="AD73">
        <f>HYPERLINK("https://klasma.github.io/Logging_0480/tillsynsmail/A 59329-2023 tillsynsbegäran mail.docx", "A 59329-2023")</f>
        <v/>
      </c>
    </row>
    <row r="74" ht="15" customHeight="1">
      <c r="A74" t="inlineStr">
        <is>
          <t>A 28542-2023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45103</v>
      </c>
      <c r="E74" s="1" t="n">
        <v>46307</v>
      </c>
      <c r="F74" t="inlineStr">
        <is>
          <t>SÖDERMANLANDS LÄN</t>
        </is>
      </c>
      <c r="G74" t="inlineStr">
        <is>
          <t>NYKÖPING</t>
        </is>
      </c>
      <c r="I74" t="n">
        <v>2.8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s="2" t="inlineStr">
        <is>
          <t>Knärot</t>
        </is>
      </c>
      <c r="W74">
        <f>HYPERLINK("https://klasma.github.io/Logging_0480/artfynd/A 28542-2023 artfynd.xlsx", "A 28542-2023")</f>
        <v/>
      </c>
      <c r="X74">
        <f>HYPERLINK("https://klasma.github.io/Logging_0480/kartor/A 28542-2023 karta.png", "A 28542-2023")</f>
        <v/>
      </c>
      <c r="Y74">
        <f>HYPERLINK("https://klasma.github.io/Logging_0480/kartor_geotiff/A 28542-2023 georefererad karta.tif", "A 28542-2023")</f>
        <v/>
      </c>
      <c r="Z74">
        <f>HYPERLINK("https://klasma.github.io/Logging_0480/knärot/A 28542-2023 karta knärot.png", "A 28542-2023")</f>
        <v/>
      </c>
      <c r="AA74">
        <f>HYPERLINK("https://klasma.github.io/Logging_0480/klagomål/A 28542-2023 FSC-klagomål.docx", "A 28542-2023")</f>
        <v/>
      </c>
      <c r="AB74">
        <f>HYPERLINK("https://klasma.github.io/Logging_0480/klagomålsmail/A 28542-2023 FSC-klagomål mail.docx", "A 28542-2023")</f>
        <v/>
      </c>
      <c r="AC74">
        <f>HYPERLINK("https://klasma.github.io/Logging_0480/tillsyn/A 28542-2023 tillsynsbegäran.docx", "A 28542-2023")</f>
        <v/>
      </c>
      <c r="AD74">
        <f>HYPERLINK("https://klasma.github.io/Logging_0480/tillsynsmail/A 28542-2023 tillsynsbegäran mail.docx", "A 28542-2023")</f>
        <v/>
      </c>
    </row>
    <row r="75" ht="15" customHeight="1">
      <c r="A75" t="inlineStr">
        <is>
          <t>A 13038-2024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45385</v>
      </c>
      <c r="E75" s="1" t="n">
        <v>46307</v>
      </c>
      <c r="F75" t="inlineStr">
        <is>
          <t>SÖDERMANLANDS LÄN</t>
        </is>
      </c>
      <c r="G75" t="inlineStr">
        <is>
          <t>NYKÖPING</t>
        </is>
      </c>
      <c r="I75" t="n">
        <v>3.8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2</v>
      </c>
      <c r="U75" t="n">
        <v>0</v>
      </c>
      <c r="V75" s="2" t="inlineStr">
        <is>
          <t>Knärot</t>
        </is>
      </c>
      <c r="W75">
        <f>HYPERLINK("https://klasma.github.io/Logging_0480/artfynd/A 13038-2024 artfynd.xlsx", "A 13038-2024")</f>
        <v/>
      </c>
      <c r="X75">
        <f>HYPERLINK("https://klasma.github.io/Logging_0480/kartor/A 13038-2024 karta.png", "A 13038-2024")</f>
        <v/>
      </c>
      <c r="Y75">
        <f>HYPERLINK("https://klasma.github.io/Logging_0480/kartor_geotiff/A 13038-2024 georefererad karta.tif", "A 13038-2024")</f>
        <v/>
      </c>
      <c r="Z75">
        <f>HYPERLINK("https://klasma.github.io/Logging_0480/knärot/A 13038-2024 karta knärot.png", "A 13038-2024")</f>
        <v/>
      </c>
      <c r="AA75">
        <f>HYPERLINK("https://klasma.github.io/Logging_0480/klagomål/A 13038-2024 FSC-klagomål.docx", "A 13038-2024")</f>
        <v/>
      </c>
      <c r="AB75">
        <f>HYPERLINK("https://klasma.github.io/Logging_0480/klagomålsmail/A 13038-2024 FSC-klagomål mail.docx", "A 13038-2024")</f>
        <v/>
      </c>
      <c r="AC75">
        <f>HYPERLINK("https://klasma.github.io/Logging_0480/tillsyn/A 13038-2024 tillsynsbegäran.docx", "A 13038-2024")</f>
        <v/>
      </c>
      <c r="AD75">
        <f>HYPERLINK("https://klasma.github.io/Logging_0480/tillsynsmail/A 13038-2024 tillsynsbegäran mail.docx", "A 13038-2024")</f>
        <v/>
      </c>
    </row>
    <row r="76" ht="15" customHeight="1">
      <c r="A76" t="inlineStr">
        <is>
          <t>A 1105-2023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44935</v>
      </c>
      <c r="E76" s="1" t="n">
        <v>46307</v>
      </c>
      <c r="F76" t="inlineStr">
        <is>
          <t>SÖDERMANLANDS LÄN</t>
        </is>
      </c>
      <c r="G76" t="inlineStr">
        <is>
          <t>NYKÖPING</t>
        </is>
      </c>
      <c r="H76" t="inlineStr">
        <is>
          <t>Holmen skog AB</t>
        </is>
      </c>
      <c r="I76" t="n">
        <v>1.1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s="2" t="inlineStr">
        <is>
          <t>Skuggblåslav</t>
        </is>
      </c>
      <c r="W76">
        <f>HYPERLINK("https://klasma.github.io/Logging_0480/artfynd/A 1105-2023 artfynd.xlsx", "A 1105-2023")</f>
        <v/>
      </c>
      <c r="X76">
        <f>HYPERLINK("https://klasma.github.io/Logging_0480/kartor/A 1105-2023 karta.png", "A 1105-2023")</f>
        <v/>
      </c>
      <c r="Y76">
        <f>HYPERLINK("https://klasma.github.io/Logging_0480/kartor_geotiff/A 1105-2023 georefererad karta.tif", "A 1105-2023")</f>
        <v/>
      </c>
      <c r="AA76">
        <f>HYPERLINK("https://klasma.github.io/Logging_0480/klagomål/A 1105-2023 FSC-klagomål.docx", "A 1105-2023")</f>
        <v/>
      </c>
      <c r="AB76">
        <f>HYPERLINK("https://klasma.github.io/Logging_0480/klagomålsmail/A 1105-2023 FSC-klagomål mail.docx", "A 1105-2023")</f>
        <v/>
      </c>
      <c r="AC76">
        <f>HYPERLINK("https://klasma.github.io/Logging_0480/tillsyn/A 1105-2023 tillsynsbegäran.docx", "A 1105-2023")</f>
        <v/>
      </c>
      <c r="AD76">
        <f>HYPERLINK("https://klasma.github.io/Logging_0480/tillsynsmail/A 1105-2023 tillsynsbegäran mail.docx", "A 1105-2023")</f>
        <v/>
      </c>
    </row>
    <row r="77" ht="15" customHeight="1">
      <c r="A77" t="inlineStr">
        <is>
          <t>A 51258-2024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45603</v>
      </c>
      <c r="E77" s="1" t="n">
        <v>46307</v>
      </c>
      <c r="F77" t="inlineStr">
        <is>
          <t>SÖDERMANLANDS LÄN</t>
        </is>
      </c>
      <c r="G77" t="inlineStr">
        <is>
          <t>NYKÖPING</t>
        </is>
      </c>
      <c r="H77" t="inlineStr">
        <is>
          <t>Sveaskog</t>
        </is>
      </c>
      <c r="I77" t="n">
        <v>2.6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s="2" t="inlineStr">
        <is>
          <t>Grönpyrola</t>
        </is>
      </c>
      <c r="W77">
        <f>HYPERLINK("https://klasma.github.io/Logging_0480/artfynd/A 51258-2024 artfynd.xlsx", "A 51258-2024")</f>
        <v/>
      </c>
      <c r="X77">
        <f>HYPERLINK("https://klasma.github.io/Logging_0480/kartor/A 51258-2024 karta.png", "A 51258-2024")</f>
        <v/>
      </c>
      <c r="Y77">
        <f>HYPERLINK("https://klasma.github.io/Logging_0480/kartor_geotiff/A 51258-2024 georefererad karta.tif", "A 51258-2024")</f>
        <v/>
      </c>
      <c r="AA77">
        <f>HYPERLINK("https://klasma.github.io/Logging_0480/klagomål/A 51258-2024 FSC-klagomål.docx", "A 51258-2024")</f>
        <v/>
      </c>
      <c r="AB77">
        <f>HYPERLINK("https://klasma.github.io/Logging_0480/klagomålsmail/A 51258-2024 FSC-klagomål mail.docx", "A 51258-2024")</f>
        <v/>
      </c>
      <c r="AC77">
        <f>HYPERLINK("https://klasma.github.io/Logging_0480/tillsyn/A 51258-2024 tillsynsbegäran.docx", "A 51258-2024")</f>
        <v/>
      </c>
      <c r="AD77">
        <f>HYPERLINK("https://klasma.github.io/Logging_0480/tillsynsmail/A 51258-2024 tillsynsbegäran mail.docx", "A 51258-2024")</f>
        <v/>
      </c>
    </row>
    <row r="78" ht="15" customHeight="1">
      <c r="A78" t="inlineStr">
        <is>
          <t>A 8387-2024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45352</v>
      </c>
      <c r="E78" s="1" t="n">
        <v>46307</v>
      </c>
      <c r="F78" t="inlineStr">
        <is>
          <t>SÖDERMANLANDS LÄN</t>
        </is>
      </c>
      <c r="G78" t="inlineStr">
        <is>
          <t>NYKÖPING</t>
        </is>
      </c>
      <c r="H78" t="inlineStr">
        <is>
          <t>Sveaskog</t>
        </is>
      </c>
      <c r="I78" t="n">
        <v>0.6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s="2" t="inlineStr">
        <is>
          <t>Gulsparv</t>
        </is>
      </c>
      <c r="W78">
        <f>HYPERLINK("https://klasma.github.io/Logging_0480/artfynd/A 8387-2024 artfynd.xlsx", "A 8387-2024")</f>
        <v/>
      </c>
      <c r="X78">
        <f>HYPERLINK("https://klasma.github.io/Logging_0480/kartor/A 8387-2024 karta.png", "A 8387-2024")</f>
        <v/>
      </c>
      <c r="Y78">
        <f>HYPERLINK("https://klasma.github.io/Logging_0480/kartor_geotiff/A 8387-2024 georefererad karta.tif", "A 8387-2024")</f>
        <v/>
      </c>
      <c r="AA78">
        <f>HYPERLINK("https://klasma.github.io/Logging_0480/klagomål/A 8387-2024 FSC-klagomål.docx", "A 8387-2024")</f>
        <v/>
      </c>
      <c r="AB78">
        <f>HYPERLINK("https://klasma.github.io/Logging_0480/klagomålsmail/A 8387-2024 FSC-klagomål mail.docx", "A 8387-2024")</f>
        <v/>
      </c>
      <c r="AC78">
        <f>HYPERLINK("https://klasma.github.io/Logging_0480/tillsyn/A 8387-2024 tillsynsbegäran.docx", "A 8387-2024")</f>
        <v/>
      </c>
      <c r="AD78">
        <f>HYPERLINK("https://klasma.github.io/Logging_0480/tillsynsmail/A 8387-2024 tillsynsbegäran mail.docx", "A 8387-2024")</f>
        <v/>
      </c>
      <c r="AE78">
        <f>HYPERLINK("https://klasma.github.io/Logging_0480/fåglar/A 8387-2024 prioriterade fågelarter.docx", "A 8387-2024")</f>
        <v/>
      </c>
    </row>
    <row r="79" ht="15" customHeight="1">
      <c r="A79" t="inlineStr">
        <is>
          <t>A 45122-2025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45919</v>
      </c>
      <c r="E79" s="1" t="n">
        <v>46307</v>
      </c>
      <c r="F79" t="inlineStr">
        <is>
          <t>SÖDERMANLANDS LÄN</t>
        </is>
      </c>
      <c r="G79" t="inlineStr">
        <is>
          <t>NYKÖPING</t>
        </is>
      </c>
      <c r="I79" t="n">
        <v>6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0</v>
      </c>
      <c r="V79" s="2" t="inlineStr">
        <is>
          <t>Talltita</t>
        </is>
      </c>
      <c r="W79">
        <f>HYPERLINK("https://klasma.github.io/Logging_0480/artfynd/A 45122-2025 artfynd.xlsx", "A 45122-2025")</f>
        <v/>
      </c>
      <c r="X79">
        <f>HYPERLINK("https://klasma.github.io/Logging_0480/kartor/A 45122-2025 karta.png", "A 45122-2025")</f>
        <v/>
      </c>
      <c r="Y79">
        <f>HYPERLINK("https://klasma.github.io/Logging_0480/kartor_geotiff/A 45122-2025 georefererad karta.tif", "A 45122-2025")</f>
        <v/>
      </c>
      <c r="AA79">
        <f>HYPERLINK("https://klasma.github.io/Logging_0480/klagomål/A 45122-2025 FSC-klagomål.docx", "A 45122-2025")</f>
        <v/>
      </c>
      <c r="AB79">
        <f>HYPERLINK("https://klasma.github.io/Logging_0480/klagomålsmail/A 45122-2025 FSC-klagomål mail.docx", "A 45122-2025")</f>
        <v/>
      </c>
      <c r="AC79">
        <f>HYPERLINK("https://klasma.github.io/Logging_0480/tillsyn/A 45122-2025 tillsynsbegäran.docx", "A 45122-2025")</f>
        <v/>
      </c>
      <c r="AD79">
        <f>HYPERLINK("https://klasma.github.io/Logging_0480/tillsynsmail/A 45122-2025 tillsynsbegäran mail.docx", "A 45122-2025")</f>
        <v/>
      </c>
      <c r="AE79">
        <f>HYPERLINK("https://klasma.github.io/Logging_0480/fåglar/A 45122-2025 prioriterade fågelarter.docx", "A 45122-2025")</f>
        <v/>
      </c>
    </row>
    <row r="80" ht="15" customHeight="1">
      <c r="A80" t="inlineStr">
        <is>
          <t>A 56080-2024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45624</v>
      </c>
      <c r="E80" s="1" t="n">
        <v>46307</v>
      </c>
      <c r="F80" t="inlineStr">
        <is>
          <t>SÖDERMANLANDS LÄN</t>
        </is>
      </c>
      <c r="G80" t="inlineStr">
        <is>
          <t>NYKÖPING</t>
        </is>
      </c>
      <c r="I80" t="n">
        <v>5.5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s="2" t="inlineStr">
        <is>
          <t>Ärtsångare</t>
        </is>
      </c>
      <c r="W80">
        <f>HYPERLINK("https://klasma.github.io/Logging_0480/artfynd/A 56080-2024 artfynd.xlsx", "A 56080-2024")</f>
        <v/>
      </c>
      <c r="X80">
        <f>HYPERLINK("https://klasma.github.io/Logging_0480/kartor/A 56080-2024 karta.png", "A 56080-2024")</f>
        <v/>
      </c>
      <c r="Y80">
        <f>HYPERLINK("https://klasma.github.io/Logging_0480/kartor_geotiff/A 56080-2024 georefererad karta.tif", "A 56080-2024")</f>
        <v/>
      </c>
      <c r="AA80">
        <f>HYPERLINK("https://klasma.github.io/Logging_0480/klagomål/A 56080-2024 FSC-klagomål.docx", "A 56080-2024")</f>
        <v/>
      </c>
      <c r="AB80">
        <f>HYPERLINK("https://klasma.github.io/Logging_0480/klagomålsmail/A 56080-2024 FSC-klagomål mail.docx", "A 56080-2024")</f>
        <v/>
      </c>
      <c r="AC80">
        <f>HYPERLINK("https://klasma.github.io/Logging_0480/tillsyn/A 56080-2024 tillsynsbegäran.docx", "A 56080-2024")</f>
        <v/>
      </c>
      <c r="AD80">
        <f>HYPERLINK("https://klasma.github.io/Logging_0480/tillsynsmail/A 56080-2024 tillsynsbegäran mail.docx", "A 56080-2024")</f>
        <v/>
      </c>
    </row>
    <row r="81" ht="15" customHeight="1">
      <c r="A81" t="inlineStr">
        <is>
          <t>A 20415-2024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45435</v>
      </c>
      <c r="E81" s="1" t="n">
        <v>46307</v>
      </c>
      <c r="F81" t="inlineStr">
        <is>
          <t>SÖDERMANLANDS LÄN</t>
        </is>
      </c>
      <c r="G81" t="inlineStr">
        <is>
          <t>NYKÖPING</t>
        </is>
      </c>
      <c r="H81" t="inlineStr">
        <is>
          <t>Kommuner</t>
        </is>
      </c>
      <c r="I81" t="n">
        <v>6.4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0</v>
      </c>
      <c r="V81" s="2" t="inlineStr">
        <is>
          <t>Gulsparv</t>
        </is>
      </c>
      <c r="W81">
        <f>HYPERLINK("https://klasma.github.io/Logging_0480/artfynd/A 20415-2024 artfynd.xlsx", "A 20415-2024")</f>
        <v/>
      </c>
      <c r="X81">
        <f>HYPERLINK("https://klasma.github.io/Logging_0480/kartor/A 20415-2024 karta.png", "A 20415-2024")</f>
        <v/>
      </c>
      <c r="Y81">
        <f>HYPERLINK("https://klasma.github.io/Logging_0480/kartor_geotiff/A 20415-2024 georefererad karta.tif", "A 20415-2024")</f>
        <v/>
      </c>
      <c r="AA81">
        <f>HYPERLINK("https://klasma.github.io/Logging_0480/klagomål/A 20415-2024 FSC-klagomål.docx", "A 20415-2024")</f>
        <v/>
      </c>
      <c r="AB81">
        <f>HYPERLINK("https://klasma.github.io/Logging_0480/klagomålsmail/A 20415-2024 FSC-klagomål mail.docx", "A 20415-2024")</f>
        <v/>
      </c>
      <c r="AC81">
        <f>HYPERLINK("https://klasma.github.io/Logging_0480/tillsyn/A 20415-2024 tillsynsbegäran.docx", "A 20415-2024")</f>
        <v/>
      </c>
      <c r="AD81">
        <f>HYPERLINK("https://klasma.github.io/Logging_0480/tillsynsmail/A 20415-2024 tillsynsbegäran mail.docx", "A 20415-2024")</f>
        <v/>
      </c>
      <c r="AE81">
        <f>HYPERLINK("https://klasma.github.io/Logging_0480/fåglar/A 20415-2024 prioriterade fågelarter.docx", "A 20415-2024")</f>
        <v/>
      </c>
    </row>
    <row r="82" ht="15" customHeight="1">
      <c r="A82" t="inlineStr">
        <is>
          <t>A 50554-2023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45210</v>
      </c>
      <c r="E82" s="1" t="n">
        <v>46307</v>
      </c>
      <c r="F82" t="inlineStr">
        <is>
          <t>SÖDERMANLANDS LÄN</t>
        </is>
      </c>
      <c r="G82" t="inlineStr">
        <is>
          <t>NYKÖPING</t>
        </is>
      </c>
      <c r="I82" t="n">
        <v>10.9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s="2" t="inlineStr">
        <is>
          <t>Grönpyrola</t>
        </is>
      </c>
      <c r="W82">
        <f>HYPERLINK("https://klasma.github.io/Logging_0480/artfynd/A 50554-2023 artfynd.xlsx", "A 50554-2023")</f>
        <v/>
      </c>
      <c r="X82">
        <f>HYPERLINK("https://klasma.github.io/Logging_0480/kartor/A 50554-2023 karta.png", "A 50554-2023")</f>
        <v/>
      </c>
      <c r="Y82">
        <f>HYPERLINK("https://klasma.github.io/Logging_0480/kartor_geotiff/A 50554-2023 georefererad karta.tif", "A 50554-2023")</f>
        <v/>
      </c>
      <c r="AA82">
        <f>HYPERLINK("https://klasma.github.io/Logging_0480/klagomål/A 50554-2023 FSC-klagomål.docx", "A 50554-2023")</f>
        <v/>
      </c>
      <c r="AB82">
        <f>HYPERLINK("https://klasma.github.io/Logging_0480/klagomålsmail/A 50554-2023 FSC-klagomål mail.docx", "A 50554-2023")</f>
        <v/>
      </c>
      <c r="AC82">
        <f>HYPERLINK("https://klasma.github.io/Logging_0480/tillsyn/A 50554-2023 tillsynsbegäran.docx", "A 50554-2023")</f>
        <v/>
      </c>
      <c r="AD82">
        <f>HYPERLINK("https://klasma.github.io/Logging_0480/tillsynsmail/A 50554-2023 tillsynsbegäran mail.docx", "A 50554-2023")</f>
        <v/>
      </c>
    </row>
    <row r="83" ht="15" customHeight="1">
      <c r="A83" t="inlineStr">
        <is>
          <t>A 2837-2025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45677</v>
      </c>
      <c r="E83" s="1" t="n">
        <v>46307</v>
      </c>
      <c r="F83" t="inlineStr">
        <is>
          <t>SÖDERMANLANDS LÄN</t>
        </is>
      </c>
      <c r="G83" t="inlineStr">
        <is>
          <t>NYKÖPING</t>
        </is>
      </c>
      <c r="I83" t="n">
        <v>5.2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4</v>
      </c>
      <c r="U83" t="n">
        <v>0</v>
      </c>
      <c r="V83" s="2" t="inlineStr">
        <is>
          <t>Hasselticka</t>
        </is>
      </c>
      <c r="W83">
        <f>HYPERLINK("https://klasma.github.io/Logging_0480/artfynd/A 2837-2025 artfynd.xlsx", "A 2837-2025")</f>
        <v/>
      </c>
      <c r="X83">
        <f>HYPERLINK("https://klasma.github.io/Logging_0480/kartor/A 2837-2025 karta.png", "A 2837-2025")</f>
        <v/>
      </c>
      <c r="Y83">
        <f>HYPERLINK("https://klasma.github.io/Logging_0480/kartor_geotiff/A 2837-2025 georefererad karta.tif", "A 2837-2025")</f>
        <v/>
      </c>
      <c r="AA83">
        <f>HYPERLINK("https://klasma.github.io/Logging_0480/klagomål/A 2837-2025 FSC-klagomål.docx", "A 2837-2025")</f>
        <v/>
      </c>
      <c r="AB83">
        <f>HYPERLINK("https://klasma.github.io/Logging_0480/klagomålsmail/A 2837-2025 FSC-klagomål mail.docx", "A 2837-2025")</f>
        <v/>
      </c>
      <c r="AC83">
        <f>HYPERLINK("https://klasma.github.io/Logging_0480/tillsyn/A 2837-2025 tillsynsbegäran.docx", "A 2837-2025")</f>
        <v/>
      </c>
      <c r="AD83">
        <f>HYPERLINK("https://klasma.github.io/Logging_0480/tillsynsmail/A 2837-2025 tillsynsbegäran mail.docx", "A 2837-2025")</f>
        <v/>
      </c>
    </row>
    <row r="84" ht="15" customHeight="1">
      <c r="A84" t="inlineStr">
        <is>
          <t>A 50014-2025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45943</v>
      </c>
      <c r="E84" s="1" t="n">
        <v>46307</v>
      </c>
      <c r="F84" t="inlineStr">
        <is>
          <t>SÖDERMANLANDS LÄN</t>
        </is>
      </c>
      <c r="G84" t="inlineStr">
        <is>
          <t>NYKÖPING</t>
        </is>
      </c>
      <c r="H84" t="inlineStr">
        <is>
          <t>Holmen skog AB</t>
        </is>
      </c>
      <c r="I84" t="n">
        <v>4.9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  <c r="V84" s="2" t="inlineStr">
        <is>
          <t>Sexfläckig bastardsvärmare</t>
        </is>
      </c>
      <c r="W84">
        <f>HYPERLINK("https://klasma.github.io/Logging_0480/artfynd/A 50014-2025 artfynd.xlsx", "A 50014-2025")</f>
        <v/>
      </c>
      <c r="X84">
        <f>HYPERLINK("https://klasma.github.io/Logging_0480/kartor/A 50014-2025 karta.png", "A 50014-2025")</f>
        <v/>
      </c>
      <c r="Y84">
        <f>HYPERLINK("https://klasma.github.io/Logging_0480/kartor_geotiff/A 50014-2025 georefererad karta.tif", "A 50014-2025")</f>
        <v/>
      </c>
      <c r="AA84">
        <f>HYPERLINK("https://klasma.github.io/Logging_0480/klagomål/A 50014-2025 FSC-klagomål.docx", "A 50014-2025")</f>
        <v/>
      </c>
      <c r="AB84">
        <f>HYPERLINK("https://klasma.github.io/Logging_0480/klagomålsmail/A 50014-2025 FSC-klagomål mail.docx", "A 50014-2025")</f>
        <v/>
      </c>
      <c r="AC84">
        <f>HYPERLINK("https://klasma.github.io/Logging_0480/tillsyn/A 50014-2025 tillsynsbegäran.docx", "A 50014-2025")</f>
        <v/>
      </c>
      <c r="AD84">
        <f>HYPERLINK("https://klasma.github.io/Logging_0480/tillsynsmail/A 50014-2025 tillsynsbegäran mail.docx", "A 50014-2025")</f>
        <v/>
      </c>
    </row>
    <row r="85" ht="15" customHeight="1">
      <c r="A85" t="inlineStr">
        <is>
          <t>A 9973-2022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44621</v>
      </c>
      <c r="E85" s="1" t="n">
        <v>46307</v>
      </c>
      <c r="F85" t="inlineStr">
        <is>
          <t>SÖDERMANLANDS LÄN</t>
        </is>
      </c>
      <c r="G85" t="inlineStr">
        <is>
          <t>NYKÖPING</t>
        </is>
      </c>
      <c r="I85" t="n">
        <v>18.3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s="2" t="inlineStr">
        <is>
          <t>Grön sköldmossa</t>
        </is>
      </c>
      <c r="W85">
        <f>HYPERLINK("https://klasma.github.io/Logging_0480/artfynd/A 9973-2022 artfynd.xlsx", "A 9973-2022")</f>
        <v/>
      </c>
      <c r="X85">
        <f>HYPERLINK("https://klasma.github.io/Logging_0480/kartor/A 9973-2022 karta.png", "A 9973-2022")</f>
        <v/>
      </c>
      <c r="Y85">
        <f>HYPERLINK("https://klasma.github.io/Logging_0480/kartor_geotiff/A 9973-2022 georefererad karta.tif", "A 9973-2022")</f>
        <v/>
      </c>
      <c r="AA85">
        <f>HYPERLINK("https://klasma.github.io/Logging_0480/klagomål/A 9973-2022 FSC-klagomål.docx", "A 9973-2022")</f>
        <v/>
      </c>
      <c r="AB85">
        <f>HYPERLINK("https://klasma.github.io/Logging_0480/klagomålsmail/A 9973-2022 FSC-klagomål mail.docx", "A 9973-2022")</f>
        <v/>
      </c>
      <c r="AC85">
        <f>HYPERLINK("https://klasma.github.io/Logging_0480/tillsyn/A 9973-2022 tillsynsbegäran.docx", "A 9973-2022")</f>
        <v/>
      </c>
      <c r="AD85">
        <f>HYPERLINK("https://klasma.github.io/Logging_0480/tillsynsmail/A 9973-2022 tillsynsbegäran mail.docx", "A 9973-2022")</f>
        <v/>
      </c>
    </row>
    <row r="86" ht="15" customHeight="1">
      <c r="A86" t="inlineStr">
        <is>
          <t>A 50871-2025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45946</v>
      </c>
      <c r="E86" s="1" t="n">
        <v>46307</v>
      </c>
      <c r="F86" t="inlineStr">
        <is>
          <t>SÖDERMANLANDS LÄN</t>
        </is>
      </c>
      <c r="G86" t="inlineStr">
        <is>
          <t>NYKÖPING</t>
        </is>
      </c>
      <c r="H86" t="inlineStr">
        <is>
          <t>Holmen skog AB</t>
        </is>
      </c>
      <c r="I86" t="n">
        <v>2.1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s="2" t="inlineStr">
        <is>
          <t>Nattskärra</t>
        </is>
      </c>
      <c r="W86">
        <f>HYPERLINK("https://klasma.github.io/Logging_0480/artfynd/A 50871-2025 artfynd.xlsx", "A 50871-2025")</f>
        <v/>
      </c>
      <c r="X86">
        <f>HYPERLINK("https://klasma.github.io/Logging_0480/kartor/A 50871-2025 karta.png", "A 50871-2025")</f>
        <v/>
      </c>
      <c r="Y86">
        <f>HYPERLINK("https://klasma.github.io/Logging_0480/kartor_geotiff/A 50871-2025 georefererad karta.tif", "A 50871-2025")</f>
        <v/>
      </c>
      <c r="AA86">
        <f>HYPERLINK("https://klasma.github.io/Logging_0480/klagomål/A 50871-2025 FSC-klagomål.docx", "A 50871-2025")</f>
        <v/>
      </c>
      <c r="AB86">
        <f>HYPERLINK("https://klasma.github.io/Logging_0480/klagomålsmail/A 50871-2025 FSC-klagomål mail.docx", "A 50871-2025")</f>
        <v/>
      </c>
      <c r="AC86">
        <f>HYPERLINK("https://klasma.github.io/Logging_0480/tillsyn/A 50871-2025 tillsynsbegäran.docx", "A 50871-2025")</f>
        <v/>
      </c>
      <c r="AD86">
        <f>HYPERLINK("https://klasma.github.io/Logging_0480/tillsynsmail/A 50871-2025 tillsynsbegäran mail.docx", "A 50871-2025")</f>
        <v/>
      </c>
      <c r="AE86">
        <f>HYPERLINK("https://klasma.github.io/Logging_0480/fåglar/A 50871-2025 prioriterade fågelarter.docx", "A 50871-2025")</f>
        <v/>
      </c>
    </row>
    <row r="87" ht="15" customHeight="1">
      <c r="A87" t="inlineStr">
        <is>
          <t>A 28704-2025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45820</v>
      </c>
      <c r="E87" s="1" t="n">
        <v>46307</v>
      </c>
      <c r="F87" t="inlineStr">
        <is>
          <t>SÖDERMANLANDS LÄN</t>
        </is>
      </c>
      <c r="G87" t="inlineStr">
        <is>
          <t>NYKÖPING</t>
        </is>
      </c>
      <c r="H87" t="inlineStr">
        <is>
          <t>Holmen skog AB</t>
        </is>
      </c>
      <c r="I87" t="n">
        <v>1.6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0</v>
      </c>
      <c r="V87" s="2" t="inlineStr">
        <is>
          <t>Tallticka</t>
        </is>
      </c>
      <c r="W87">
        <f>HYPERLINK("https://klasma.github.io/Logging_0480/artfynd/A 28704-2025 artfynd.xlsx", "A 28704-2025")</f>
        <v/>
      </c>
      <c r="X87">
        <f>HYPERLINK("https://klasma.github.io/Logging_0480/kartor/A 28704-2025 karta.png", "A 28704-2025")</f>
        <v/>
      </c>
      <c r="Y87">
        <f>HYPERLINK("https://klasma.github.io/Logging_0480/kartor_geotiff/A 28704-2025 georefererad karta.tif", "A 28704-2025")</f>
        <v/>
      </c>
      <c r="AA87">
        <f>HYPERLINK("https://klasma.github.io/Logging_0480/klagomål/A 28704-2025 FSC-klagomål.docx", "A 28704-2025")</f>
        <v/>
      </c>
      <c r="AB87">
        <f>HYPERLINK("https://klasma.github.io/Logging_0480/klagomålsmail/A 28704-2025 FSC-klagomål mail.docx", "A 28704-2025")</f>
        <v/>
      </c>
      <c r="AC87">
        <f>HYPERLINK("https://klasma.github.io/Logging_0480/tillsyn/A 28704-2025 tillsynsbegäran.docx", "A 28704-2025")</f>
        <v/>
      </c>
      <c r="AD87">
        <f>HYPERLINK("https://klasma.github.io/Logging_0480/tillsynsmail/A 28704-2025 tillsynsbegäran mail.docx", "A 28704-2025")</f>
        <v/>
      </c>
    </row>
    <row r="88" ht="15" customHeight="1">
      <c r="A88" t="inlineStr">
        <is>
          <t>A 52384-2025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45954</v>
      </c>
      <c r="E88" s="1" t="n">
        <v>46307</v>
      </c>
      <c r="F88" t="inlineStr">
        <is>
          <t>SÖDERMANLANDS LÄN</t>
        </is>
      </c>
      <c r="G88" t="inlineStr">
        <is>
          <t>NYKÖPING</t>
        </is>
      </c>
      <c r="H88" t="inlineStr">
        <is>
          <t>Holmen skog AB</t>
        </is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s="2" t="inlineStr">
        <is>
          <t>Törnskata</t>
        </is>
      </c>
      <c r="W88">
        <f>HYPERLINK("https://klasma.github.io/Logging_0480/artfynd/A 52384-2025 artfynd.xlsx", "A 52384-2025")</f>
        <v/>
      </c>
      <c r="X88">
        <f>HYPERLINK("https://klasma.github.io/Logging_0480/kartor/A 52384-2025 karta.png", "A 52384-2025")</f>
        <v/>
      </c>
      <c r="Y88">
        <f>HYPERLINK("https://klasma.github.io/Logging_0480/kartor_geotiff/A 52384-2025 georefererad karta.tif", "A 52384-2025")</f>
        <v/>
      </c>
      <c r="AA88">
        <f>HYPERLINK("https://klasma.github.io/Logging_0480/klagomål/A 52384-2025 FSC-klagomål.docx", "A 52384-2025")</f>
        <v/>
      </c>
      <c r="AB88">
        <f>HYPERLINK("https://klasma.github.io/Logging_0480/klagomålsmail/A 52384-2025 FSC-klagomål mail.docx", "A 52384-2025")</f>
        <v/>
      </c>
      <c r="AC88">
        <f>HYPERLINK("https://klasma.github.io/Logging_0480/tillsyn/A 52384-2025 tillsynsbegäran.docx", "A 52384-2025")</f>
        <v/>
      </c>
      <c r="AD88">
        <f>HYPERLINK("https://klasma.github.io/Logging_0480/tillsynsmail/A 52384-2025 tillsynsbegäran mail.docx", "A 52384-2025")</f>
        <v/>
      </c>
      <c r="AE88">
        <f>HYPERLINK("https://klasma.github.io/Logging_0480/fåglar/A 52384-2025 prioriterade fågelarter.docx", "A 52384-2025")</f>
        <v/>
      </c>
    </row>
    <row r="89" ht="15" customHeight="1">
      <c r="A89" t="inlineStr">
        <is>
          <t>A 35122-2023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45145</v>
      </c>
      <c r="E89" s="1" t="n">
        <v>46307</v>
      </c>
      <c r="F89" t="inlineStr">
        <is>
          <t>SÖDERMANLANDS LÄN</t>
        </is>
      </c>
      <c r="G89" t="inlineStr">
        <is>
          <t>NYKÖPING</t>
        </is>
      </c>
      <c r="I89" t="n">
        <v>3.2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s="2" t="inlineStr">
        <is>
          <t>Blåsippa</t>
        </is>
      </c>
      <c r="W89">
        <f>HYPERLINK("https://klasma.github.io/Logging_0480/artfynd/A 35122-2023 artfynd.xlsx", "A 35122-2023")</f>
        <v/>
      </c>
      <c r="X89">
        <f>HYPERLINK("https://klasma.github.io/Logging_0480/kartor/A 35122-2023 karta.png", "A 35122-2023")</f>
        <v/>
      </c>
      <c r="Y89">
        <f>HYPERLINK("https://klasma.github.io/Logging_0480/kartor_geotiff/A 35122-2023 georefererad karta.tif", "A 35122-2023")</f>
        <v/>
      </c>
      <c r="AA89">
        <f>HYPERLINK("https://klasma.github.io/Logging_0480/klagomål/A 35122-2023 FSC-klagomål.docx", "A 35122-2023")</f>
        <v/>
      </c>
      <c r="AB89">
        <f>HYPERLINK("https://klasma.github.io/Logging_0480/klagomålsmail/A 35122-2023 FSC-klagomål mail.docx", "A 35122-2023")</f>
        <v/>
      </c>
      <c r="AC89">
        <f>HYPERLINK("https://klasma.github.io/Logging_0480/tillsyn/A 35122-2023 tillsynsbegäran.docx", "A 35122-2023")</f>
        <v/>
      </c>
      <c r="AD89">
        <f>HYPERLINK("https://klasma.github.io/Logging_0480/tillsynsmail/A 35122-2023 tillsynsbegäran mail.docx", "A 35122-2023")</f>
        <v/>
      </c>
    </row>
    <row r="90" ht="15" customHeight="1">
      <c r="A90" t="inlineStr">
        <is>
          <t>A 7270-2025</t>
        </is>
      </c>
      <c r="B90" t="inlineStr">
        <is>
          <t>avverkningsanmälan</t>
        </is>
      </c>
      <c r="C90" t="inlineStr">
        <is>
          <t>Avverkning för annat ändamål</t>
        </is>
      </c>
      <c r="D90" s="1" t="n">
        <v>45702</v>
      </c>
      <c r="E90" s="1" t="n">
        <v>46307</v>
      </c>
      <c r="F90" t="inlineStr">
        <is>
          <t>SÖDERMANLANDS LÄN</t>
        </is>
      </c>
      <c r="G90" t="inlineStr">
        <is>
          <t>NYKÖPING</t>
        </is>
      </c>
      <c r="H90" t="inlineStr">
        <is>
          <t>Övriga Aktiebolag</t>
        </is>
      </c>
      <c r="I90" t="n">
        <v>1.2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s="2" t="inlineStr">
        <is>
          <t>Järpe</t>
        </is>
      </c>
      <c r="W90">
        <f>HYPERLINK("https://klasma.github.io/Logging_0480/artfynd/A 7270-2025 artfynd.xlsx", "A 7270-2025")</f>
        <v/>
      </c>
      <c r="X90">
        <f>HYPERLINK("https://klasma.github.io/Logging_0480/kartor/A 7270-2025 karta.png", "A 7270-2025")</f>
        <v/>
      </c>
      <c r="Y90">
        <f>HYPERLINK("https://klasma.github.io/Logging_0480/kartor_geotiff/A 7270-2025 georefererad karta.tif", "A 7270-2025")</f>
        <v/>
      </c>
      <c r="AA90">
        <f>HYPERLINK("https://klasma.github.io/Logging_0480/klagomål/A 7270-2025 FSC-klagomål.docx", "A 7270-2025")</f>
        <v/>
      </c>
      <c r="AB90">
        <f>HYPERLINK("https://klasma.github.io/Logging_0480/klagomålsmail/A 7270-2025 FSC-klagomål mail.docx", "A 7270-2025")</f>
        <v/>
      </c>
      <c r="AC90">
        <f>HYPERLINK("https://klasma.github.io/Logging_0480/tillsyn/A 7270-2025 tillsynsbegäran.docx", "A 7270-2025")</f>
        <v/>
      </c>
      <c r="AD90">
        <f>HYPERLINK("https://klasma.github.io/Logging_0480/tillsynsmail/A 7270-2025 tillsynsbegäran mail.docx", "A 7270-2025")</f>
        <v/>
      </c>
      <c r="AE90">
        <f>HYPERLINK("https://klasma.github.io/Logging_0480/fåglar/A 7270-2025 prioriterade fågelarter.docx", "A 7270-2025")</f>
        <v/>
      </c>
    </row>
    <row r="91" ht="15" customHeight="1">
      <c r="A91" t="inlineStr">
        <is>
          <t>A 35318-2024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45530</v>
      </c>
      <c r="E91" s="1" t="n">
        <v>46307</v>
      </c>
      <c r="F91" t="inlineStr">
        <is>
          <t>SÖDERMANLANDS LÄN</t>
        </is>
      </c>
      <c r="G91" t="inlineStr">
        <is>
          <t>NYKÖPING</t>
        </is>
      </c>
      <c r="I91" t="n">
        <v>7.6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s="2" t="inlineStr">
        <is>
          <t>Gullviva</t>
        </is>
      </c>
      <c r="W91">
        <f>HYPERLINK("https://klasma.github.io/Logging_0480/artfynd/A 35318-2024 artfynd.xlsx", "A 35318-2024")</f>
        <v/>
      </c>
      <c r="X91">
        <f>HYPERLINK("https://klasma.github.io/Logging_0480/kartor/A 35318-2024 karta.png", "A 35318-2024")</f>
        <v/>
      </c>
      <c r="Y91">
        <f>HYPERLINK("https://klasma.github.io/Logging_0480/kartor_geotiff/A 35318-2024 georefererad karta.tif", "A 35318-2024")</f>
        <v/>
      </c>
      <c r="AA91">
        <f>HYPERLINK("https://klasma.github.io/Logging_0480/klagomål/A 35318-2024 FSC-klagomål.docx", "A 35318-2024")</f>
        <v/>
      </c>
      <c r="AB91">
        <f>HYPERLINK("https://klasma.github.io/Logging_0480/klagomålsmail/A 35318-2024 FSC-klagomål mail.docx", "A 35318-2024")</f>
        <v/>
      </c>
      <c r="AC91">
        <f>HYPERLINK("https://klasma.github.io/Logging_0480/tillsyn/A 35318-2024 tillsynsbegäran.docx", "A 35318-2024")</f>
        <v/>
      </c>
      <c r="AD91">
        <f>HYPERLINK("https://klasma.github.io/Logging_0480/tillsynsmail/A 35318-2024 tillsynsbegäran mail.docx", "A 35318-2024")</f>
        <v/>
      </c>
    </row>
    <row r="92" ht="15" customHeight="1">
      <c r="A92" t="inlineStr">
        <is>
          <t>A 59905-2025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45993</v>
      </c>
      <c r="E92" s="1" t="n">
        <v>46307</v>
      </c>
      <c r="F92" t="inlineStr">
        <is>
          <t>SÖDERMANLANDS LÄN</t>
        </is>
      </c>
      <c r="G92" t="inlineStr">
        <is>
          <t>NYKÖPING</t>
        </is>
      </c>
      <c r="H92" t="inlineStr">
        <is>
          <t>Holmen skog AB</t>
        </is>
      </c>
      <c r="I92" t="n">
        <v>11.7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0</v>
      </c>
      <c r="V92" s="2" t="inlineStr">
        <is>
          <t>Kattfotslav</t>
        </is>
      </c>
      <c r="W92">
        <f>HYPERLINK("https://klasma.github.io/Logging_0480/artfynd/A 59905-2025 artfynd.xlsx", "A 59905-2025")</f>
        <v/>
      </c>
      <c r="X92">
        <f>HYPERLINK("https://klasma.github.io/Logging_0480/kartor/A 59905-2025 karta.png", "A 59905-2025")</f>
        <v/>
      </c>
      <c r="Y92">
        <f>HYPERLINK("https://klasma.github.io/Logging_0480/kartor_geotiff/A 59905-2025 georefererad karta.tif", "A 59905-2025")</f>
        <v/>
      </c>
      <c r="AA92">
        <f>HYPERLINK("https://klasma.github.io/Logging_0480/klagomål/A 59905-2025 FSC-klagomål.docx", "A 59905-2025")</f>
        <v/>
      </c>
      <c r="AB92">
        <f>HYPERLINK("https://klasma.github.io/Logging_0480/klagomålsmail/A 59905-2025 FSC-klagomål mail.docx", "A 59905-2025")</f>
        <v/>
      </c>
      <c r="AC92">
        <f>HYPERLINK("https://klasma.github.io/Logging_0480/tillsyn/A 59905-2025 tillsynsbegäran.docx", "A 59905-2025")</f>
        <v/>
      </c>
      <c r="AD92">
        <f>HYPERLINK("https://klasma.github.io/Logging_0480/tillsynsmail/A 59905-2025 tillsynsbegäran mail.docx", "A 59905-2025")</f>
        <v/>
      </c>
    </row>
    <row r="93" ht="15" customHeight="1">
      <c r="A93" t="inlineStr">
        <is>
          <t>A 63423-2025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46013</v>
      </c>
      <c r="E93" s="1" t="n">
        <v>46307</v>
      </c>
      <c r="F93" t="inlineStr">
        <is>
          <t>SÖDERMANLANDS LÄN</t>
        </is>
      </c>
      <c r="G93" t="inlineStr">
        <is>
          <t>NYKÖPING</t>
        </is>
      </c>
      <c r="I93" t="n">
        <v>7.4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s="2" t="inlineStr">
        <is>
          <t>Blåsippa</t>
        </is>
      </c>
      <c r="W93">
        <f>HYPERLINK("https://klasma.github.io/Logging_0480/artfynd/A 63423-2025 artfynd.xlsx", "A 63423-2025")</f>
        <v/>
      </c>
      <c r="X93">
        <f>HYPERLINK("https://klasma.github.io/Logging_0480/kartor/A 63423-2025 karta.png", "A 63423-2025")</f>
        <v/>
      </c>
      <c r="Y93">
        <f>HYPERLINK("https://klasma.github.io/Logging_0480/kartor_geotiff/A 63423-2025 georefererad karta.tif", "A 63423-2025")</f>
        <v/>
      </c>
      <c r="AA93">
        <f>HYPERLINK("https://klasma.github.io/Logging_0480/klagomål/A 63423-2025 FSC-klagomål.docx", "A 63423-2025")</f>
        <v/>
      </c>
      <c r="AB93">
        <f>HYPERLINK("https://klasma.github.io/Logging_0480/klagomålsmail/A 63423-2025 FSC-klagomål mail.docx", "A 63423-2025")</f>
        <v/>
      </c>
      <c r="AC93">
        <f>HYPERLINK("https://klasma.github.io/Logging_0480/tillsyn/A 63423-2025 tillsynsbegäran.docx", "A 63423-2025")</f>
        <v/>
      </c>
      <c r="AD93">
        <f>HYPERLINK("https://klasma.github.io/Logging_0480/tillsynsmail/A 63423-2025 tillsynsbegäran mail.docx", "A 63423-2025")</f>
        <v/>
      </c>
    </row>
    <row r="94" ht="15" customHeight="1">
      <c r="A94" t="inlineStr">
        <is>
          <t>A 4903-2022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44593</v>
      </c>
      <c r="E94" s="1" t="n">
        <v>46307</v>
      </c>
      <c r="F94" t="inlineStr">
        <is>
          <t>SÖDERMANLANDS LÄN</t>
        </is>
      </c>
      <c r="G94" t="inlineStr">
        <is>
          <t>NYKÖPING</t>
        </is>
      </c>
      <c r="I94" t="n">
        <v>2.7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s="2" t="inlineStr">
        <is>
          <t>Knärot</t>
        </is>
      </c>
      <c r="W94">
        <f>HYPERLINK("https://klasma.github.io/Logging_0480/artfynd/A 4903-2022 artfynd.xlsx", "A 4903-2022")</f>
        <v/>
      </c>
      <c r="X94">
        <f>HYPERLINK("https://klasma.github.io/Logging_0480/kartor/A 4903-2022 karta.png", "A 4903-2022")</f>
        <v/>
      </c>
      <c r="Y94">
        <f>HYPERLINK("https://klasma.github.io/Logging_0480/kartor_geotiff/A 4903-2022 georefererad karta.tif", "A 4903-2022")</f>
        <v/>
      </c>
      <c r="Z94">
        <f>HYPERLINK("https://klasma.github.io/Logging_0480/knärot/A 4903-2022 karta knärot.png", "A 4903-2022")</f>
        <v/>
      </c>
      <c r="AA94">
        <f>HYPERLINK("https://klasma.github.io/Logging_0480/klagomål/A 4903-2022 FSC-klagomål.docx", "A 4903-2022")</f>
        <v/>
      </c>
      <c r="AB94">
        <f>HYPERLINK("https://klasma.github.io/Logging_0480/klagomålsmail/A 4903-2022 FSC-klagomål mail.docx", "A 4903-2022")</f>
        <v/>
      </c>
      <c r="AC94">
        <f>HYPERLINK("https://klasma.github.io/Logging_0480/tillsyn/A 4903-2022 tillsynsbegäran.docx", "A 4903-2022")</f>
        <v/>
      </c>
      <c r="AD94">
        <f>HYPERLINK("https://klasma.github.io/Logging_0480/tillsynsmail/A 4903-2022 tillsynsbegäran mail.docx", "A 4903-2022")</f>
        <v/>
      </c>
    </row>
    <row r="95" ht="15" customHeight="1">
      <c r="A95" t="inlineStr">
        <is>
          <t>A 65889-2021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44517</v>
      </c>
      <c r="E95" s="1" t="n">
        <v>46307</v>
      </c>
      <c r="F95" t="inlineStr">
        <is>
          <t>SÖDERMANLANDS LÄN</t>
        </is>
      </c>
      <c r="G95" t="inlineStr">
        <is>
          <t>NYKÖPING</t>
        </is>
      </c>
      <c r="I95" t="n">
        <v>4.8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  <c r="V95" s="2" t="inlineStr">
        <is>
          <t>Backstarr</t>
        </is>
      </c>
      <c r="W95">
        <f>HYPERLINK("https://klasma.github.io/Logging_0480/artfynd/A 65889-2021 artfynd.xlsx", "A 65889-2021")</f>
        <v/>
      </c>
      <c r="X95">
        <f>HYPERLINK("https://klasma.github.io/Logging_0480/kartor/A 65889-2021 karta.png", "A 65889-2021")</f>
        <v/>
      </c>
      <c r="Y95">
        <f>HYPERLINK("https://klasma.github.io/Logging_0480/kartor_geotiff/A 65889-2021 georefererad karta.tif", "A 65889-2021")</f>
        <v/>
      </c>
      <c r="AA95">
        <f>HYPERLINK("https://klasma.github.io/Logging_0480/klagomål/A 65889-2021 FSC-klagomål.docx", "A 65889-2021")</f>
        <v/>
      </c>
      <c r="AB95">
        <f>HYPERLINK("https://klasma.github.io/Logging_0480/klagomålsmail/A 65889-2021 FSC-klagomål mail.docx", "A 65889-2021")</f>
        <v/>
      </c>
      <c r="AC95">
        <f>HYPERLINK("https://klasma.github.io/Logging_0480/tillsyn/A 65889-2021 tillsynsbegäran.docx", "A 65889-2021")</f>
        <v/>
      </c>
      <c r="AD95">
        <f>HYPERLINK("https://klasma.github.io/Logging_0480/tillsynsmail/A 65889-2021 tillsynsbegäran mail.docx", "A 65889-2021")</f>
        <v/>
      </c>
    </row>
    <row r="96" ht="15" customHeight="1">
      <c r="A96" t="inlineStr">
        <is>
          <t>A 13724-2024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45390</v>
      </c>
      <c r="E96" s="1" t="n">
        <v>46307</v>
      </c>
      <c r="F96" t="inlineStr">
        <is>
          <t>SÖDERMANLANDS LÄN</t>
        </is>
      </c>
      <c r="G96" t="inlineStr">
        <is>
          <t>NYKÖPING</t>
        </is>
      </c>
      <c r="I96" t="n">
        <v>0.9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s="2" t="inlineStr">
        <is>
          <t>Dropptaggsvamp</t>
        </is>
      </c>
      <c r="W96">
        <f>HYPERLINK("https://klasma.github.io/Logging_0480/artfynd/A 13724-2024 artfynd.xlsx", "A 13724-2024")</f>
        <v/>
      </c>
      <c r="X96">
        <f>HYPERLINK("https://klasma.github.io/Logging_0480/kartor/A 13724-2024 karta.png", "A 13724-2024")</f>
        <v/>
      </c>
      <c r="Y96">
        <f>HYPERLINK("https://klasma.github.io/Logging_0480/kartor_geotiff/A 13724-2024 georefererad karta.tif", "A 13724-2024")</f>
        <v/>
      </c>
      <c r="AA96">
        <f>HYPERLINK("https://klasma.github.io/Logging_0480/klagomål/A 13724-2024 FSC-klagomål.docx", "A 13724-2024")</f>
        <v/>
      </c>
      <c r="AB96">
        <f>HYPERLINK("https://klasma.github.io/Logging_0480/klagomålsmail/A 13724-2024 FSC-klagomål mail.docx", "A 13724-2024")</f>
        <v/>
      </c>
      <c r="AC96">
        <f>HYPERLINK("https://klasma.github.io/Logging_0480/tillsyn/A 13724-2024 tillsynsbegäran.docx", "A 13724-2024")</f>
        <v/>
      </c>
      <c r="AD96">
        <f>HYPERLINK("https://klasma.github.io/Logging_0480/tillsynsmail/A 13724-2024 tillsynsbegäran mail.docx", "A 13724-2024")</f>
        <v/>
      </c>
    </row>
    <row r="97" ht="15" customHeight="1">
      <c r="A97" t="inlineStr">
        <is>
          <t>A 2829-2025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45677</v>
      </c>
      <c r="E97" s="1" t="n">
        <v>46307</v>
      </c>
      <c r="F97" t="inlineStr">
        <is>
          <t>SÖDERMANLANDS LÄN</t>
        </is>
      </c>
      <c r="G97" t="inlineStr">
        <is>
          <t>NYKÖPING</t>
        </is>
      </c>
      <c r="H97" t="inlineStr">
        <is>
          <t>Allmännings- och besparingsskogar</t>
        </is>
      </c>
      <c r="I97" t="n">
        <v>12.1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s="2" t="inlineStr">
        <is>
          <t>Nattskärra</t>
        </is>
      </c>
      <c r="W97">
        <f>HYPERLINK("https://klasma.github.io/Logging_0480/artfynd/A 2829-2025 artfynd.xlsx", "A 2829-2025")</f>
        <v/>
      </c>
      <c r="X97">
        <f>HYPERLINK("https://klasma.github.io/Logging_0480/kartor/A 2829-2025 karta.png", "A 2829-2025")</f>
        <v/>
      </c>
      <c r="Y97">
        <f>HYPERLINK("https://klasma.github.io/Logging_0480/kartor_geotiff/A 2829-2025 georefererad karta.tif", "A 2829-2025")</f>
        <v/>
      </c>
      <c r="AA97">
        <f>HYPERLINK("https://klasma.github.io/Logging_0480/klagomål/A 2829-2025 FSC-klagomål.docx", "A 2829-2025")</f>
        <v/>
      </c>
      <c r="AB97">
        <f>HYPERLINK("https://klasma.github.io/Logging_0480/klagomålsmail/A 2829-2025 FSC-klagomål mail.docx", "A 2829-2025")</f>
        <v/>
      </c>
      <c r="AC97">
        <f>HYPERLINK("https://klasma.github.io/Logging_0480/tillsyn/A 2829-2025 tillsynsbegäran.docx", "A 2829-2025")</f>
        <v/>
      </c>
      <c r="AD97">
        <f>HYPERLINK("https://klasma.github.io/Logging_0480/tillsynsmail/A 2829-2025 tillsynsbegäran mail.docx", "A 2829-2025")</f>
        <v/>
      </c>
      <c r="AE97">
        <f>HYPERLINK("https://klasma.github.io/Logging_0480/fåglar/A 2829-2025 prioriterade fågelarter.docx", "A 2829-2025")</f>
        <v/>
      </c>
    </row>
    <row r="98" ht="15" customHeight="1">
      <c r="A98" t="inlineStr">
        <is>
          <t>A 4305-2026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46045</v>
      </c>
      <c r="E98" s="1" t="n">
        <v>46307</v>
      </c>
      <c r="F98" t="inlineStr">
        <is>
          <t>SÖDERMANLANDS LÄN</t>
        </is>
      </c>
      <c r="G98" t="inlineStr">
        <is>
          <t>NYKÖPING</t>
        </is>
      </c>
      <c r="I98" t="n">
        <v>3.8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s="2" t="inlineStr">
        <is>
          <t>Tallticka</t>
        </is>
      </c>
      <c r="W98">
        <f>HYPERLINK("https://klasma.github.io/Logging_0480/artfynd/A 4305-2026 artfynd.xlsx", "A 4305-2026")</f>
        <v/>
      </c>
      <c r="X98">
        <f>HYPERLINK("https://klasma.github.io/Logging_0480/kartor/A 4305-2026 karta.png", "A 4305-2026")</f>
        <v/>
      </c>
      <c r="Y98">
        <f>HYPERLINK("https://klasma.github.io/Logging_0480/kartor_geotiff/A 4305-2026 georefererad karta.tif", "A 4305-2026")</f>
        <v/>
      </c>
      <c r="AA98">
        <f>HYPERLINK("https://klasma.github.io/Logging_0480/klagomål/A 4305-2026 FSC-klagomål.docx", "A 4305-2026")</f>
        <v/>
      </c>
      <c r="AB98">
        <f>HYPERLINK("https://klasma.github.io/Logging_0480/klagomålsmail/A 4305-2026 FSC-klagomål mail.docx", "A 4305-2026")</f>
        <v/>
      </c>
      <c r="AC98">
        <f>HYPERLINK("https://klasma.github.io/Logging_0480/tillsyn/A 4305-2026 tillsynsbegäran.docx", "A 4305-2026")</f>
        <v/>
      </c>
      <c r="AD98">
        <f>HYPERLINK("https://klasma.github.io/Logging_0480/tillsynsmail/A 4305-2026 tillsynsbegäran mail.docx", "A 4305-2026")</f>
        <v/>
      </c>
    </row>
    <row r="99" ht="15" customHeight="1">
      <c r="A99" t="inlineStr">
        <is>
          <t>A 21129-2024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45440</v>
      </c>
      <c r="E99" s="1" t="n">
        <v>46307</v>
      </c>
      <c r="F99" t="inlineStr">
        <is>
          <t>SÖDERMANLANDS LÄN</t>
        </is>
      </c>
      <c r="G99" t="inlineStr">
        <is>
          <t>NYKÖPING</t>
        </is>
      </c>
      <c r="H99" t="inlineStr">
        <is>
          <t>Kommuner</t>
        </is>
      </c>
      <c r="I99" t="n">
        <v>2.8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s="2" t="inlineStr">
        <is>
          <t>Liljekonvalj</t>
        </is>
      </c>
      <c r="W99">
        <f>HYPERLINK("https://klasma.github.io/Logging_0480/artfynd/A 21129-2024 artfynd.xlsx", "A 21129-2024")</f>
        <v/>
      </c>
      <c r="X99">
        <f>HYPERLINK("https://klasma.github.io/Logging_0480/kartor/A 21129-2024 karta.png", "A 21129-2024")</f>
        <v/>
      </c>
      <c r="Y99">
        <f>HYPERLINK("https://klasma.github.io/Logging_0480/kartor_geotiff/A 21129-2024 georefererad karta.tif", "A 21129-2024")</f>
        <v/>
      </c>
      <c r="AA99">
        <f>HYPERLINK("https://klasma.github.io/Logging_0480/klagomål/A 21129-2024 FSC-klagomål.docx", "A 21129-2024")</f>
        <v/>
      </c>
      <c r="AB99">
        <f>HYPERLINK("https://klasma.github.io/Logging_0480/klagomålsmail/A 21129-2024 FSC-klagomål mail.docx", "A 21129-2024")</f>
        <v/>
      </c>
      <c r="AC99">
        <f>HYPERLINK("https://klasma.github.io/Logging_0480/tillsyn/A 21129-2024 tillsynsbegäran.docx", "A 21129-2024")</f>
        <v/>
      </c>
      <c r="AD99">
        <f>HYPERLINK("https://klasma.github.io/Logging_0480/tillsynsmail/A 21129-2024 tillsynsbegäran mail.docx", "A 21129-2024")</f>
        <v/>
      </c>
    </row>
    <row r="100" ht="15" customHeight="1">
      <c r="A100" t="inlineStr">
        <is>
          <t>A 21021-2026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46145</v>
      </c>
      <c r="E100" s="1" t="n">
        <v>46307</v>
      </c>
      <c r="F100" t="inlineStr">
        <is>
          <t>SÖDERMANLANDS LÄN</t>
        </is>
      </c>
      <c r="G100" t="inlineStr">
        <is>
          <t>NYKÖPING</t>
        </is>
      </c>
      <c r="I100" t="n">
        <v>3.4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s="2" t="inlineStr">
        <is>
          <t>Fläcknycklar</t>
        </is>
      </c>
      <c r="W100">
        <f>HYPERLINK("https://klasma.github.io/Logging_0480/artfynd/A 21021-2026 artfynd.xlsx", "A 21021-2026")</f>
        <v/>
      </c>
      <c r="X100">
        <f>HYPERLINK("https://klasma.github.io/Logging_0480/kartor/A 21021-2026 karta.png", "A 21021-2026")</f>
        <v/>
      </c>
      <c r="Y100">
        <f>HYPERLINK("https://klasma.github.io/Logging_0480/kartor_geotiff/A 21021-2026 georefererad karta.tif", "A 21021-2026")</f>
        <v/>
      </c>
      <c r="AA100">
        <f>HYPERLINK("https://klasma.github.io/Logging_0480/klagomål/A 21021-2026 FSC-klagomål.docx", "A 21021-2026")</f>
        <v/>
      </c>
      <c r="AB100">
        <f>HYPERLINK("https://klasma.github.io/Logging_0480/klagomålsmail/A 21021-2026 FSC-klagomål mail.docx", "A 21021-2026")</f>
        <v/>
      </c>
      <c r="AC100">
        <f>HYPERLINK("https://klasma.github.io/Logging_0480/tillsyn/A 21021-2026 tillsynsbegäran.docx", "A 21021-2026")</f>
        <v/>
      </c>
      <c r="AD100">
        <f>HYPERLINK("https://klasma.github.io/Logging_0480/tillsynsmail/A 21021-2026 tillsynsbegäran mail.docx", "A 21021-2026")</f>
        <v/>
      </c>
    </row>
    <row r="101" ht="15" customHeight="1">
      <c r="A101" t="inlineStr">
        <is>
          <t>A 10886-2026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46078</v>
      </c>
      <c r="E101" s="1" t="n">
        <v>46307</v>
      </c>
      <c r="F101" t="inlineStr">
        <is>
          <t>SÖDERMANLANDS LÄN</t>
        </is>
      </c>
      <c r="G101" t="inlineStr">
        <is>
          <t>NYKÖPING</t>
        </is>
      </c>
      <c r="I101" t="n">
        <v>2.5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s="2" t="inlineStr">
        <is>
          <t>Tibast</t>
        </is>
      </c>
      <c r="W101">
        <f>HYPERLINK("https://klasma.github.io/Logging_0480/artfynd/A 10886-2026 artfynd.xlsx", "A 10886-2026")</f>
        <v/>
      </c>
      <c r="X101">
        <f>HYPERLINK("https://klasma.github.io/Logging_0480/kartor/A 10886-2026 karta.png", "A 10886-2026")</f>
        <v/>
      </c>
      <c r="Y101">
        <f>HYPERLINK("https://klasma.github.io/Logging_0480/kartor_geotiff/A 10886-2026 georefererad karta.tif", "A 10886-2026")</f>
        <v/>
      </c>
      <c r="AA101">
        <f>HYPERLINK("https://klasma.github.io/Logging_0480/klagomål/A 10886-2026 FSC-klagomål.docx", "A 10886-2026")</f>
        <v/>
      </c>
      <c r="AB101">
        <f>HYPERLINK("https://klasma.github.io/Logging_0480/klagomålsmail/A 10886-2026 FSC-klagomål mail.docx", "A 10886-2026")</f>
        <v/>
      </c>
      <c r="AC101">
        <f>HYPERLINK("https://klasma.github.io/Logging_0480/tillsyn/A 10886-2026 tillsynsbegäran.docx", "A 10886-2026")</f>
        <v/>
      </c>
      <c r="AD101">
        <f>HYPERLINK("https://klasma.github.io/Logging_0480/tillsynsmail/A 10886-2026 tillsynsbegäran mail.docx", "A 10886-2026")</f>
        <v/>
      </c>
    </row>
    <row r="102" ht="15" customHeight="1">
      <c r="A102" t="inlineStr">
        <is>
          <t>A 22495-2026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46155</v>
      </c>
      <c r="E102" s="1" t="n">
        <v>46307</v>
      </c>
      <c r="F102" t="inlineStr">
        <is>
          <t>SÖDERMANLANDS LÄN</t>
        </is>
      </c>
      <c r="G102" t="inlineStr">
        <is>
          <t>NYKÖPING</t>
        </is>
      </c>
      <c r="H102" t="inlineStr">
        <is>
          <t>Holmen skog AB</t>
        </is>
      </c>
      <c r="I102" t="n">
        <v>2.6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s="2" t="inlineStr">
        <is>
          <t>Vedticka</t>
        </is>
      </c>
      <c r="W102">
        <f>HYPERLINK("https://klasma.github.io/Logging_0480/artfynd/A 22495-2026 artfynd.xlsx", "A 22495-2026")</f>
        <v/>
      </c>
      <c r="X102">
        <f>HYPERLINK("https://klasma.github.io/Logging_0480/kartor/A 22495-2026 karta.png", "A 22495-2026")</f>
        <v/>
      </c>
      <c r="Y102">
        <f>HYPERLINK("https://klasma.github.io/Logging_0480/kartor_geotiff/A 22495-2026 georefererad karta.tif", "A 22495-2026")</f>
        <v/>
      </c>
      <c r="AA102">
        <f>HYPERLINK("https://klasma.github.io/Logging_0480/klagomål/A 22495-2026 FSC-klagomål.docx", "A 22495-2026")</f>
        <v/>
      </c>
      <c r="AB102">
        <f>HYPERLINK("https://klasma.github.io/Logging_0480/klagomålsmail/A 22495-2026 FSC-klagomål mail.docx", "A 22495-2026")</f>
        <v/>
      </c>
      <c r="AC102">
        <f>HYPERLINK("https://klasma.github.io/Logging_0480/tillsyn/A 22495-2026 tillsynsbegäran.docx", "A 22495-2026")</f>
        <v/>
      </c>
      <c r="AD102">
        <f>HYPERLINK("https://klasma.github.io/Logging_0480/tillsynsmail/A 22495-2026 tillsynsbegäran mail.docx", "A 22495-2026")</f>
        <v/>
      </c>
    </row>
    <row r="103" ht="15" customHeight="1">
      <c r="A103" t="inlineStr">
        <is>
          <t>A 31182-2026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46217</v>
      </c>
      <c r="E103" s="1" t="n">
        <v>46307</v>
      </c>
      <c r="F103" t="inlineStr">
        <is>
          <t>SÖDERMANLANDS LÄN</t>
        </is>
      </c>
      <c r="G103" t="inlineStr">
        <is>
          <t>NYKÖPING</t>
        </is>
      </c>
      <c r="I103" t="n">
        <v>5.1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s="2" t="inlineStr">
        <is>
          <t>Grönpyrola</t>
        </is>
      </c>
      <c r="W103">
        <f>HYPERLINK("https://klasma.github.io/Logging_0480/artfynd/A 31182-2026 artfynd.xlsx", "A 31182-2026")</f>
        <v/>
      </c>
      <c r="X103">
        <f>HYPERLINK("https://klasma.github.io/Logging_0480/kartor/A 31182-2026 karta.png", "A 31182-2026")</f>
        <v/>
      </c>
      <c r="Y103">
        <f>HYPERLINK("https://klasma.github.io/Logging_0480/kartor_geotiff/A 31182-2026 georefererad karta.tif", "A 31182-2026")</f>
        <v/>
      </c>
      <c r="AA103">
        <f>HYPERLINK("https://klasma.github.io/Logging_0480/klagomål/A 31182-2026 FSC-klagomål.docx", "A 31182-2026")</f>
        <v/>
      </c>
      <c r="AB103">
        <f>HYPERLINK("https://klasma.github.io/Logging_0480/klagomålsmail/A 31182-2026 FSC-klagomål mail.docx", "A 31182-2026")</f>
        <v/>
      </c>
      <c r="AC103">
        <f>HYPERLINK("https://klasma.github.io/Logging_0480/tillsyn/A 31182-2026 tillsynsbegäran.docx", "A 31182-2026")</f>
        <v/>
      </c>
      <c r="AD103">
        <f>HYPERLINK("https://klasma.github.io/Logging_0480/tillsynsmail/A 31182-2026 tillsynsbegäran mail.docx", "A 31182-2026")</f>
        <v/>
      </c>
    </row>
    <row r="104" ht="15" customHeight="1">
      <c r="A104" t="inlineStr">
        <is>
          <t>A 31998-2026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46232</v>
      </c>
      <c r="E104" s="1" t="n">
        <v>46307</v>
      </c>
      <c r="F104" t="inlineStr">
        <is>
          <t>SÖDERMANLANDS LÄN</t>
        </is>
      </c>
      <c r="G104" t="inlineStr">
        <is>
          <t>NYKÖPING</t>
        </is>
      </c>
      <c r="H104" t="inlineStr">
        <is>
          <t>Sveaskog</t>
        </is>
      </c>
      <c r="I104" t="n">
        <v>12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s="2" t="inlineStr">
        <is>
          <t>Fläcknycklar</t>
        </is>
      </c>
      <c r="W104">
        <f>HYPERLINK("https://klasma.github.io/Logging_0480/artfynd/A 31998-2026 artfynd.xlsx", "A 31998-2026")</f>
        <v/>
      </c>
      <c r="X104">
        <f>HYPERLINK("https://klasma.github.io/Logging_0480/kartor/A 31998-2026 karta.png", "A 31998-2026")</f>
        <v/>
      </c>
      <c r="Y104">
        <f>HYPERLINK("https://klasma.github.io/Logging_0480/kartor_geotiff/A 31998-2026 georefererad karta.tif", "A 31998-2026")</f>
        <v/>
      </c>
      <c r="AA104">
        <f>HYPERLINK("https://klasma.github.io/Logging_0480/klagomål/A 31998-2026 FSC-klagomål.docx", "A 31998-2026")</f>
        <v/>
      </c>
      <c r="AB104">
        <f>HYPERLINK("https://klasma.github.io/Logging_0480/klagomålsmail/A 31998-2026 FSC-klagomål mail.docx", "A 31998-2026")</f>
        <v/>
      </c>
      <c r="AC104">
        <f>HYPERLINK("https://klasma.github.io/Logging_0480/tillsyn/A 31998-2026 tillsynsbegäran.docx", "A 31998-2026")</f>
        <v/>
      </c>
      <c r="AD104">
        <f>HYPERLINK("https://klasma.github.io/Logging_0480/tillsynsmail/A 31998-2026 tillsynsbegäran mail.docx", "A 31998-2026")</f>
        <v/>
      </c>
    </row>
    <row r="105" ht="15" customHeight="1">
      <c r="A105" t="inlineStr">
        <is>
          <t>A 32627-2026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46240</v>
      </c>
      <c r="E105" s="1" t="n">
        <v>46307</v>
      </c>
      <c r="F105" t="inlineStr">
        <is>
          <t>SÖDERMANLANDS LÄN</t>
        </is>
      </c>
      <c r="G105" t="inlineStr">
        <is>
          <t>NYKÖPING</t>
        </is>
      </c>
      <c r="H105" t="inlineStr">
        <is>
          <t>Holmen skog AB</t>
        </is>
      </c>
      <c r="I105" t="n">
        <v>2.4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0</v>
      </c>
      <c r="V105" s="2" t="inlineStr">
        <is>
          <t>Motaggsvamp</t>
        </is>
      </c>
      <c r="W105">
        <f>HYPERLINK("https://klasma.github.io/Logging_0480/artfynd/A 32627-2026 artfynd.xlsx", "A 32627-2026")</f>
        <v/>
      </c>
      <c r="X105">
        <f>HYPERLINK("https://klasma.github.io/Logging_0480/kartor/A 32627-2026 karta.png", "A 32627-2026")</f>
        <v/>
      </c>
      <c r="Y105">
        <f>HYPERLINK("https://klasma.github.io/Logging_0480/kartor_geotiff/A 32627-2026 georefererad karta.tif", "A 32627-2026")</f>
        <v/>
      </c>
      <c r="AA105">
        <f>HYPERLINK("https://klasma.github.io/Logging_0480/klagomål/A 32627-2026 FSC-klagomål.docx", "A 32627-2026")</f>
        <v/>
      </c>
      <c r="AB105">
        <f>HYPERLINK("https://klasma.github.io/Logging_0480/klagomålsmail/A 32627-2026 FSC-klagomål mail.docx", "A 32627-2026")</f>
        <v/>
      </c>
      <c r="AC105">
        <f>HYPERLINK("https://klasma.github.io/Logging_0480/tillsyn/A 32627-2026 tillsynsbegäran.docx", "A 32627-2026")</f>
        <v/>
      </c>
      <c r="AD105">
        <f>HYPERLINK("https://klasma.github.io/Logging_0480/tillsynsmail/A 32627-2026 tillsynsbegäran mail.docx", "A 32627-2026")</f>
        <v/>
      </c>
    </row>
    <row r="106" ht="15" customHeight="1">
      <c r="A106" t="inlineStr">
        <is>
          <t>A 40494-2026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46295</v>
      </c>
      <c r="E106" s="1" t="n">
        <v>46307</v>
      </c>
      <c r="F106" t="inlineStr">
        <is>
          <t>SÖDERMANLANDS LÄN</t>
        </is>
      </c>
      <c r="G106" t="inlineStr">
        <is>
          <t>NYKÖPING</t>
        </is>
      </c>
      <c r="I106" t="n">
        <v>5.1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0</v>
      </c>
      <c r="V106" s="2" t="inlineStr">
        <is>
          <t>Svart skogssnigel</t>
        </is>
      </c>
      <c r="W106">
        <f>HYPERLINK("https://klasma.github.io/Logging_0480/artfynd/A 40494-2026 artfynd.xlsx", "A 40494-2026")</f>
        <v/>
      </c>
      <c r="X106">
        <f>HYPERLINK("https://klasma.github.io/Logging_0480/kartor/A 40494-2026 karta.png", "A 40494-2026")</f>
        <v/>
      </c>
      <c r="Y106">
        <f>HYPERLINK("https://klasma.github.io/Logging_0480/kartor_geotiff/A 40494-2026 georefererad karta.tif", "A 40494-2026")</f>
        <v/>
      </c>
      <c r="AA106">
        <f>HYPERLINK("https://klasma.github.io/Logging_0480/klagomål/A 40494-2026 FSC-klagomål.docx", "A 40494-2026")</f>
        <v/>
      </c>
      <c r="AB106">
        <f>HYPERLINK("https://klasma.github.io/Logging_0480/klagomålsmail/A 40494-2026 FSC-klagomål mail.docx", "A 40494-2026")</f>
        <v/>
      </c>
      <c r="AC106">
        <f>HYPERLINK("https://klasma.github.io/Logging_0480/tillsyn/A 40494-2026 tillsynsbegäran.docx", "A 40494-2026")</f>
        <v/>
      </c>
      <c r="AD106">
        <f>HYPERLINK("https://klasma.github.io/Logging_0480/tillsynsmail/A 40494-2026 tillsynsbegäran mail.docx", "A 40494-2026")</f>
        <v/>
      </c>
    </row>
    <row r="107" ht="15" customHeight="1">
      <c r="A107" t="inlineStr">
        <is>
          <t>S 447-2021</t>
        </is>
      </c>
      <c r="B107" t="inlineStr">
        <is>
          <t>samrådsanmälan</t>
        </is>
      </c>
      <c r="C107" t="inlineStr">
        <is>
          <t>Åtgärd i nyckelbiotop</t>
        </is>
      </c>
      <c r="D107" s="1" t="n">
        <v>44260</v>
      </c>
      <c r="E107" s="1" t="n">
        <v>46307</v>
      </c>
      <c r="F107" t="inlineStr">
        <is>
          <t>SÖDERMANLANDS LÄN</t>
        </is>
      </c>
      <c r="G107" t="inlineStr">
        <is>
          <t>NYKÖPING</t>
        </is>
      </c>
      <c r="I107" t="n">
        <v>3.4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0</v>
      </c>
      <c r="V107" s="2" t="inlineStr">
        <is>
          <t>Lunglav</t>
        </is>
      </c>
      <c r="W107">
        <f>HYPERLINK("https://klasma.github.io/Logging_0480/artfynd/S 447-2021 artfynd.xlsx", "S 447-2021")</f>
        <v/>
      </c>
      <c r="X107">
        <f>HYPERLINK("https://klasma.github.io/Logging_0480/kartor/S 447-2021 karta.png", "S 447-2021")</f>
        <v/>
      </c>
      <c r="Y107">
        <f>HYPERLINK("https://klasma.github.io/Logging_0480/kartor_geotiff/S 447-2021 georefererad karta.tif", "S 447-2021")</f>
        <v/>
      </c>
      <c r="AA107">
        <f>HYPERLINK("https://klasma.github.io/Logging_0480/klagomål/S 447-2021 FSC-klagomål.docx", "S 447-2021")</f>
        <v/>
      </c>
      <c r="AB107">
        <f>HYPERLINK("https://klasma.github.io/Logging_0480/klagomålsmail/S 447-2021 FSC-klagomål mail.docx", "S 447-2021")</f>
        <v/>
      </c>
      <c r="AC107">
        <f>HYPERLINK("https://klasma.github.io/Logging_0480/tillsyn/S 447-2021 tillsynsbegäran.docx", "S 447-2021")</f>
        <v/>
      </c>
      <c r="AD107">
        <f>HYPERLINK("https://klasma.github.io/Logging_0480/tillsynsmail/S 447-2021 tillsynsbegäran mail.docx", "S 447-2021")</f>
        <v/>
      </c>
    </row>
    <row r="108" ht="15" customHeight="1">
      <c r="A108" t="inlineStr">
        <is>
          <t>S 2305-2026</t>
        </is>
      </c>
      <c r="B108" t="inlineStr">
        <is>
          <t>samrådsanmälan</t>
        </is>
      </c>
      <c r="C108" t="inlineStr">
        <is>
          <t>Annan skogsbruksåtgärd</t>
        </is>
      </c>
      <c r="D108" s="1" t="n">
        <v>46268</v>
      </c>
      <c r="E108" s="1" t="n">
        <v>46307</v>
      </c>
      <c r="F108" t="inlineStr">
        <is>
          <t>SÖDERMANLANDS LÄN</t>
        </is>
      </c>
      <c r="G108" t="inlineStr">
        <is>
          <t>NYKÖPING</t>
        </is>
      </c>
      <c r="I108" t="n">
        <v>2.1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s="2" t="inlineStr">
        <is>
          <t>Vanlig padda</t>
        </is>
      </c>
      <c r="W108">
        <f>HYPERLINK("https://klasma.github.io/Logging_0480/artfynd/S 2305-2026 artfynd.xlsx", "S 2305-2026")</f>
        <v/>
      </c>
      <c r="X108">
        <f>HYPERLINK("https://klasma.github.io/Logging_0480/kartor/S 2305-2026 karta.png", "S 2305-2026")</f>
        <v/>
      </c>
      <c r="Y108">
        <f>HYPERLINK("https://klasma.github.io/Logging_0480/kartor_geotiff/S 2305-2026 georefererad karta.tif", "S 2305-2026")</f>
        <v/>
      </c>
      <c r="AA108">
        <f>HYPERLINK("https://klasma.github.io/Logging_0480/klagomål/S 2305-2026 FSC-klagomål.docx", "S 2305-2026")</f>
        <v/>
      </c>
      <c r="AB108">
        <f>HYPERLINK("https://klasma.github.io/Logging_0480/klagomålsmail/S 2305-2026 FSC-klagomål mail.docx", "S 2305-2026")</f>
        <v/>
      </c>
      <c r="AC108">
        <f>HYPERLINK("https://klasma.github.io/Logging_0480/tillsyn/S 2305-2026 tillsynsbegäran.docx", "S 2305-2026")</f>
        <v/>
      </c>
      <c r="AD108">
        <f>HYPERLINK("https://klasma.github.io/Logging_0480/tillsynsmail/S 2305-2026 tillsynsbegäran mail.docx", "S 2305-2026")</f>
        <v/>
      </c>
    </row>
    <row r="109" ht="15" customHeight="1">
      <c r="A109" t="inlineStr">
        <is>
          <t>A 74404-2021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44560</v>
      </c>
      <c r="E109" s="1" t="n">
        <v>46307</v>
      </c>
      <c r="F109" t="inlineStr">
        <is>
          <t>SÖDERMANLANDS LÄN</t>
        </is>
      </c>
      <c r="G109" t="inlineStr">
        <is>
          <t>NYKÖPING</t>
        </is>
      </c>
      <c r="H109" t="inlineStr">
        <is>
          <t>Kyrkan</t>
        </is>
      </c>
      <c r="I109" t="n">
        <v>2.2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51569-2022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44870</v>
      </c>
      <c r="E110" s="1" t="n">
        <v>46307</v>
      </c>
      <c r="F110" t="inlineStr">
        <is>
          <t>SÖDERMANLANDS LÄN</t>
        </is>
      </c>
      <c r="G110" t="inlineStr">
        <is>
          <t>NYKÖPING</t>
        </is>
      </c>
      <c r="I110" t="n">
        <v>0.5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37908-2022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44811</v>
      </c>
      <c r="E111" s="1" t="n">
        <v>46307</v>
      </c>
      <c r="F111" t="inlineStr">
        <is>
          <t>SÖDERMANLANDS LÄN</t>
        </is>
      </c>
      <c r="G111" t="inlineStr">
        <is>
          <t>NYKÖPING</t>
        </is>
      </c>
      <c r="I111" t="n">
        <v>0.5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63017-2021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44505</v>
      </c>
      <c r="E112" s="1" t="n">
        <v>46307</v>
      </c>
      <c r="F112" t="inlineStr">
        <is>
          <t>SÖDERMANLANDS LÄN</t>
        </is>
      </c>
      <c r="G112" t="inlineStr">
        <is>
          <t>NYKÖPING</t>
        </is>
      </c>
      <c r="I112" t="n">
        <v>21.9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14828-2022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44656</v>
      </c>
      <c r="E113" s="1" t="n">
        <v>46307</v>
      </c>
      <c r="F113" t="inlineStr">
        <is>
          <t>SÖDERMANLANDS LÄN</t>
        </is>
      </c>
      <c r="G113" t="inlineStr">
        <is>
          <t>NYKÖPING</t>
        </is>
      </c>
      <c r="I113" t="n">
        <v>0.6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66852-2021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44522</v>
      </c>
      <c r="E114" s="1" t="n">
        <v>46307</v>
      </c>
      <c r="F114" t="inlineStr">
        <is>
          <t>SÖDERMANLANDS LÄN</t>
        </is>
      </c>
      <c r="G114" t="inlineStr">
        <is>
          <t>NYKÖPING</t>
        </is>
      </c>
      <c r="H114" t="inlineStr">
        <is>
          <t>Holmen skog AB</t>
        </is>
      </c>
      <c r="I114" t="n">
        <v>0.7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59776-2021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44494</v>
      </c>
      <c r="E115" s="1" t="n">
        <v>46307</v>
      </c>
      <c r="F115" t="inlineStr">
        <is>
          <t>SÖDERMANLANDS LÄN</t>
        </is>
      </c>
      <c r="G115" t="inlineStr">
        <is>
          <t>NYKÖPING</t>
        </is>
      </c>
      <c r="I115" t="n">
        <v>1.6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64162-2021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44510</v>
      </c>
      <c r="E116" s="1" t="n">
        <v>46307</v>
      </c>
      <c r="F116" t="inlineStr">
        <is>
          <t>SÖDERMANLANDS LÄN</t>
        </is>
      </c>
      <c r="G116" t="inlineStr">
        <is>
          <t>NYKÖPING</t>
        </is>
      </c>
      <c r="I116" t="n">
        <v>4.4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13542-2022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44648</v>
      </c>
      <c r="E117" s="1" t="n">
        <v>46307</v>
      </c>
      <c r="F117" t="inlineStr">
        <is>
          <t>SÖDERMANLANDS LÄN</t>
        </is>
      </c>
      <c r="G117" t="inlineStr">
        <is>
          <t>NYKÖPING</t>
        </is>
      </c>
      <c r="I117" t="n">
        <v>3.5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31538-2022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44775</v>
      </c>
      <c r="E118" s="1" t="n">
        <v>46307</v>
      </c>
      <c r="F118" t="inlineStr">
        <is>
          <t>SÖDERMANLANDS LÄN</t>
        </is>
      </c>
      <c r="G118" t="inlineStr">
        <is>
          <t>NYKÖPING</t>
        </is>
      </c>
      <c r="I118" t="n">
        <v>1.3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30865-2022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44767</v>
      </c>
      <c r="E119" s="1" t="n">
        <v>46307</v>
      </c>
      <c r="F119" t="inlineStr">
        <is>
          <t>SÖDERMANLANDS LÄN</t>
        </is>
      </c>
      <c r="G119" t="inlineStr">
        <is>
          <t>NYKÖPING</t>
        </is>
      </c>
      <c r="H119" t="inlineStr">
        <is>
          <t>Holmen skog AB</t>
        </is>
      </c>
      <c r="I119" t="n">
        <v>1.5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31398-2022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44774</v>
      </c>
      <c r="E120" s="1" t="n">
        <v>46307</v>
      </c>
      <c r="F120" t="inlineStr">
        <is>
          <t>SÖDERMANLANDS LÄN</t>
        </is>
      </c>
      <c r="G120" t="inlineStr">
        <is>
          <t>NYKÖPING</t>
        </is>
      </c>
      <c r="I120" t="n">
        <v>0.7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25714-2022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44733</v>
      </c>
      <c r="E121" s="1" t="n">
        <v>46307</v>
      </c>
      <c r="F121" t="inlineStr">
        <is>
          <t>SÖDERMANLANDS LÄN</t>
        </is>
      </c>
      <c r="G121" t="inlineStr">
        <is>
          <t>NYKÖPING</t>
        </is>
      </c>
      <c r="I121" t="n">
        <v>0.9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29499-2022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44753</v>
      </c>
      <c r="E122" s="1" t="n">
        <v>46307</v>
      </c>
      <c r="F122" t="inlineStr">
        <is>
          <t>SÖDERMANLANDS LÄN</t>
        </is>
      </c>
      <c r="G122" t="inlineStr">
        <is>
          <t>NYKÖPING</t>
        </is>
      </c>
      <c r="H122" t="inlineStr">
        <is>
          <t>Kyrkan</t>
        </is>
      </c>
      <c r="I122" t="n">
        <v>1.7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52084-2022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44873</v>
      </c>
      <c r="E123" s="1" t="n">
        <v>46307</v>
      </c>
      <c r="F123" t="inlineStr">
        <is>
          <t>SÖDERMANLANDS LÄN</t>
        </is>
      </c>
      <c r="G123" t="inlineStr">
        <is>
          <t>NYKÖPING</t>
        </is>
      </c>
      <c r="I123" t="n">
        <v>14.6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14350-2022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44652</v>
      </c>
      <c r="E124" s="1" t="n">
        <v>46307</v>
      </c>
      <c r="F124" t="inlineStr">
        <is>
          <t>SÖDERMANLANDS LÄN</t>
        </is>
      </c>
      <c r="G124" t="inlineStr">
        <is>
          <t>NYKÖPING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15404-2022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44659</v>
      </c>
      <c r="E125" s="1" t="n">
        <v>46307</v>
      </c>
      <c r="F125" t="inlineStr">
        <is>
          <t>SÖDERMANLANDS LÄN</t>
        </is>
      </c>
      <c r="G125" t="inlineStr">
        <is>
          <t>NYKÖPING</t>
        </is>
      </c>
      <c r="I125" t="n">
        <v>2.5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38166-2022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44812</v>
      </c>
      <c r="E126" s="1" t="n">
        <v>46307</v>
      </c>
      <c r="F126" t="inlineStr">
        <is>
          <t>SÖDERMANLANDS LÄN</t>
        </is>
      </c>
      <c r="G126" t="inlineStr">
        <is>
          <t>NYKÖPING</t>
        </is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13559-2022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44648</v>
      </c>
      <c r="E127" s="1" t="n">
        <v>46307</v>
      </c>
      <c r="F127" t="inlineStr">
        <is>
          <t>SÖDERMANLANDS LÄN</t>
        </is>
      </c>
      <c r="G127" t="inlineStr">
        <is>
          <t>NYKÖPING</t>
        </is>
      </c>
      <c r="I127" t="n">
        <v>1.9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25493-2022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44732</v>
      </c>
      <c r="E128" s="1" t="n">
        <v>46307</v>
      </c>
      <c r="F128" t="inlineStr">
        <is>
          <t>SÖDERMANLANDS LÄN</t>
        </is>
      </c>
      <c r="G128" t="inlineStr">
        <is>
          <t>NYKÖPING</t>
        </is>
      </c>
      <c r="H128" t="inlineStr">
        <is>
          <t>Övriga Aktiebolag</t>
        </is>
      </c>
      <c r="I128" t="n">
        <v>8.300000000000001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2973-2022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44581</v>
      </c>
      <c r="E129" s="1" t="n">
        <v>46307</v>
      </c>
      <c r="F129" t="inlineStr">
        <is>
          <t>SÖDERMANLANDS LÄN</t>
        </is>
      </c>
      <c r="G129" t="inlineStr">
        <is>
          <t>NYKÖPING</t>
        </is>
      </c>
      <c r="I129" t="n">
        <v>5.5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33875-2022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44790</v>
      </c>
      <c r="E130" s="1" t="n">
        <v>46307</v>
      </c>
      <c r="F130" t="inlineStr">
        <is>
          <t>SÖDERMANLANDS LÄN</t>
        </is>
      </c>
      <c r="G130" t="inlineStr">
        <is>
          <t>NYKÖPING</t>
        </is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52090-2022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44873</v>
      </c>
      <c r="E131" s="1" t="n">
        <v>46307</v>
      </c>
      <c r="F131" t="inlineStr">
        <is>
          <t>SÖDERMANLANDS LÄN</t>
        </is>
      </c>
      <c r="G131" t="inlineStr">
        <is>
          <t>NYKÖPING</t>
        </is>
      </c>
      <c r="I131" t="n">
        <v>1.1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10357-2022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44623</v>
      </c>
      <c r="E132" s="1" t="n">
        <v>46307</v>
      </c>
      <c r="F132" t="inlineStr">
        <is>
          <t>SÖDERMANLANDS LÄN</t>
        </is>
      </c>
      <c r="G132" t="inlineStr">
        <is>
          <t>NYKÖPING</t>
        </is>
      </c>
      <c r="I132" t="n">
        <v>1.2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21364-2022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44705</v>
      </c>
      <c r="E133" s="1" t="n">
        <v>46307</v>
      </c>
      <c r="F133" t="inlineStr">
        <is>
          <t>SÖDERMANLANDS LÄN</t>
        </is>
      </c>
      <c r="G133" t="inlineStr">
        <is>
          <t>NYKÖPING</t>
        </is>
      </c>
      <c r="I133" t="n">
        <v>0.6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18824-2022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44690</v>
      </c>
      <c r="E134" s="1" t="n">
        <v>46307</v>
      </c>
      <c r="F134" t="inlineStr">
        <is>
          <t>SÖDERMANLANDS LÄN</t>
        </is>
      </c>
      <c r="G134" t="inlineStr">
        <is>
          <t>NYKÖPING</t>
        </is>
      </c>
      <c r="I134" t="n">
        <v>1.2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64157-2021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44510</v>
      </c>
      <c r="E135" s="1" t="n">
        <v>46307</v>
      </c>
      <c r="F135" t="inlineStr">
        <is>
          <t>SÖDERMANLANDS LÄN</t>
        </is>
      </c>
      <c r="G135" t="inlineStr">
        <is>
          <t>NYKÖPING</t>
        </is>
      </c>
      <c r="I135" t="n">
        <v>5.5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8783-2022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44614</v>
      </c>
      <c r="E136" s="1" t="n">
        <v>46307</v>
      </c>
      <c r="F136" t="inlineStr">
        <is>
          <t>SÖDERMANLANDS LÄN</t>
        </is>
      </c>
      <c r="G136" t="inlineStr">
        <is>
          <t>NYKÖPING</t>
        </is>
      </c>
      <c r="I136" t="n">
        <v>4.9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15391-2022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44659</v>
      </c>
      <c r="E137" s="1" t="n">
        <v>46307</v>
      </c>
      <c r="F137" t="inlineStr">
        <is>
          <t>SÖDERMANLANDS LÄN</t>
        </is>
      </c>
      <c r="G137" t="inlineStr">
        <is>
          <t>NYKÖPING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8532-2022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44613</v>
      </c>
      <c r="E138" s="1" t="n">
        <v>46307</v>
      </c>
      <c r="F138" t="inlineStr">
        <is>
          <t>SÖDERMANLANDS LÄN</t>
        </is>
      </c>
      <c r="G138" t="inlineStr">
        <is>
          <t>NYKÖPING</t>
        </is>
      </c>
      <c r="I138" t="n">
        <v>1.8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69255-2021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44530</v>
      </c>
      <c r="E139" s="1" t="n">
        <v>46307</v>
      </c>
      <c r="F139" t="inlineStr">
        <is>
          <t>SÖDERMANLANDS LÄN</t>
        </is>
      </c>
      <c r="G139" t="inlineStr">
        <is>
          <t>NYKÖPING</t>
        </is>
      </c>
      <c r="I139" t="n">
        <v>0.9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59592-2021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44491</v>
      </c>
      <c r="E140" s="1" t="n">
        <v>46307</v>
      </c>
      <c r="F140" t="inlineStr">
        <is>
          <t>SÖDERMANLANDS LÄN</t>
        </is>
      </c>
      <c r="G140" t="inlineStr">
        <is>
          <t>NYKÖPING</t>
        </is>
      </c>
      <c r="H140" t="inlineStr">
        <is>
          <t>Kyrkan</t>
        </is>
      </c>
      <c r="I140" t="n">
        <v>3.3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16957-2022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44676</v>
      </c>
      <c r="E141" s="1" t="n">
        <v>46307</v>
      </c>
      <c r="F141" t="inlineStr">
        <is>
          <t>SÖDERMANLANDS LÄN</t>
        </is>
      </c>
      <c r="G141" t="inlineStr">
        <is>
          <t>NYKÖPING</t>
        </is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38368-2022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44812</v>
      </c>
      <c r="E142" s="1" t="n">
        <v>46307</v>
      </c>
      <c r="F142" t="inlineStr">
        <is>
          <t>SÖDERMANLANDS LÄN</t>
        </is>
      </c>
      <c r="G142" t="inlineStr">
        <is>
          <t>NYKÖPING</t>
        </is>
      </c>
      <c r="I142" t="n">
        <v>2.7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62076-2021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44502</v>
      </c>
      <c r="E143" s="1" t="n">
        <v>46307</v>
      </c>
      <c r="F143" t="inlineStr">
        <is>
          <t>SÖDERMANLANDS LÄN</t>
        </is>
      </c>
      <c r="G143" t="inlineStr">
        <is>
          <t>NYKÖPING</t>
        </is>
      </c>
      <c r="I143" t="n">
        <v>0.7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69247-2021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44530</v>
      </c>
      <c r="E144" s="1" t="n">
        <v>46307</v>
      </c>
      <c r="F144" t="inlineStr">
        <is>
          <t>SÖDERMANLANDS LÄN</t>
        </is>
      </c>
      <c r="G144" t="inlineStr">
        <is>
          <t>NYKÖPING</t>
        </is>
      </c>
      <c r="I144" t="n">
        <v>1.3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61248-2021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44498</v>
      </c>
      <c r="E145" s="1" t="n">
        <v>46307</v>
      </c>
      <c r="F145" t="inlineStr">
        <is>
          <t>SÖDERMANLANDS LÄN</t>
        </is>
      </c>
      <c r="G145" t="inlineStr">
        <is>
          <t>NYKÖPING</t>
        </is>
      </c>
      <c r="H145" t="inlineStr">
        <is>
          <t>Holmen skog AB</t>
        </is>
      </c>
      <c r="I145" t="n">
        <v>2.8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63055-2021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44505</v>
      </c>
      <c r="E146" s="1" t="n">
        <v>46307</v>
      </c>
      <c r="F146" t="inlineStr">
        <is>
          <t>SÖDERMANLANDS LÄN</t>
        </is>
      </c>
      <c r="G146" t="inlineStr">
        <is>
          <t>NYKÖPING</t>
        </is>
      </c>
      <c r="I146" t="n">
        <v>0.6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8778-2022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44614</v>
      </c>
      <c r="E147" s="1" t="n">
        <v>46307</v>
      </c>
      <c r="F147" t="inlineStr">
        <is>
          <t>SÖDERMANLANDS LÄN</t>
        </is>
      </c>
      <c r="G147" t="inlineStr">
        <is>
          <t>NYKÖPING</t>
        </is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63052-2021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44505</v>
      </c>
      <c r="E148" s="1" t="n">
        <v>46307</v>
      </c>
      <c r="F148" t="inlineStr">
        <is>
          <t>SÖDERMANLANDS LÄN</t>
        </is>
      </c>
      <c r="G148" t="inlineStr">
        <is>
          <t>NYKÖPING</t>
        </is>
      </c>
      <c r="I148" t="n">
        <v>1.3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71175-2021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44539</v>
      </c>
      <c r="E149" s="1" t="n">
        <v>46307</v>
      </c>
      <c r="F149" t="inlineStr">
        <is>
          <t>SÖDERMANLANDS LÄN</t>
        </is>
      </c>
      <c r="G149" t="inlineStr">
        <is>
          <t>NYKÖPING</t>
        </is>
      </c>
      <c r="I149" t="n">
        <v>2.5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71103-2021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44537</v>
      </c>
      <c r="E150" s="1" t="n">
        <v>46307</v>
      </c>
      <c r="F150" t="inlineStr">
        <is>
          <t>SÖDERMANLANDS LÄN</t>
        </is>
      </c>
      <c r="G150" t="inlineStr">
        <is>
          <t>NYKÖPING</t>
        </is>
      </c>
      <c r="I150" t="n">
        <v>2.4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8781-2022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44614</v>
      </c>
      <c r="E151" s="1" t="n">
        <v>46307</v>
      </c>
      <c r="F151" t="inlineStr">
        <is>
          <t>SÖDERMANLANDS LÄN</t>
        </is>
      </c>
      <c r="G151" t="inlineStr">
        <is>
          <t>NYKÖPING</t>
        </is>
      </c>
      <c r="I151" t="n">
        <v>0.8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54029-2022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44881</v>
      </c>
      <c r="E152" s="1" t="n">
        <v>46307</v>
      </c>
      <c r="F152" t="inlineStr">
        <is>
          <t>SÖDERMANLANDS LÄN</t>
        </is>
      </c>
      <c r="G152" t="inlineStr">
        <is>
          <t>NYKÖPING</t>
        </is>
      </c>
      <c r="I152" t="n">
        <v>1.3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14384-2022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44652</v>
      </c>
      <c r="E153" s="1" t="n">
        <v>46307</v>
      </c>
      <c r="F153" t="inlineStr">
        <is>
          <t>SÖDERMANLANDS LÄN</t>
        </is>
      </c>
      <c r="G153" t="inlineStr">
        <is>
          <t>NYKÖPING</t>
        </is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15147-2022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44658</v>
      </c>
      <c r="E154" s="1" t="n">
        <v>46307</v>
      </c>
      <c r="F154" t="inlineStr">
        <is>
          <t>SÖDERMANLANDS LÄN</t>
        </is>
      </c>
      <c r="G154" t="inlineStr">
        <is>
          <t>NYKÖPING</t>
        </is>
      </c>
      <c r="H154" t="inlineStr">
        <is>
          <t>Allmännings- och besparingsskogar</t>
        </is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66860-2021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44522</v>
      </c>
      <c r="E155" s="1" t="n">
        <v>46307</v>
      </c>
      <c r="F155" t="inlineStr">
        <is>
          <t>SÖDERMANLANDS LÄN</t>
        </is>
      </c>
      <c r="G155" t="inlineStr">
        <is>
          <t>NYKÖPING</t>
        </is>
      </c>
      <c r="H155" t="inlineStr">
        <is>
          <t>Holmen skog AB</t>
        </is>
      </c>
      <c r="I155" t="n">
        <v>0.9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30859-2022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44767</v>
      </c>
      <c r="E156" s="1" t="n">
        <v>46307</v>
      </c>
      <c r="F156" t="inlineStr">
        <is>
          <t>SÖDERMANLANDS LÄN</t>
        </is>
      </c>
      <c r="G156" t="inlineStr">
        <is>
          <t>NYKÖPING</t>
        </is>
      </c>
      <c r="H156" t="inlineStr">
        <is>
          <t>Holmen skog AB</t>
        </is>
      </c>
      <c r="I156" t="n">
        <v>2.2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66939-2021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44522</v>
      </c>
      <c r="E157" s="1" t="n">
        <v>46307</v>
      </c>
      <c r="F157" t="inlineStr">
        <is>
          <t>SÖDERMANLANDS LÄN</t>
        </is>
      </c>
      <c r="G157" t="inlineStr">
        <is>
          <t>NYKÖPING</t>
        </is>
      </c>
      <c r="I157" t="n">
        <v>4.4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38372-2022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44812</v>
      </c>
      <c r="E158" s="1" t="n">
        <v>46307</v>
      </c>
      <c r="F158" t="inlineStr">
        <is>
          <t>SÖDERMANLANDS LÄN</t>
        </is>
      </c>
      <c r="G158" t="inlineStr">
        <is>
          <t>NYKÖPING</t>
        </is>
      </c>
      <c r="I158" t="n">
        <v>2.5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54556-2022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44882</v>
      </c>
      <c r="E159" s="1" t="n">
        <v>46307</v>
      </c>
      <c r="F159" t="inlineStr">
        <is>
          <t>SÖDERMANLANDS LÄN</t>
        </is>
      </c>
      <c r="G159" t="inlineStr">
        <is>
          <t>NYKÖPING</t>
        </is>
      </c>
      <c r="I159" t="n">
        <v>3.1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23107-2022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44719</v>
      </c>
      <c r="E160" s="1" t="n">
        <v>46307</v>
      </c>
      <c r="F160" t="inlineStr">
        <is>
          <t>SÖDERMANLANDS LÄN</t>
        </is>
      </c>
      <c r="G160" t="inlineStr">
        <is>
          <t>NYKÖPING</t>
        </is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15466-2022</t>
        </is>
      </c>
      <c r="B161" t="inlineStr">
        <is>
          <t>avverkningsanmälan</t>
        </is>
      </c>
      <c r="C161" t="inlineStr">
        <is>
          <t>Avverkning för annat ändamål</t>
        </is>
      </c>
      <c r="D161" s="1" t="n">
        <v>44662</v>
      </c>
      <c r="E161" s="1" t="n">
        <v>46307</v>
      </c>
      <c r="F161" t="inlineStr">
        <is>
          <t>SÖDERMANLANDS LÄN</t>
        </is>
      </c>
      <c r="G161" t="inlineStr">
        <is>
          <t>NYKÖPING</t>
        </is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28511-2022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44748</v>
      </c>
      <c r="E162" s="1" t="n">
        <v>46307</v>
      </c>
      <c r="F162" t="inlineStr">
        <is>
          <t>SÖDERMANLANDS LÄN</t>
        </is>
      </c>
      <c r="G162" t="inlineStr">
        <is>
          <t>NYKÖPING</t>
        </is>
      </c>
      <c r="H162" t="inlineStr">
        <is>
          <t>Holmen skog AB</t>
        </is>
      </c>
      <c r="I162" t="n">
        <v>1.3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38459-2022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44813</v>
      </c>
      <c r="E163" s="1" t="n">
        <v>46307</v>
      </c>
      <c r="F163" t="inlineStr">
        <is>
          <t>SÖDERMANLANDS LÄN</t>
        </is>
      </c>
      <c r="G163" t="inlineStr">
        <is>
          <t>NYKÖPING</t>
        </is>
      </c>
      <c r="I163" t="n">
        <v>0.6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49763-2022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44862</v>
      </c>
      <c r="E164" s="1" t="n">
        <v>46307</v>
      </c>
      <c r="F164" t="inlineStr">
        <is>
          <t>SÖDERMANLANDS LÄN</t>
        </is>
      </c>
      <c r="G164" t="inlineStr">
        <is>
          <t>NYKÖPING</t>
        </is>
      </c>
      <c r="I164" t="n">
        <v>2.6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42092-2022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44830</v>
      </c>
      <c r="E165" s="1" t="n">
        <v>46307</v>
      </c>
      <c r="F165" t="inlineStr">
        <is>
          <t>SÖDERMANLANDS LÄN</t>
        </is>
      </c>
      <c r="G165" t="inlineStr">
        <is>
          <t>NYKÖPING</t>
        </is>
      </c>
      <c r="I165" t="n">
        <v>2.5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67825-2021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44525</v>
      </c>
      <c r="E166" s="1" t="n">
        <v>46307</v>
      </c>
      <c r="F166" t="inlineStr">
        <is>
          <t>SÖDERMANLANDS LÄN</t>
        </is>
      </c>
      <c r="G166" t="inlineStr">
        <is>
          <t>NYKÖPING</t>
        </is>
      </c>
      <c r="H166" t="inlineStr">
        <is>
          <t>Sveaskog</t>
        </is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69598-2021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44531</v>
      </c>
      <c r="E167" s="1" t="n">
        <v>46307</v>
      </c>
      <c r="F167" t="inlineStr">
        <is>
          <t>SÖDERMANLANDS LÄN</t>
        </is>
      </c>
      <c r="G167" t="inlineStr">
        <is>
          <t>NYKÖPING</t>
        </is>
      </c>
      <c r="I167" t="n">
        <v>1.3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70791-2021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44536</v>
      </c>
      <c r="E168" s="1" t="n">
        <v>46307</v>
      </c>
      <c r="F168" t="inlineStr">
        <is>
          <t>SÖDERMANLANDS LÄN</t>
        </is>
      </c>
      <c r="G168" t="inlineStr">
        <is>
          <t>NYKÖPING</t>
        </is>
      </c>
      <c r="I168" t="n">
        <v>1.4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38468-2022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44813</v>
      </c>
      <c r="E169" s="1" t="n">
        <v>46307</v>
      </c>
      <c r="F169" t="inlineStr">
        <is>
          <t>SÖDERMANLANDS LÄN</t>
        </is>
      </c>
      <c r="G169" t="inlineStr">
        <is>
          <t>NYKÖPING</t>
        </is>
      </c>
      <c r="I169" t="n">
        <v>1.1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41139-2022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44825</v>
      </c>
      <c r="E170" s="1" t="n">
        <v>46307</v>
      </c>
      <c r="F170" t="inlineStr">
        <is>
          <t>SÖDERMANLANDS LÄN</t>
        </is>
      </c>
      <c r="G170" t="inlineStr">
        <is>
          <t>NYKÖPING</t>
        </is>
      </c>
      <c r="I170" t="n">
        <v>1.1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17541-2022</t>
        </is>
      </c>
      <c r="B171" t="inlineStr">
        <is>
          <t>avverkningsanmälan</t>
        </is>
      </c>
      <c r="C171" t="inlineStr">
        <is>
          <t>Avverkning för annat ändamål</t>
        </is>
      </c>
      <c r="D171" s="1" t="n">
        <v>44679</v>
      </c>
      <c r="E171" s="1" t="n">
        <v>46307</v>
      </c>
      <c r="F171" t="inlineStr">
        <is>
          <t>SÖDERMANLANDS LÄN</t>
        </is>
      </c>
      <c r="G171" t="inlineStr">
        <is>
          <t>NYKÖPING</t>
        </is>
      </c>
      <c r="I171" t="n">
        <v>0.4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55288-2022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44887</v>
      </c>
      <c r="E172" s="1" t="n">
        <v>46307</v>
      </c>
      <c r="F172" t="inlineStr">
        <is>
          <t>SÖDERMANLANDS LÄN</t>
        </is>
      </c>
      <c r="G172" t="inlineStr">
        <is>
          <t>NYKÖPING</t>
        </is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28503-2022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44747</v>
      </c>
      <c r="E173" s="1" t="n">
        <v>46307</v>
      </c>
      <c r="F173" t="inlineStr">
        <is>
          <t>SÖDERMANLANDS LÄN</t>
        </is>
      </c>
      <c r="G173" t="inlineStr">
        <is>
          <t>NYKÖPING</t>
        </is>
      </c>
      <c r="I173" t="n">
        <v>1.7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32841-2022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44784</v>
      </c>
      <c r="E174" s="1" t="n">
        <v>46307</v>
      </c>
      <c r="F174" t="inlineStr">
        <is>
          <t>SÖDERMANLANDS LÄN</t>
        </is>
      </c>
      <c r="G174" t="inlineStr">
        <is>
          <t>NYKÖPING</t>
        </is>
      </c>
      <c r="I174" t="n">
        <v>0.8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47372-2022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44853</v>
      </c>
      <c r="E175" s="1" t="n">
        <v>46307</v>
      </c>
      <c r="F175" t="inlineStr">
        <is>
          <t>SÖDERMANLANDS LÄN</t>
        </is>
      </c>
      <c r="G175" t="inlineStr">
        <is>
          <t>NYKÖPING</t>
        </is>
      </c>
      <c r="I175" t="n">
        <v>1.9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20775-2022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44701</v>
      </c>
      <c r="E176" s="1" t="n">
        <v>46307</v>
      </c>
      <c r="F176" t="inlineStr">
        <is>
          <t>SÖDERMANLANDS LÄN</t>
        </is>
      </c>
      <c r="G176" t="inlineStr">
        <is>
          <t>NYKÖPING</t>
        </is>
      </c>
      <c r="I176" t="n">
        <v>0.5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21088-2022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44704</v>
      </c>
      <c r="E177" s="1" t="n">
        <v>46307</v>
      </c>
      <c r="F177" t="inlineStr">
        <is>
          <t>SÖDERMANLANDS LÄN</t>
        </is>
      </c>
      <c r="G177" t="inlineStr">
        <is>
          <t>NYKÖPING</t>
        </is>
      </c>
      <c r="I177" t="n">
        <v>0.4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32671-2022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44783</v>
      </c>
      <c r="E178" s="1" t="n">
        <v>46307</v>
      </c>
      <c r="F178" t="inlineStr">
        <is>
          <t>SÖDERMANLANDS LÄN</t>
        </is>
      </c>
      <c r="G178" t="inlineStr">
        <is>
          <t>NYKÖPING</t>
        </is>
      </c>
      <c r="H178" t="inlineStr">
        <is>
          <t>Holmen skog AB</t>
        </is>
      </c>
      <c r="I178" t="n">
        <v>2.7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2256-2022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44578</v>
      </c>
      <c r="E179" s="1" t="n">
        <v>46307</v>
      </c>
      <c r="F179" t="inlineStr">
        <is>
          <t>SÖDERMANLANDS LÄN</t>
        </is>
      </c>
      <c r="G179" t="inlineStr">
        <is>
          <t>NYKÖPING</t>
        </is>
      </c>
      <c r="I179" t="n">
        <v>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25705-2022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44733</v>
      </c>
      <c r="E180" s="1" t="n">
        <v>46307</v>
      </c>
      <c r="F180" t="inlineStr">
        <is>
          <t>SÖDERMANLANDS LÄN</t>
        </is>
      </c>
      <c r="G180" t="inlineStr">
        <is>
          <t>NYKÖPING</t>
        </is>
      </c>
      <c r="I180" t="n">
        <v>3.1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25709-2022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44733</v>
      </c>
      <c r="E181" s="1" t="n">
        <v>46307</v>
      </c>
      <c r="F181" t="inlineStr">
        <is>
          <t>SÖDERMANLANDS LÄN</t>
        </is>
      </c>
      <c r="G181" t="inlineStr">
        <is>
          <t>NYKÖPING</t>
        </is>
      </c>
      <c r="I181" t="n">
        <v>2.6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21815-2022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44709</v>
      </c>
      <c r="E182" s="1" t="n">
        <v>46307</v>
      </c>
      <c r="F182" t="inlineStr">
        <is>
          <t>SÖDERMANLANDS LÄN</t>
        </is>
      </c>
      <c r="G182" t="inlineStr">
        <is>
          <t>NYKÖPING</t>
        </is>
      </c>
      <c r="I182" t="n">
        <v>0.6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21818-2022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44709</v>
      </c>
      <c r="E183" s="1" t="n">
        <v>46307</v>
      </c>
      <c r="F183" t="inlineStr">
        <is>
          <t>SÖDERMANLANDS LÄN</t>
        </is>
      </c>
      <c r="G183" t="inlineStr">
        <is>
          <t>NYKÖPING</t>
        </is>
      </c>
      <c r="I183" t="n">
        <v>1.6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36634-2022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44804</v>
      </c>
      <c r="E184" s="1" t="n">
        <v>46307</v>
      </c>
      <c r="F184" t="inlineStr">
        <is>
          <t>SÖDERMANLANDS LÄN</t>
        </is>
      </c>
      <c r="G184" t="inlineStr">
        <is>
          <t>NYKÖPING</t>
        </is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69252-2021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44530</v>
      </c>
      <c r="E185" s="1" t="n">
        <v>46307</v>
      </c>
      <c r="F185" t="inlineStr">
        <is>
          <t>SÖDERMANLANDS LÄN</t>
        </is>
      </c>
      <c r="G185" t="inlineStr">
        <is>
          <t>NYKÖPING</t>
        </is>
      </c>
      <c r="I185" t="n">
        <v>6.4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25718-2022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44733</v>
      </c>
      <c r="E186" s="1" t="n">
        <v>46307</v>
      </c>
      <c r="F186" t="inlineStr">
        <is>
          <t>SÖDERMANLANDS LÄN</t>
        </is>
      </c>
      <c r="G186" t="inlineStr">
        <is>
          <t>NYKÖPING</t>
        </is>
      </c>
      <c r="I186" t="n">
        <v>1.3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8523-2022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44613</v>
      </c>
      <c r="E187" s="1" t="n">
        <v>46307</v>
      </c>
      <c r="F187" t="inlineStr">
        <is>
          <t>SÖDERMANLANDS LÄN</t>
        </is>
      </c>
      <c r="G187" t="inlineStr">
        <is>
          <t>NYKÖPING</t>
        </is>
      </c>
      <c r="I187" t="n">
        <v>1.1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71107-2021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44537</v>
      </c>
      <c r="E188" s="1" t="n">
        <v>46307</v>
      </c>
      <c r="F188" t="inlineStr">
        <is>
          <t>SÖDERMANLANDS LÄN</t>
        </is>
      </c>
      <c r="G188" t="inlineStr">
        <is>
          <t>NYKÖPING</t>
        </is>
      </c>
      <c r="I188" t="n">
        <v>6.8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23922-2022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44722</v>
      </c>
      <c r="E189" s="1" t="n">
        <v>46307</v>
      </c>
      <c r="F189" t="inlineStr">
        <is>
          <t>SÖDERMANLANDS LÄN</t>
        </is>
      </c>
      <c r="G189" t="inlineStr">
        <is>
          <t>NYKÖPING</t>
        </is>
      </c>
      <c r="I189" t="n">
        <v>0.6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25130-2022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44729</v>
      </c>
      <c r="E190" s="1" t="n">
        <v>46307</v>
      </c>
      <c r="F190" t="inlineStr">
        <is>
          <t>SÖDERMANLANDS LÄN</t>
        </is>
      </c>
      <c r="G190" t="inlineStr">
        <is>
          <t>NYKÖPING</t>
        </is>
      </c>
      <c r="I190" t="n">
        <v>0.9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22393-2022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44713</v>
      </c>
      <c r="E191" s="1" t="n">
        <v>46307</v>
      </c>
      <c r="F191" t="inlineStr">
        <is>
          <t>SÖDERMANLANDS LÄN</t>
        </is>
      </c>
      <c r="G191" t="inlineStr">
        <is>
          <t>NYKÖPING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10873-2022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44627</v>
      </c>
      <c r="E192" s="1" t="n">
        <v>46307</v>
      </c>
      <c r="F192" t="inlineStr">
        <is>
          <t>SÖDERMANLANDS LÄN</t>
        </is>
      </c>
      <c r="G192" t="inlineStr">
        <is>
          <t>NYKÖPING</t>
        </is>
      </c>
      <c r="H192" t="inlineStr">
        <is>
          <t>Övriga Aktiebolag</t>
        </is>
      </c>
      <c r="I192" t="n">
        <v>2.9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54024-2022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44881</v>
      </c>
      <c r="E193" s="1" t="n">
        <v>46307</v>
      </c>
      <c r="F193" t="inlineStr">
        <is>
          <t>SÖDERMANLANDS LÄN</t>
        </is>
      </c>
      <c r="G193" t="inlineStr">
        <is>
          <t>NYKÖPING</t>
        </is>
      </c>
      <c r="I193" t="n">
        <v>16.2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12226-2024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45378</v>
      </c>
      <c r="E194" s="1" t="n">
        <v>46307</v>
      </c>
      <c r="F194" t="inlineStr">
        <is>
          <t>SÖDERMANLANDS LÄN</t>
        </is>
      </c>
      <c r="G194" t="inlineStr">
        <is>
          <t>NYKÖPING</t>
        </is>
      </c>
      <c r="I194" t="n">
        <v>1.6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20985-2023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45061</v>
      </c>
      <c r="E195" s="1" t="n">
        <v>46307</v>
      </c>
      <c r="F195" t="inlineStr">
        <is>
          <t>SÖDERMANLANDS LÄN</t>
        </is>
      </c>
      <c r="G195" t="inlineStr">
        <is>
          <t>NYKÖPING</t>
        </is>
      </c>
      <c r="H195" t="inlineStr">
        <is>
          <t>Holmen skog AB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49223-2022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44858</v>
      </c>
      <c r="E196" s="1" t="n">
        <v>46307</v>
      </c>
      <c r="F196" t="inlineStr">
        <is>
          <t>SÖDERMANLANDS LÄN</t>
        </is>
      </c>
      <c r="G196" t="inlineStr">
        <is>
          <t>NYKÖPING</t>
        </is>
      </c>
      <c r="H196" t="inlineStr">
        <is>
          <t>Övriga statliga verk och myndigheter</t>
        </is>
      </c>
      <c r="I196" t="n">
        <v>0.5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63006-2021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44505</v>
      </c>
      <c r="E197" s="1" t="n">
        <v>46307</v>
      </c>
      <c r="F197" t="inlineStr">
        <is>
          <t>SÖDERMANLANDS LÄN</t>
        </is>
      </c>
      <c r="G197" t="inlineStr">
        <is>
          <t>NYKÖPING</t>
        </is>
      </c>
      <c r="H197" t="inlineStr">
        <is>
          <t>Holmen skog AB</t>
        </is>
      </c>
      <c r="I197" t="n">
        <v>1.9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42249-2022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44830</v>
      </c>
      <c r="E198" s="1" t="n">
        <v>46307</v>
      </c>
      <c r="F198" t="inlineStr">
        <is>
          <t>SÖDERMANLANDS LÄN</t>
        </is>
      </c>
      <c r="G198" t="inlineStr">
        <is>
          <t>NYKÖPING</t>
        </is>
      </c>
      <c r="I198" t="n">
        <v>1.7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10287-2024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45365</v>
      </c>
      <c r="E199" s="1" t="n">
        <v>46307</v>
      </c>
      <c r="F199" t="inlineStr">
        <is>
          <t>SÖDERMANLANDS LÄN</t>
        </is>
      </c>
      <c r="G199" t="inlineStr">
        <is>
          <t>NYKÖPING</t>
        </is>
      </c>
      <c r="I199" t="n">
        <v>1.4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41137-2022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44825</v>
      </c>
      <c r="E200" s="1" t="n">
        <v>46307</v>
      </c>
      <c r="F200" t="inlineStr">
        <is>
          <t>SÖDERMANLANDS LÄN</t>
        </is>
      </c>
      <c r="G200" t="inlineStr">
        <is>
          <t>NYKÖPING</t>
        </is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53335-2023</t>
        </is>
      </c>
      <c r="B201" t="inlineStr">
        <is>
          <t>avverkningsanmälan</t>
        </is>
      </c>
      <c r="C201" t="inlineStr">
        <is>
          <t>Avverkning för annat ändamål</t>
        </is>
      </c>
      <c r="D201" s="1" t="n">
        <v>45229</v>
      </c>
      <c r="E201" s="1" t="n">
        <v>46307</v>
      </c>
      <c r="F201" t="inlineStr">
        <is>
          <t>SÖDERMANLANDS LÄN</t>
        </is>
      </c>
      <c r="G201" t="inlineStr">
        <is>
          <t>NYKÖPING</t>
        </is>
      </c>
      <c r="I201" t="n">
        <v>1.6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2428-2022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44579</v>
      </c>
      <c r="E202" s="1" t="n">
        <v>46307</v>
      </c>
      <c r="F202" t="inlineStr">
        <is>
          <t>SÖDERMANLANDS LÄN</t>
        </is>
      </c>
      <c r="G202" t="inlineStr">
        <is>
          <t>NYKÖPING</t>
        </is>
      </c>
      <c r="I202" t="n">
        <v>10.8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2445-2022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44579</v>
      </c>
      <c r="E203" s="1" t="n">
        <v>46307</v>
      </c>
      <c r="F203" t="inlineStr">
        <is>
          <t>SÖDERMANLANDS LÄN</t>
        </is>
      </c>
      <c r="G203" t="inlineStr">
        <is>
          <t>NYKÖPING</t>
        </is>
      </c>
      <c r="I203" t="n">
        <v>6.7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10981-2024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45370</v>
      </c>
      <c r="E204" s="1" t="n">
        <v>46307</v>
      </c>
      <c r="F204" t="inlineStr">
        <is>
          <t>SÖDERMANLANDS LÄN</t>
        </is>
      </c>
      <c r="G204" t="inlineStr">
        <is>
          <t>NYKÖPING</t>
        </is>
      </c>
      <c r="H204" t="inlineStr">
        <is>
          <t>Kommuner</t>
        </is>
      </c>
      <c r="I204" t="n">
        <v>2.6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21480-2024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45441</v>
      </c>
      <c r="E205" s="1" t="n">
        <v>46307</v>
      </c>
      <c r="F205" t="inlineStr">
        <is>
          <t>SÖDERMANLANDS LÄN</t>
        </is>
      </c>
      <c r="G205" t="inlineStr">
        <is>
          <t>NYKÖPING</t>
        </is>
      </c>
      <c r="I205" t="n">
        <v>0.7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2517-2022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44579</v>
      </c>
      <c r="E206" s="1" t="n">
        <v>46307</v>
      </c>
      <c r="F206" t="inlineStr">
        <is>
          <t>SÖDERMANLANDS LÄN</t>
        </is>
      </c>
      <c r="G206" t="inlineStr">
        <is>
          <t>NYKÖPING</t>
        </is>
      </c>
      <c r="I206" t="n">
        <v>1.5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38846-2023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45163</v>
      </c>
      <c r="E207" s="1" t="n">
        <v>46307</v>
      </c>
      <c r="F207" t="inlineStr">
        <is>
          <t>SÖDERMANLANDS LÄN</t>
        </is>
      </c>
      <c r="G207" t="inlineStr">
        <is>
          <t>NYKÖPING</t>
        </is>
      </c>
      <c r="H207" t="inlineStr">
        <is>
          <t>Holmen skog AB</t>
        </is>
      </c>
      <c r="I207" t="n">
        <v>2.4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2255-2022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44578</v>
      </c>
      <c r="E208" s="1" t="n">
        <v>46307</v>
      </c>
      <c r="F208" t="inlineStr">
        <is>
          <t>SÖDERMANLANDS LÄN</t>
        </is>
      </c>
      <c r="G208" t="inlineStr">
        <is>
          <t>NYKÖPING</t>
        </is>
      </c>
      <c r="I208" t="n">
        <v>2.1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13955-2023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45008</v>
      </c>
      <c r="E209" s="1" t="n">
        <v>46307</v>
      </c>
      <c r="F209" t="inlineStr">
        <is>
          <t>SÖDERMANLANDS LÄN</t>
        </is>
      </c>
      <c r="G209" t="inlineStr">
        <is>
          <t>NYKÖPING</t>
        </is>
      </c>
      <c r="I209" t="n">
        <v>1.1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33653-2024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45520</v>
      </c>
      <c r="E210" s="1" t="n">
        <v>46307</v>
      </c>
      <c r="F210" t="inlineStr">
        <is>
          <t>SÖDERMANLANDS LÄN</t>
        </is>
      </c>
      <c r="G210" t="inlineStr">
        <is>
          <t>NYKÖPING</t>
        </is>
      </c>
      <c r="I210" t="n">
        <v>5.5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56928-2023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45244</v>
      </c>
      <c r="E211" s="1" t="n">
        <v>46307</v>
      </c>
      <c r="F211" t="inlineStr">
        <is>
          <t>SÖDERMANLANDS LÄN</t>
        </is>
      </c>
      <c r="G211" t="inlineStr">
        <is>
          <t>NYKÖPING</t>
        </is>
      </c>
      <c r="H211" t="inlineStr">
        <is>
          <t>Övriga Aktiebolag</t>
        </is>
      </c>
      <c r="I211" t="n">
        <v>0.6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14930-2024</t>
        </is>
      </c>
      <c r="B212" t="inlineStr">
        <is>
          <t>avverkningsanmälan</t>
        </is>
      </c>
      <c r="C212" t="inlineStr">
        <is>
          <t>Avverkning för annat ändamål</t>
        </is>
      </c>
      <c r="D212" s="1" t="n">
        <v>45398</v>
      </c>
      <c r="E212" s="1" t="n">
        <v>46307</v>
      </c>
      <c r="F212" t="inlineStr">
        <is>
          <t>SÖDERMANLANDS LÄN</t>
        </is>
      </c>
      <c r="G212" t="inlineStr">
        <is>
          <t>NYKÖPING</t>
        </is>
      </c>
      <c r="I212" t="n">
        <v>3.1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32836-2022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44784</v>
      </c>
      <c r="E213" s="1" t="n">
        <v>46307</v>
      </c>
      <c r="F213" t="inlineStr">
        <is>
          <t>SÖDERMANLANDS LÄN</t>
        </is>
      </c>
      <c r="G213" t="inlineStr">
        <is>
          <t>NYKÖPING</t>
        </is>
      </c>
      <c r="I213" t="n">
        <v>3.8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32721-2022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44783</v>
      </c>
      <c r="E214" s="1" t="n">
        <v>46307</v>
      </c>
      <c r="F214" t="inlineStr">
        <is>
          <t>SÖDERMANLANDS LÄN</t>
        </is>
      </c>
      <c r="G214" t="inlineStr">
        <is>
          <t>NYKÖPING</t>
        </is>
      </c>
      <c r="I214" t="n">
        <v>2.3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21249-2023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45062</v>
      </c>
      <c r="E215" s="1" t="n">
        <v>46307</v>
      </c>
      <c r="F215" t="inlineStr">
        <is>
          <t>SÖDERMANLANDS LÄN</t>
        </is>
      </c>
      <c r="G215" t="inlineStr">
        <is>
          <t>NYKÖPING</t>
        </is>
      </c>
      <c r="I215" t="n">
        <v>0.4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45282-2022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44844</v>
      </c>
      <c r="E216" s="1" t="n">
        <v>46307</v>
      </c>
      <c r="F216" t="inlineStr">
        <is>
          <t>SÖDERMANLANDS LÄN</t>
        </is>
      </c>
      <c r="G216" t="inlineStr">
        <is>
          <t>NYKÖPING</t>
        </is>
      </c>
      <c r="H216" t="inlineStr">
        <is>
          <t>Holmen skog AB</t>
        </is>
      </c>
      <c r="I216" t="n">
        <v>2.3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35020-2023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45143</v>
      </c>
      <c r="E217" s="1" t="n">
        <v>46307</v>
      </c>
      <c r="F217" t="inlineStr">
        <is>
          <t>SÖDERMANLANDS LÄN</t>
        </is>
      </c>
      <c r="G217" t="inlineStr">
        <is>
          <t>NYKÖPING</t>
        </is>
      </c>
      <c r="I217" t="n">
        <v>1.3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24285-2022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44725</v>
      </c>
      <c r="E218" s="1" t="n">
        <v>46307</v>
      </c>
      <c r="F218" t="inlineStr">
        <is>
          <t>SÖDERMANLANDS LÄN</t>
        </is>
      </c>
      <c r="G218" t="inlineStr">
        <is>
          <t>NYKÖPING</t>
        </is>
      </c>
      <c r="I218" t="n">
        <v>0.6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14848-2024</t>
        </is>
      </c>
      <c r="B219" t="inlineStr">
        <is>
          <t>avverkningsanmälan</t>
        </is>
      </c>
      <c r="C219" t="inlineStr">
        <is>
          <t>Avverkning för att bevara och utveckla /försöksver</t>
        </is>
      </c>
      <c r="D219" s="1" t="n">
        <v>45398</v>
      </c>
      <c r="E219" s="1" t="n">
        <v>46307</v>
      </c>
      <c r="F219" t="inlineStr">
        <is>
          <t>SÖDERMANLANDS LÄN</t>
        </is>
      </c>
      <c r="G219" t="inlineStr">
        <is>
          <t>NYKÖPING</t>
        </is>
      </c>
      <c r="I219" t="n">
        <v>0.5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1407-2025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45667</v>
      </c>
      <c r="E220" s="1" t="n">
        <v>46307</v>
      </c>
      <c r="F220" t="inlineStr">
        <is>
          <t>SÖDERMANLANDS LÄN</t>
        </is>
      </c>
      <c r="G220" t="inlineStr">
        <is>
          <t>NYKÖPING</t>
        </is>
      </c>
      <c r="I220" t="n">
        <v>0.9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50158-2022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44865</v>
      </c>
      <c r="E221" s="1" t="n">
        <v>46307</v>
      </c>
      <c r="F221" t="inlineStr">
        <is>
          <t>SÖDERMANLANDS LÄN</t>
        </is>
      </c>
      <c r="G221" t="inlineStr">
        <is>
          <t>NYKÖPING</t>
        </is>
      </c>
      <c r="H221" t="inlineStr">
        <is>
          <t>Holmen skog AB</t>
        </is>
      </c>
      <c r="I221" t="n">
        <v>1.5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16881-2024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45410</v>
      </c>
      <c r="E222" s="1" t="n">
        <v>46307</v>
      </c>
      <c r="F222" t="inlineStr">
        <is>
          <t>SÖDERMANLANDS LÄN</t>
        </is>
      </c>
      <c r="G222" t="inlineStr">
        <is>
          <t>NYKÖPING</t>
        </is>
      </c>
      <c r="I222" t="n">
        <v>5.4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4479-2025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45686</v>
      </c>
      <c r="E223" s="1" t="n">
        <v>46307</v>
      </c>
      <c r="F223" t="inlineStr">
        <is>
          <t>SÖDERMANLANDS LÄN</t>
        </is>
      </c>
      <c r="G223" t="inlineStr">
        <is>
          <t>NYKÖPING</t>
        </is>
      </c>
      <c r="I223" t="n">
        <v>0.7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20798-2023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45058</v>
      </c>
      <c r="E224" s="1" t="n">
        <v>46307</v>
      </c>
      <c r="F224" t="inlineStr">
        <is>
          <t>SÖDERMANLANDS LÄN</t>
        </is>
      </c>
      <c r="G224" t="inlineStr">
        <is>
          <t>NYKÖPING</t>
        </is>
      </c>
      <c r="H224" t="inlineStr">
        <is>
          <t>Holmen skog AB</t>
        </is>
      </c>
      <c r="I224" t="n">
        <v>0.7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45930-2022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44846</v>
      </c>
      <c r="E225" s="1" t="n">
        <v>46307</v>
      </c>
      <c r="F225" t="inlineStr">
        <is>
          <t>SÖDERMANLANDS LÄN</t>
        </is>
      </c>
      <c r="G225" t="inlineStr">
        <is>
          <t>NYKÖPING</t>
        </is>
      </c>
      <c r="I225" t="n">
        <v>1.8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65172-2023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45288</v>
      </c>
      <c r="E226" s="1" t="n">
        <v>46307</v>
      </c>
      <c r="F226" t="inlineStr">
        <is>
          <t>SÖDERMANLANDS LÄN</t>
        </is>
      </c>
      <c r="G226" t="inlineStr">
        <is>
          <t>NYKÖPING</t>
        </is>
      </c>
      <c r="I226" t="n">
        <v>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12887-2025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45733</v>
      </c>
      <c r="E227" s="1" t="n">
        <v>46307</v>
      </c>
      <c r="F227" t="inlineStr">
        <is>
          <t>SÖDERMANLANDS LÄN</t>
        </is>
      </c>
      <c r="G227" t="inlineStr">
        <is>
          <t>NYKÖPING</t>
        </is>
      </c>
      <c r="I227" t="n">
        <v>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57621-2024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45630</v>
      </c>
      <c r="E228" s="1" t="n">
        <v>46307</v>
      </c>
      <c r="F228" t="inlineStr">
        <is>
          <t>SÖDERMANLANDS LÄN</t>
        </is>
      </c>
      <c r="G228" t="inlineStr">
        <is>
          <t>NYKÖPING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5312-2024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45330</v>
      </c>
      <c r="E229" s="1" t="n">
        <v>46307</v>
      </c>
      <c r="F229" t="inlineStr">
        <is>
          <t>SÖDERMANLANDS LÄN</t>
        </is>
      </c>
      <c r="G229" t="inlineStr">
        <is>
          <t>NYKÖPING</t>
        </is>
      </c>
      <c r="I229" t="n">
        <v>10.9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2255-2024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45310</v>
      </c>
      <c r="E230" s="1" t="n">
        <v>46307</v>
      </c>
      <c r="F230" t="inlineStr">
        <is>
          <t>SÖDERMANLANDS LÄN</t>
        </is>
      </c>
      <c r="G230" t="inlineStr">
        <is>
          <t>NYKÖPING</t>
        </is>
      </c>
      <c r="H230" t="inlineStr">
        <is>
          <t>Holmen skog AB</t>
        </is>
      </c>
      <c r="I230" t="n">
        <v>1.1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52373-2023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45224</v>
      </c>
      <c r="E231" s="1" t="n">
        <v>46307</v>
      </c>
      <c r="F231" t="inlineStr">
        <is>
          <t>SÖDERMANLANDS LÄN</t>
        </is>
      </c>
      <c r="G231" t="inlineStr">
        <is>
          <t>NYKÖPING</t>
        </is>
      </c>
      <c r="I231" t="n">
        <v>1.6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52374-2023</t>
        </is>
      </c>
      <c r="B232" t="inlineStr">
        <is>
          <t>avverkningsanmälan</t>
        </is>
      </c>
      <c r="C232" t="inlineStr">
        <is>
          <t>Avverkning för annat ändamål</t>
        </is>
      </c>
      <c r="D232" s="1" t="n">
        <v>45224</v>
      </c>
      <c r="E232" s="1" t="n">
        <v>46307</v>
      </c>
      <c r="F232" t="inlineStr">
        <is>
          <t>SÖDERMANLANDS LÄN</t>
        </is>
      </c>
      <c r="G232" t="inlineStr">
        <is>
          <t>NYKÖPING</t>
        </is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35178-2023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45145</v>
      </c>
      <c r="E233" s="1" t="n">
        <v>46307</v>
      </c>
      <c r="F233" t="inlineStr">
        <is>
          <t>SÖDERMANLANDS LÄN</t>
        </is>
      </c>
      <c r="G233" t="inlineStr">
        <is>
          <t>NYKÖPING</t>
        </is>
      </c>
      <c r="H233" t="inlineStr">
        <is>
          <t>Holmen skog AB</t>
        </is>
      </c>
      <c r="I233" t="n">
        <v>0.5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39120-2022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44817</v>
      </c>
      <c r="E234" s="1" t="n">
        <v>46307</v>
      </c>
      <c r="F234" t="inlineStr">
        <is>
          <t>SÖDERMANLANDS LÄN</t>
        </is>
      </c>
      <c r="G234" t="inlineStr">
        <is>
          <t>NYKÖPING</t>
        </is>
      </c>
      <c r="I234" t="n">
        <v>2.8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7008-2024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45343</v>
      </c>
      <c r="E235" s="1" t="n">
        <v>46307</v>
      </c>
      <c r="F235" t="inlineStr">
        <is>
          <t>SÖDERMANLANDS LÄN</t>
        </is>
      </c>
      <c r="G235" t="inlineStr">
        <is>
          <t>NYKÖPING</t>
        </is>
      </c>
      <c r="H235" t="inlineStr">
        <is>
          <t>Holmen skog AB</t>
        </is>
      </c>
      <c r="I235" t="n">
        <v>0.9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41222-2023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45170</v>
      </c>
      <c r="E236" s="1" t="n">
        <v>46307</v>
      </c>
      <c r="F236" t="inlineStr">
        <is>
          <t>SÖDERMANLANDS LÄN</t>
        </is>
      </c>
      <c r="G236" t="inlineStr">
        <is>
          <t>NYKÖPING</t>
        </is>
      </c>
      <c r="I236" t="n">
        <v>3.4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31401-2022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44774</v>
      </c>
      <c r="E237" s="1" t="n">
        <v>46307</v>
      </c>
      <c r="F237" t="inlineStr">
        <is>
          <t>SÖDERMANLANDS LÄN</t>
        </is>
      </c>
      <c r="G237" t="inlineStr">
        <is>
          <t>NYKÖPING</t>
        </is>
      </c>
      <c r="I237" t="n">
        <v>2.7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38607-2023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45162</v>
      </c>
      <c r="E238" s="1" t="n">
        <v>46307</v>
      </c>
      <c r="F238" t="inlineStr">
        <is>
          <t>SÖDERMANLANDS LÄN</t>
        </is>
      </c>
      <c r="G238" t="inlineStr">
        <is>
          <t>NYKÖPING</t>
        </is>
      </c>
      <c r="H238" t="inlineStr">
        <is>
          <t>Kommuner</t>
        </is>
      </c>
      <c r="I238" t="n">
        <v>4.9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65923-2021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44517</v>
      </c>
      <c r="E239" s="1" t="n">
        <v>46307</v>
      </c>
      <c r="F239" t="inlineStr">
        <is>
          <t>SÖDERMANLANDS LÄN</t>
        </is>
      </c>
      <c r="G239" t="inlineStr">
        <is>
          <t>NYKÖPING</t>
        </is>
      </c>
      <c r="I239" t="n">
        <v>5.5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10283-2024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45365</v>
      </c>
      <c r="E240" s="1" t="n">
        <v>46307</v>
      </c>
      <c r="F240" t="inlineStr">
        <is>
          <t>SÖDERMANLANDS LÄN</t>
        </is>
      </c>
      <c r="G240" t="inlineStr">
        <is>
          <t>NYKÖPING</t>
        </is>
      </c>
      <c r="I240" t="n">
        <v>6.7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58281-2022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44901</v>
      </c>
      <c r="E241" s="1" t="n">
        <v>46307</v>
      </c>
      <c r="F241" t="inlineStr">
        <is>
          <t>SÖDERMANLANDS LÄN</t>
        </is>
      </c>
      <c r="G241" t="inlineStr">
        <is>
          <t>NYKÖPING</t>
        </is>
      </c>
      <c r="H241" t="inlineStr">
        <is>
          <t>Holmen skog AB</t>
        </is>
      </c>
      <c r="I241" t="n">
        <v>1.2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8710-2024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45356</v>
      </c>
      <c r="E242" s="1" t="n">
        <v>46307</v>
      </c>
      <c r="F242" t="inlineStr">
        <is>
          <t>SÖDERMANLANDS LÄN</t>
        </is>
      </c>
      <c r="G242" t="inlineStr">
        <is>
          <t>NYKÖPING</t>
        </is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1777-2024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45307</v>
      </c>
      <c r="E243" s="1" t="n">
        <v>46307</v>
      </c>
      <c r="F243" t="inlineStr">
        <is>
          <t>SÖDERMANLANDS LÄN</t>
        </is>
      </c>
      <c r="G243" t="inlineStr">
        <is>
          <t>NYKÖPING</t>
        </is>
      </c>
      <c r="H243" t="inlineStr">
        <is>
          <t>Kommuner</t>
        </is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31868-2023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45107</v>
      </c>
      <c r="E244" s="1" t="n">
        <v>46307</v>
      </c>
      <c r="F244" t="inlineStr">
        <is>
          <t>SÖDERMANLANDS LÄN</t>
        </is>
      </c>
      <c r="G244" t="inlineStr">
        <is>
          <t>NYKÖPING</t>
        </is>
      </c>
      <c r="I244" t="n">
        <v>3.7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43653-2022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44837</v>
      </c>
      <c r="E245" s="1" t="n">
        <v>46307</v>
      </c>
      <c r="F245" t="inlineStr">
        <is>
          <t>SÖDERMANLANDS LÄN</t>
        </is>
      </c>
      <c r="G245" t="inlineStr">
        <is>
          <t>NYKÖPING</t>
        </is>
      </c>
      <c r="I245" t="n">
        <v>4.2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48709-2022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44859</v>
      </c>
      <c r="E246" s="1" t="n">
        <v>46307</v>
      </c>
      <c r="F246" t="inlineStr">
        <is>
          <t>SÖDERMANLANDS LÄN</t>
        </is>
      </c>
      <c r="G246" t="inlineStr">
        <is>
          <t>NYKÖPING</t>
        </is>
      </c>
      <c r="H246" t="inlineStr">
        <is>
          <t>Holmen skog AB</t>
        </is>
      </c>
      <c r="I246" t="n">
        <v>0.8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7036-2023</t>
        </is>
      </c>
      <c r="B247" t="inlineStr">
        <is>
          <t>avverkningsanmälan</t>
        </is>
      </c>
      <c r="C247" t="inlineStr">
        <is>
          <t>Avverkning för annat ändamål</t>
        </is>
      </c>
      <c r="D247" s="1" t="n">
        <v>44968</v>
      </c>
      <c r="E247" s="1" t="n">
        <v>46307</v>
      </c>
      <c r="F247" t="inlineStr">
        <is>
          <t>SÖDERMANLANDS LÄN</t>
        </is>
      </c>
      <c r="G247" t="inlineStr">
        <is>
          <t>NYKÖPING</t>
        </is>
      </c>
      <c r="I247" t="n">
        <v>0.9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12529-2024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45379</v>
      </c>
      <c r="E248" s="1" t="n">
        <v>46307</v>
      </c>
      <c r="F248" t="inlineStr">
        <is>
          <t>SÖDERMANLANDS LÄN</t>
        </is>
      </c>
      <c r="G248" t="inlineStr">
        <is>
          <t>NYKÖPING</t>
        </is>
      </c>
      <c r="I248" t="n">
        <v>0.8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18604-2023</t>
        </is>
      </c>
      <c r="B249" t="inlineStr">
        <is>
          <t>avverkningsanmälan</t>
        </is>
      </c>
      <c r="C249" t="inlineStr">
        <is>
          <t>Avverkning för annat ändamål</t>
        </is>
      </c>
      <c r="D249" s="1" t="n">
        <v>45043</v>
      </c>
      <c r="E249" s="1" t="n">
        <v>46307</v>
      </c>
      <c r="F249" t="inlineStr">
        <is>
          <t>SÖDERMANLANDS LÄN</t>
        </is>
      </c>
      <c r="G249" t="inlineStr">
        <is>
          <t>NYKÖPING</t>
        </is>
      </c>
      <c r="I249" t="n">
        <v>2.9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53800-2022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44880</v>
      </c>
      <c r="E250" s="1" t="n">
        <v>46307</v>
      </c>
      <c r="F250" t="inlineStr">
        <is>
          <t>SÖDERMANLANDS LÄN</t>
        </is>
      </c>
      <c r="G250" t="inlineStr">
        <is>
          <t>NYKÖPING</t>
        </is>
      </c>
      <c r="H250" t="inlineStr">
        <is>
          <t>Övriga Aktiebolag</t>
        </is>
      </c>
      <c r="I250" t="n">
        <v>7.4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5483-2023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44960</v>
      </c>
      <c r="E251" s="1" t="n">
        <v>46307</v>
      </c>
      <c r="F251" t="inlineStr">
        <is>
          <t>SÖDERMANLANDS LÄN</t>
        </is>
      </c>
      <c r="G251" t="inlineStr">
        <is>
          <t>NYKÖPING</t>
        </is>
      </c>
      <c r="I251" t="n">
        <v>0.6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60117-2023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45258</v>
      </c>
      <c r="E252" s="1" t="n">
        <v>46307</v>
      </c>
      <c r="F252" t="inlineStr">
        <is>
          <t>SÖDERMANLANDS LÄN</t>
        </is>
      </c>
      <c r="G252" t="inlineStr">
        <is>
          <t>NYKÖPING</t>
        </is>
      </c>
      <c r="H252" t="inlineStr">
        <is>
          <t>Övriga Aktiebolag</t>
        </is>
      </c>
      <c r="I252" t="n">
        <v>1.1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17247-2025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45756</v>
      </c>
      <c r="E253" s="1" t="n">
        <v>46307</v>
      </c>
      <c r="F253" t="inlineStr">
        <is>
          <t>SÖDERMANLANDS LÄN</t>
        </is>
      </c>
      <c r="G253" t="inlineStr">
        <is>
          <t>NYKÖPING</t>
        </is>
      </c>
      <c r="H253" t="inlineStr">
        <is>
          <t>Holmen skog AB</t>
        </is>
      </c>
      <c r="I253" t="n">
        <v>4.5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10211-2024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45364</v>
      </c>
      <c r="E254" s="1" t="n">
        <v>46307</v>
      </c>
      <c r="F254" t="inlineStr">
        <is>
          <t>SÖDERMANLANDS LÄN</t>
        </is>
      </c>
      <c r="G254" t="inlineStr">
        <is>
          <t>NYKÖPING</t>
        </is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24447-2023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45082</v>
      </c>
      <c r="E255" s="1" t="n">
        <v>46307</v>
      </c>
      <c r="F255" t="inlineStr">
        <is>
          <t>SÖDERMANLANDS LÄN</t>
        </is>
      </c>
      <c r="G255" t="inlineStr">
        <is>
          <t>NYKÖPING</t>
        </is>
      </c>
      <c r="I255" t="n">
        <v>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68401-2021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44529</v>
      </c>
      <c r="E256" s="1" t="n">
        <v>46307</v>
      </c>
      <c r="F256" t="inlineStr">
        <is>
          <t>SÖDERMANLANDS LÄN</t>
        </is>
      </c>
      <c r="G256" t="inlineStr">
        <is>
          <t>NYKÖPING</t>
        </is>
      </c>
      <c r="H256" t="inlineStr">
        <is>
          <t>Övriga Aktiebolag</t>
        </is>
      </c>
      <c r="I256" t="n">
        <v>16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54183-2022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44881</v>
      </c>
      <c r="E257" s="1" t="n">
        <v>46307</v>
      </c>
      <c r="F257" t="inlineStr">
        <is>
          <t>SÖDERMANLANDS LÄN</t>
        </is>
      </c>
      <c r="G257" t="inlineStr">
        <is>
          <t>NYKÖPING</t>
        </is>
      </c>
      <c r="I257" t="n">
        <v>1.4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9386-2024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45359</v>
      </c>
      <c r="E258" s="1" t="n">
        <v>46307</v>
      </c>
      <c r="F258" t="inlineStr">
        <is>
          <t>SÖDERMANLANDS LÄN</t>
        </is>
      </c>
      <c r="G258" t="inlineStr">
        <is>
          <t>NYKÖPING</t>
        </is>
      </c>
      <c r="H258" t="inlineStr">
        <is>
          <t>Holmen skog AB</t>
        </is>
      </c>
      <c r="I258" t="n">
        <v>2.2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18123-2023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45040</v>
      </c>
      <c r="E259" s="1" t="n">
        <v>46307</v>
      </c>
      <c r="F259" t="inlineStr">
        <is>
          <t>SÖDERMANLANDS LÄN</t>
        </is>
      </c>
      <c r="G259" t="inlineStr">
        <is>
          <t>NYKÖPING</t>
        </is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18478-2025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45762</v>
      </c>
      <c r="E260" s="1" t="n">
        <v>46307</v>
      </c>
      <c r="F260" t="inlineStr">
        <is>
          <t>SÖDERMANLANDS LÄN</t>
        </is>
      </c>
      <c r="G260" t="inlineStr">
        <is>
          <t>NYKÖPING</t>
        </is>
      </c>
      <c r="I260" t="n">
        <v>1.7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36000-2023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45148</v>
      </c>
      <c r="E261" s="1" t="n">
        <v>46307</v>
      </c>
      <c r="F261" t="inlineStr">
        <is>
          <t>SÖDERMANLANDS LÄN</t>
        </is>
      </c>
      <c r="G261" t="inlineStr">
        <is>
          <t>NYKÖPING</t>
        </is>
      </c>
      <c r="I261" t="n">
        <v>2.2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32875-2022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44784</v>
      </c>
      <c r="E262" s="1" t="n">
        <v>46307</v>
      </c>
      <c r="F262" t="inlineStr">
        <is>
          <t>SÖDERMANLANDS LÄN</t>
        </is>
      </c>
      <c r="G262" t="inlineStr">
        <is>
          <t>NYKÖPING</t>
        </is>
      </c>
      <c r="I262" t="n">
        <v>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38155-2022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44812</v>
      </c>
      <c r="E263" s="1" t="n">
        <v>46307</v>
      </c>
      <c r="F263" t="inlineStr">
        <is>
          <t>SÖDERMANLANDS LÄN</t>
        </is>
      </c>
      <c r="G263" t="inlineStr">
        <is>
          <t>NYKÖPING</t>
        </is>
      </c>
      <c r="I263" t="n">
        <v>0.6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8299-2024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45350</v>
      </c>
      <c r="E264" s="1" t="n">
        <v>46307</v>
      </c>
      <c r="F264" t="inlineStr">
        <is>
          <t>SÖDERMANLANDS LÄN</t>
        </is>
      </c>
      <c r="G264" t="inlineStr">
        <is>
          <t>NYKÖPING</t>
        </is>
      </c>
      <c r="I264" t="n">
        <v>1.1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18827-2022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44690</v>
      </c>
      <c r="E265" s="1" t="n">
        <v>46307</v>
      </c>
      <c r="F265" t="inlineStr">
        <is>
          <t>SÖDERMANLANDS LÄN</t>
        </is>
      </c>
      <c r="G265" t="inlineStr">
        <is>
          <t>NYKÖPING</t>
        </is>
      </c>
      <c r="I265" t="n">
        <v>7.9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21137-2023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45062</v>
      </c>
      <c r="E266" s="1" t="n">
        <v>46307</v>
      </c>
      <c r="F266" t="inlineStr">
        <is>
          <t>SÖDERMANLANDS LÄN</t>
        </is>
      </c>
      <c r="G266" t="inlineStr">
        <is>
          <t>NYKÖPING</t>
        </is>
      </c>
      <c r="I266" t="n">
        <v>0.4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10639-2025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45721</v>
      </c>
      <c r="E267" s="1" t="n">
        <v>46307</v>
      </c>
      <c r="F267" t="inlineStr">
        <is>
          <t>SÖDERMANLANDS LÄN</t>
        </is>
      </c>
      <c r="G267" t="inlineStr">
        <is>
          <t>NYKÖPING</t>
        </is>
      </c>
      <c r="I267" t="n">
        <v>2.5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926-2023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44932</v>
      </c>
      <c r="E268" s="1" t="n">
        <v>46307</v>
      </c>
      <c r="F268" t="inlineStr">
        <is>
          <t>SÖDERMANLANDS LÄN</t>
        </is>
      </c>
      <c r="G268" t="inlineStr">
        <is>
          <t>NYKÖPING</t>
        </is>
      </c>
      <c r="I268" t="n">
        <v>0.7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929-2023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44932</v>
      </c>
      <c r="E269" s="1" t="n">
        <v>46307</v>
      </c>
      <c r="F269" t="inlineStr">
        <is>
          <t>SÖDERMANLANDS LÄN</t>
        </is>
      </c>
      <c r="G269" t="inlineStr">
        <is>
          <t>NYKÖPING</t>
        </is>
      </c>
      <c r="I269" t="n">
        <v>1.8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69244-2021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44530</v>
      </c>
      <c r="E270" s="1" t="n">
        <v>46307</v>
      </c>
      <c r="F270" t="inlineStr">
        <is>
          <t>SÖDERMANLANDS LÄN</t>
        </is>
      </c>
      <c r="G270" t="inlineStr">
        <is>
          <t>NYKÖPING</t>
        </is>
      </c>
      <c r="I270" t="n">
        <v>3.2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2368-2023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44942</v>
      </c>
      <c r="E271" s="1" t="n">
        <v>46307</v>
      </c>
      <c r="F271" t="inlineStr">
        <is>
          <t>SÖDERMANLANDS LÄN</t>
        </is>
      </c>
      <c r="G271" t="inlineStr">
        <is>
          <t>NYKÖPING</t>
        </is>
      </c>
      <c r="I271" t="n">
        <v>1.1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41288-2023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45174</v>
      </c>
      <c r="E272" s="1" t="n">
        <v>46307</v>
      </c>
      <c r="F272" t="inlineStr">
        <is>
          <t>SÖDERMANLANDS LÄN</t>
        </is>
      </c>
      <c r="G272" t="inlineStr">
        <is>
          <t>NYKÖPING</t>
        </is>
      </c>
      <c r="H272" t="inlineStr">
        <is>
          <t>Holmen skog AB</t>
        </is>
      </c>
      <c r="I272" t="n">
        <v>1.5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43585-2022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44837</v>
      </c>
      <c r="E273" s="1" t="n">
        <v>46307</v>
      </c>
      <c r="F273" t="inlineStr">
        <is>
          <t>SÖDERMANLANDS LÄN</t>
        </is>
      </c>
      <c r="G273" t="inlineStr">
        <is>
          <t>NYKÖPING</t>
        </is>
      </c>
      <c r="I273" t="n">
        <v>0.9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3475-2023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44949</v>
      </c>
      <c r="E274" s="1" t="n">
        <v>46307</v>
      </c>
      <c r="F274" t="inlineStr">
        <is>
          <t>SÖDERMANLANDS LÄN</t>
        </is>
      </c>
      <c r="G274" t="inlineStr">
        <is>
          <t>NYKÖPING</t>
        </is>
      </c>
      <c r="I274" t="n">
        <v>0.9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33683-2023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45132</v>
      </c>
      <c r="E275" s="1" t="n">
        <v>46307</v>
      </c>
      <c r="F275" t="inlineStr">
        <is>
          <t>SÖDERMANLANDS LÄN</t>
        </is>
      </c>
      <c r="G275" t="inlineStr">
        <is>
          <t>NYKÖPING</t>
        </is>
      </c>
      <c r="H275" t="inlineStr">
        <is>
          <t>Holmen skog AB</t>
        </is>
      </c>
      <c r="I275" t="n">
        <v>0.9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60512-2021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44496</v>
      </c>
      <c r="E276" s="1" t="n">
        <v>46307</v>
      </c>
      <c r="F276" t="inlineStr">
        <is>
          <t>SÖDERMANLANDS LÄN</t>
        </is>
      </c>
      <c r="G276" t="inlineStr">
        <is>
          <t>NYKÖPING</t>
        </is>
      </c>
      <c r="I276" t="n">
        <v>2.5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31392-2022</t>
        </is>
      </c>
      <c r="B277" t="inlineStr">
        <is>
          <t>avverkningsanmälan</t>
        </is>
      </c>
      <c r="C277" t="inlineStr">
        <is>
          <t>Avverkning för annat ändamål</t>
        </is>
      </c>
      <c r="D277" s="1" t="n">
        <v>44774</v>
      </c>
      <c r="E277" s="1" t="n">
        <v>46307</v>
      </c>
      <c r="F277" t="inlineStr">
        <is>
          <t>SÖDERMANLANDS LÄN</t>
        </is>
      </c>
      <c r="G277" t="inlineStr">
        <is>
          <t>NYKÖPING</t>
        </is>
      </c>
      <c r="I277" t="n">
        <v>4.7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42251-2022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44830</v>
      </c>
      <c r="E278" s="1" t="n">
        <v>46307</v>
      </c>
      <c r="F278" t="inlineStr">
        <is>
          <t>SÖDERMANLANDS LÄN</t>
        </is>
      </c>
      <c r="G278" t="inlineStr">
        <is>
          <t>NYKÖPING</t>
        </is>
      </c>
      <c r="I278" t="n">
        <v>2.3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7303-2025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45702</v>
      </c>
      <c r="E279" s="1" t="n">
        <v>46307</v>
      </c>
      <c r="F279" t="inlineStr">
        <is>
          <t>SÖDERMANLANDS LÄN</t>
        </is>
      </c>
      <c r="G279" t="inlineStr">
        <is>
          <t>NYKÖPING</t>
        </is>
      </c>
      <c r="I279" t="n">
        <v>2.5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10435-2022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44623</v>
      </c>
      <c r="E280" s="1" t="n">
        <v>46307</v>
      </c>
      <c r="F280" t="inlineStr">
        <is>
          <t>SÖDERMANLANDS LÄN</t>
        </is>
      </c>
      <c r="G280" t="inlineStr">
        <is>
          <t>NYKÖPING</t>
        </is>
      </c>
      <c r="I280" t="n">
        <v>6.4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33271-2024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45518</v>
      </c>
      <c r="E281" s="1" t="n">
        <v>46307</v>
      </c>
      <c r="F281" t="inlineStr">
        <is>
          <t>SÖDERMANLANDS LÄN</t>
        </is>
      </c>
      <c r="G281" t="inlineStr">
        <is>
          <t>NYKÖPING</t>
        </is>
      </c>
      <c r="I281" t="n">
        <v>5.2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27894-2023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45098</v>
      </c>
      <c r="E282" s="1" t="n">
        <v>46307</v>
      </c>
      <c r="F282" t="inlineStr">
        <is>
          <t>SÖDERMANLANDS LÄN</t>
        </is>
      </c>
      <c r="G282" t="inlineStr">
        <is>
          <t>NYKÖPING</t>
        </is>
      </c>
      <c r="I282" t="n">
        <v>2.3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6348-2023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44965</v>
      </c>
      <c r="E283" s="1" t="n">
        <v>46307</v>
      </c>
      <c r="F283" t="inlineStr">
        <is>
          <t>SÖDERMANLANDS LÄN</t>
        </is>
      </c>
      <c r="G283" t="inlineStr">
        <is>
          <t>NYKÖPING</t>
        </is>
      </c>
      <c r="H283" t="inlineStr">
        <is>
          <t>Kyrkan</t>
        </is>
      </c>
      <c r="I283" t="n">
        <v>3.8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2510-2022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44579</v>
      </c>
      <c r="E284" s="1" t="n">
        <v>46307</v>
      </c>
      <c r="F284" t="inlineStr">
        <is>
          <t>SÖDERMANLANDS LÄN</t>
        </is>
      </c>
      <c r="G284" t="inlineStr">
        <is>
          <t>NYKÖPING</t>
        </is>
      </c>
      <c r="I284" t="n">
        <v>1.2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37361-2024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45540</v>
      </c>
      <c r="E285" s="1" t="n">
        <v>46307</v>
      </c>
      <c r="F285" t="inlineStr">
        <is>
          <t>SÖDERMANLANDS LÄN</t>
        </is>
      </c>
      <c r="G285" t="inlineStr">
        <is>
          <t>NYKÖPING</t>
        </is>
      </c>
      <c r="H285" t="inlineStr">
        <is>
          <t>Holmen skog AB</t>
        </is>
      </c>
      <c r="I285" t="n">
        <v>1.1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5835-2024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45335</v>
      </c>
      <c r="E286" s="1" t="n">
        <v>46307</v>
      </c>
      <c r="F286" t="inlineStr">
        <is>
          <t>SÖDERMANLANDS LÄN</t>
        </is>
      </c>
      <c r="G286" t="inlineStr">
        <is>
          <t>NYKÖPING</t>
        </is>
      </c>
      <c r="H286" t="inlineStr">
        <is>
          <t>Holmen skog AB</t>
        </is>
      </c>
      <c r="I286" t="n">
        <v>0.8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64081-2023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45279</v>
      </c>
      <c r="E287" s="1" t="n">
        <v>46307</v>
      </c>
      <c r="F287" t="inlineStr">
        <is>
          <t>SÖDERMANLANDS LÄN</t>
        </is>
      </c>
      <c r="G287" t="inlineStr">
        <is>
          <t>NYKÖPING</t>
        </is>
      </c>
      <c r="I287" t="n">
        <v>5.3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17897-2024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45419</v>
      </c>
      <c r="E288" s="1" t="n">
        <v>46307</v>
      </c>
      <c r="F288" t="inlineStr">
        <is>
          <t>SÖDERMANLANDS LÄN</t>
        </is>
      </c>
      <c r="G288" t="inlineStr">
        <is>
          <t>NYKÖPING</t>
        </is>
      </c>
      <c r="I288" t="n">
        <v>1.1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17900-2024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45419</v>
      </c>
      <c r="E289" s="1" t="n">
        <v>46307</v>
      </c>
      <c r="F289" t="inlineStr">
        <is>
          <t>SÖDERMANLANDS LÄN</t>
        </is>
      </c>
      <c r="G289" t="inlineStr">
        <is>
          <t>NYKÖPING</t>
        </is>
      </c>
      <c r="I289" t="n">
        <v>2.8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37733-2023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45159</v>
      </c>
      <c r="E290" s="1" t="n">
        <v>46307</v>
      </c>
      <c r="F290" t="inlineStr">
        <is>
          <t>SÖDERMANLANDS LÄN</t>
        </is>
      </c>
      <c r="G290" t="inlineStr">
        <is>
          <t>NYKÖPING</t>
        </is>
      </c>
      <c r="H290" t="inlineStr">
        <is>
          <t>Kommuner</t>
        </is>
      </c>
      <c r="I290" t="n">
        <v>3.9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12139-2025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45729</v>
      </c>
      <c r="E291" s="1" t="n">
        <v>46307</v>
      </c>
      <c r="F291" t="inlineStr">
        <is>
          <t>SÖDERMANLANDS LÄN</t>
        </is>
      </c>
      <c r="G291" t="inlineStr">
        <is>
          <t>NYKÖPING</t>
        </is>
      </c>
      <c r="I291" t="n">
        <v>1.4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12140-2025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45729</v>
      </c>
      <c r="E292" s="1" t="n">
        <v>46307</v>
      </c>
      <c r="F292" t="inlineStr">
        <is>
          <t>SÖDERMANLANDS LÄN</t>
        </is>
      </c>
      <c r="G292" t="inlineStr">
        <is>
          <t>NYKÖPING</t>
        </is>
      </c>
      <c r="I292" t="n">
        <v>6.3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62432-2023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45268</v>
      </c>
      <c r="E293" s="1" t="n">
        <v>46307</v>
      </c>
      <c r="F293" t="inlineStr">
        <is>
          <t>SÖDERMANLANDS LÄN</t>
        </is>
      </c>
      <c r="G293" t="inlineStr">
        <is>
          <t>NYKÖPING</t>
        </is>
      </c>
      <c r="I293" t="n">
        <v>3.7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1745-2023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44938</v>
      </c>
      <c r="E294" s="1" t="n">
        <v>46307</v>
      </c>
      <c r="F294" t="inlineStr">
        <is>
          <t>SÖDERMANLANDS LÄN</t>
        </is>
      </c>
      <c r="G294" t="inlineStr">
        <is>
          <t>NYKÖPING</t>
        </is>
      </c>
      <c r="I294" t="n">
        <v>2.2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65174-2023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45288</v>
      </c>
      <c r="E295" s="1" t="n">
        <v>46307</v>
      </c>
      <c r="F295" t="inlineStr">
        <is>
          <t>SÖDERMANLANDS LÄN</t>
        </is>
      </c>
      <c r="G295" t="inlineStr">
        <is>
          <t>NYKÖPING</t>
        </is>
      </c>
      <c r="I295" t="n">
        <v>1.1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73877-2021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44553</v>
      </c>
      <c r="E296" s="1" t="n">
        <v>46307</v>
      </c>
      <c r="F296" t="inlineStr">
        <is>
          <t>SÖDERMANLANDS LÄN</t>
        </is>
      </c>
      <c r="G296" t="inlineStr">
        <is>
          <t>NYKÖPING</t>
        </is>
      </c>
      <c r="H296" t="inlineStr">
        <is>
          <t>Holmen skog AB</t>
        </is>
      </c>
      <c r="I296" t="n">
        <v>1.1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51216-2024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45603</v>
      </c>
      <c r="E297" s="1" t="n">
        <v>46307</v>
      </c>
      <c r="F297" t="inlineStr">
        <is>
          <t>SÖDERMANLANDS LÄN</t>
        </is>
      </c>
      <c r="G297" t="inlineStr">
        <is>
          <t>NYKÖPING</t>
        </is>
      </c>
      <c r="H297" t="inlineStr">
        <is>
          <t>Sveaskog</t>
        </is>
      </c>
      <c r="I297" t="n">
        <v>2.3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9167-2023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44980</v>
      </c>
      <c r="E298" s="1" t="n">
        <v>46307</v>
      </c>
      <c r="F298" t="inlineStr">
        <is>
          <t>SÖDERMANLANDS LÄN</t>
        </is>
      </c>
      <c r="G298" t="inlineStr">
        <is>
          <t>NYKÖPING</t>
        </is>
      </c>
      <c r="I298" t="n">
        <v>6.9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11978-2023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44995</v>
      </c>
      <c r="E299" s="1" t="n">
        <v>46307</v>
      </c>
      <c r="F299" t="inlineStr">
        <is>
          <t>SÖDERMANLANDS LÄN</t>
        </is>
      </c>
      <c r="G299" t="inlineStr">
        <is>
          <t>NYKÖPING</t>
        </is>
      </c>
      <c r="I299" t="n">
        <v>2.1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51244-2024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45603</v>
      </c>
      <c r="E300" s="1" t="n">
        <v>46307</v>
      </c>
      <c r="F300" t="inlineStr">
        <is>
          <t>SÖDERMANLANDS LÄN</t>
        </is>
      </c>
      <c r="G300" t="inlineStr">
        <is>
          <t>NYKÖPING</t>
        </is>
      </c>
      <c r="H300" t="inlineStr">
        <is>
          <t>Sveaskog</t>
        </is>
      </c>
      <c r="I300" t="n">
        <v>1.1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9200-2023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44976</v>
      </c>
      <c r="E301" s="1" t="n">
        <v>46307</v>
      </c>
      <c r="F301" t="inlineStr">
        <is>
          <t>SÖDERMANLANDS LÄN</t>
        </is>
      </c>
      <c r="G301" t="inlineStr">
        <is>
          <t>NYKÖPING</t>
        </is>
      </c>
      <c r="I301" t="n">
        <v>11.1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68500-2021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44529</v>
      </c>
      <c r="E302" s="1" t="n">
        <v>46307</v>
      </c>
      <c r="F302" t="inlineStr">
        <is>
          <t>SÖDERMANLANDS LÄN</t>
        </is>
      </c>
      <c r="G302" t="inlineStr">
        <is>
          <t>NYKÖPING</t>
        </is>
      </c>
      <c r="H302" t="inlineStr">
        <is>
          <t>Övriga Aktiebolag</t>
        </is>
      </c>
      <c r="I302" t="n">
        <v>13.1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38735-2023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45161</v>
      </c>
      <c r="E303" s="1" t="n">
        <v>46307</v>
      </c>
      <c r="F303" t="inlineStr">
        <is>
          <t>SÖDERMANLANDS LÄN</t>
        </is>
      </c>
      <c r="G303" t="inlineStr">
        <is>
          <t>NYKÖPING</t>
        </is>
      </c>
      <c r="I303" t="n">
        <v>0.4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35361-2025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45854</v>
      </c>
      <c r="E304" s="1" t="n">
        <v>46307</v>
      </c>
      <c r="F304" t="inlineStr">
        <is>
          <t>SÖDERMANLANDS LÄN</t>
        </is>
      </c>
      <c r="G304" t="inlineStr">
        <is>
          <t>NYKÖPING</t>
        </is>
      </c>
      <c r="I304" t="n">
        <v>5.3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39068-2025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45888</v>
      </c>
      <c r="E305" s="1" t="n">
        <v>46307</v>
      </c>
      <c r="F305" t="inlineStr">
        <is>
          <t>SÖDERMANLANDS LÄN</t>
        </is>
      </c>
      <c r="G305" t="inlineStr">
        <is>
          <t>NYKÖPING</t>
        </is>
      </c>
      <c r="I305" t="n">
        <v>15.2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59733-2021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44494</v>
      </c>
      <c r="E306" s="1" t="n">
        <v>46307</v>
      </c>
      <c r="F306" t="inlineStr">
        <is>
          <t>SÖDERMANLANDS LÄN</t>
        </is>
      </c>
      <c r="G306" t="inlineStr">
        <is>
          <t>NYKÖPING</t>
        </is>
      </c>
      <c r="I306" t="n">
        <v>1.4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12826-2024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45384</v>
      </c>
      <c r="E307" s="1" t="n">
        <v>46307</v>
      </c>
      <c r="F307" t="inlineStr">
        <is>
          <t>SÖDERMANLANDS LÄN</t>
        </is>
      </c>
      <c r="G307" t="inlineStr">
        <is>
          <t>NYKÖPING</t>
        </is>
      </c>
      <c r="I307" t="n">
        <v>0.7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1398-2023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44936</v>
      </c>
      <c r="E308" s="1" t="n">
        <v>46307</v>
      </c>
      <c r="F308" t="inlineStr">
        <is>
          <t>SÖDERMANLANDS LÄN</t>
        </is>
      </c>
      <c r="G308" t="inlineStr">
        <is>
          <t>NYKÖPING</t>
        </is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68401-2021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44529</v>
      </c>
      <c r="E309" s="1" t="n">
        <v>46307</v>
      </c>
      <c r="F309" t="inlineStr">
        <is>
          <t>SÖDERMANLANDS LÄN</t>
        </is>
      </c>
      <c r="G309" t="inlineStr">
        <is>
          <t>NYKÖPING</t>
        </is>
      </c>
      <c r="H309" t="inlineStr">
        <is>
          <t>Övriga Aktiebolag</t>
        </is>
      </c>
      <c r="I309" t="n">
        <v>16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70749-2021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44536</v>
      </c>
      <c r="E310" s="1" t="n">
        <v>46307</v>
      </c>
      <c r="F310" t="inlineStr">
        <is>
          <t>SÖDERMANLANDS LÄN</t>
        </is>
      </c>
      <c r="G310" t="inlineStr">
        <is>
          <t>NYKÖPING</t>
        </is>
      </c>
      <c r="I310" t="n">
        <v>5.1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29551-2023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45106</v>
      </c>
      <c r="E311" s="1" t="n">
        <v>46307</v>
      </c>
      <c r="F311" t="inlineStr">
        <is>
          <t>SÖDERMANLANDS LÄN</t>
        </is>
      </c>
      <c r="G311" t="inlineStr">
        <is>
          <t>NYKÖPING</t>
        </is>
      </c>
      <c r="I311" t="n">
        <v>5.1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4150-2025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45685</v>
      </c>
      <c r="E312" s="1" t="n">
        <v>46307</v>
      </c>
      <c r="F312" t="inlineStr">
        <is>
          <t>SÖDERMANLANDS LÄN</t>
        </is>
      </c>
      <c r="G312" t="inlineStr">
        <is>
          <t>NYKÖPING</t>
        </is>
      </c>
      <c r="H312" t="inlineStr">
        <is>
          <t>Holmen skog AB</t>
        </is>
      </c>
      <c r="I312" t="n">
        <v>9.800000000000001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1558-2024</t>
        </is>
      </c>
      <c r="B313" t="inlineStr">
        <is>
          <t>avverkningsanmälan</t>
        </is>
      </c>
      <c r="C313" t="inlineStr">
        <is>
          <t>Avverkning för annat ändamål</t>
        </is>
      </c>
      <c r="D313" s="1" t="n">
        <v>45306</v>
      </c>
      <c r="E313" s="1" t="n">
        <v>46307</v>
      </c>
      <c r="F313" t="inlineStr">
        <is>
          <t>SÖDERMANLANDS LÄN</t>
        </is>
      </c>
      <c r="G313" t="inlineStr">
        <is>
          <t>NYKÖPING</t>
        </is>
      </c>
      <c r="I313" t="n">
        <v>2.1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51259-2024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45603</v>
      </c>
      <c r="E314" s="1" t="n">
        <v>46307</v>
      </c>
      <c r="F314" t="inlineStr">
        <is>
          <t>SÖDERMANLANDS LÄN</t>
        </is>
      </c>
      <c r="G314" t="inlineStr">
        <is>
          <t>NYKÖPING</t>
        </is>
      </c>
      <c r="H314" t="inlineStr">
        <is>
          <t>Sveaskog</t>
        </is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11638-2024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45373</v>
      </c>
      <c r="E315" s="1" t="n">
        <v>46307</v>
      </c>
      <c r="F315" t="inlineStr">
        <is>
          <t>SÖDERMANLANDS LÄN</t>
        </is>
      </c>
      <c r="G315" t="inlineStr">
        <is>
          <t>NYKÖPING</t>
        </is>
      </c>
      <c r="I315" t="n">
        <v>0.7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47138-2023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45201</v>
      </c>
      <c r="E316" s="1" t="n">
        <v>46307</v>
      </c>
      <c r="F316" t="inlineStr">
        <is>
          <t>SÖDERMANLANDS LÄN</t>
        </is>
      </c>
      <c r="G316" t="inlineStr">
        <is>
          <t>NYKÖPING</t>
        </is>
      </c>
      <c r="I316" t="n">
        <v>7.3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16460-2023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45029</v>
      </c>
      <c r="E317" s="1" t="n">
        <v>46307</v>
      </c>
      <c r="F317" t="inlineStr">
        <is>
          <t>SÖDERMANLANDS LÄN</t>
        </is>
      </c>
      <c r="G317" t="inlineStr">
        <is>
          <t>NYKÖPING</t>
        </is>
      </c>
      <c r="I317" t="n">
        <v>0.5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21984-2024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45443</v>
      </c>
      <c r="E318" s="1" t="n">
        <v>46307</v>
      </c>
      <c r="F318" t="inlineStr">
        <is>
          <t>SÖDERMANLANDS LÄN</t>
        </is>
      </c>
      <c r="G318" t="inlineStr">
        <is>
          <t>NYKÖPING</t>
        </is>
      </c>
      <c r="H318" t="inlineStr">
        <is>
          <t>Holmen skog AB</t>
        </is>
      </c>
      <c r="I318" t="n">
        <v>1.3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18525-2024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45424</v>
      </c>
      <c r="E319" s="1" t="n">
        <v>46307</v>
      </c>
      <c r="F319" t="inlineStr">
        <is>
          <t>SÖDERMANLANDS LÄN</t>
        </is>
      </c>
      <c r="G319" t="inlineStr">
        <is>
          <t>NYKÖPING</t>
        </is>
      </c>
      <c r="I319" t="n">
        <v>7.4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11718-2023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44992</v>
      </c>
      <c r="E320" s="1" t="n">
        <v>46307</v>
      </c>
      <c r="F320" t="inlineStr">
        <is>
          <t>SÖDERMANLANDS LÄN</t>
        </is>
      </c>
      <c r="G320" t="inlineStr">
        <is>
          <t>NYKÖPING</t>
        </is>
      </c>
      <c r="I320" t="n">
        <v>1.6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3571-2023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44950</v>
      </c>
      <c r="E321" s="1" t="n">
        <v>46307</v>
      </c>
      <c r="F321" t="inlineStr">
        <is>
          <t>SÖDERMANLANDS LÄN</t>
        </is>
      </c>
      <c r="G321" t="inlineStr">
        <is>
          <t>NYKÖPING</t>
        </is>
      </c>
      <c r="I321" t="n">
        <v>1.8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2513-2022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44579</v>
      </c>
      <c r="E322" s="1" t="n">
        <v>46307</v>
      </c>
      <c r="F322" t="inlineStr">
        <is>
          <t>SÖDERMANLANDS LÄN</t>
        </is>
      </c>
      <c r="G322" t="inlineStr">
        <is>
          <t>NYKÖPING</t>
        </is>
      </c>
      <c r="I322" t="n">
        <v>0.7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67857-2021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44525</v>
      </c>
      <c r="E323" s="1" t="n">
        <v>46307</v>
      </c>
      <c r="F323" t="inlineStr">
        <is>
          <t>SÖDERMANLANDS LÄN</t>
        </is>
      </c>
      <c r="G323" t="inlineStr">
        <is>
          <t>NYKÖPING</t>
        </is>
      </c>
      <c r="H323" t="inlineStr">
        <is>
          <t>Sveaskog</t>
        </is>
      </c>
      <c r="I323" t="n">
        <v>1.2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8324-2024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45350</v>
      </c>
      <c r="E324" s="1" t="n">
        <v>46307</v>
      </c>
      <c r="F324" t="inlineStr">
        <is>
          <t>SÖDERMANLANDS LÄN</t>
        </is>
      </c>
      <c r="G324" t="inlineStr">
        <is>
          <t>NYKÖPING</t>
        </is>
      </c>
      <c r="I324" t="n">
        <v>3.1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17832-2024</t>
        </is>
      </c>
      <c r="B325" t="inlineStr">
        <is>
          <t>avverkningsanmälan</t>
        </is>
      </c>
      <c r="C325" t="inlineStr">
        <is>
          <t>Avverkning för annat ändamål</t>
        </is>
      </c>
      <c r="D325" s="1" t="n">
        <v>45418</v>
      </c>
      <c r="E325" s="1" t="n">
        <v>46307</v>
      </c>
      <c r="F325" t="inlineStr">
        <is>
          <t>SÖDERMANLANDS LÄN</t>
        </is>
      </c>
      <c r="G325" t="inlineStr">
        <is>
          <t>NYKÖPING</t>
        </is>
      </c>
      <c r="H325" t="inlineStr">
        <is>
          <t>Kommuner</t>
        </is>
      </c>
      <c r="I325" t="n">
        <v>1.5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1742-2023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44938</v>
      </c>
      <c r="E326" s="1" t="n">
        <v>46307</v>
      </c>
      <c r="F326" t="inlineStr">
        <is>
          <t>SÖDERMANLANDS LÄN</t>
        </is>
      </c>
      <c r="G326" t="inlineStr">
        <is>
          <t>NYKÖPING</t>
        </is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1912-2022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44575</v>
      </c>
      <c r="E327" s="1" t="n">
        <v>46307</v>
      </c>
      <c r="F327" t="inlineStr">
        <is>
          <t>SÖDERMANLANDS LÄN</t>
        </is>
      </c>
      <c r="G327" t="inlineStr">
        <is>
          <t>NYKÖPING</t>
        </is>
      </c>
      <c r="I327" t="n">
        <v>3.3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36015-2023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45148</v>
      </c>
      <c r="E328" s="1" t="n">
        <v>46307</v>
      </c>
      <c r="F328" t="inlineStr">
        <is>
          <t>SÖDERMANLANDS LÄN</t>
        </is>
      </c>
      <c r="G328" t="inlineStr">
        <is>
          <t>NYKÖPING</t>
        </is>
      </c>
      <c r="I328" t="n">
        <v>2.1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8751-2023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44978</v>
      </c>
      <c r="E329" s="1" t="n">
        <v>46307</v>
      </c>
      <c r="F329" t="inlineStr">
        <is>
          <t>SÖDERMANLANDS LÄN</t>
        </is>
      </c>
      <c r="G329" t="inlineStr">
        <is>
          <t>NYKÖPING</t>
        </is>
      </c>
      <c r="I329" t="n">
        <v>6.5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61007-2021</t>
        </is>
      </c>
      <c r="B330" t="inlineStr">
        <is>
          <t>avverkningsanmälan</t>
        </is>
      </c>
      <c r="C330" t="inlineStr">
        <is>
          <t>Avverkning för annat ändamål</t>
        </is>
      </c>
      <c r="D330" s="1" t="n">
        <v>44497</v>
      </c>
      <c r="E330" s="1" t="n">
        <v>46307</v>
      </c>
      <c r="F330" t="inlineStr">
        <is>
          <t>SÖDERMANLANDS LÄN</t>
        </is>
      </c>
      <c r="G330" t="inlineStr">
        <is>
          <t>NYKÖPING</t>
        </is>
      </c>
      <c r="I330" t="n">
        <v>2.7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4877-2024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45329</v>
      </c>
      <c r="E331" s="1" t="n">
        <v>46307</v>
      </c>
      <c r="F331" t="inlineStr">
        <is>
          <t>SÖDERMANLANDS LÄN</t>
        </is>
      </c>
      <c r="G331" t="inlineStr">
        <is>
          <t>NYKÖPING</t>
        </is>
      </c>
      <c r="I331" t="n">
        <v>4.2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68041-2021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44525</v>
      </c>
      <c r="E332" s="1" t="n">
        <v>46307</v>
      </c>
      <c r="F332" t="inlineStr">
        <is>
          <t>SÖDERMANLANDS LÄN</t>
        </is>
      </c>
      <c r="G332" t="inlineStr">
        <is>
          <t>NYKÖPING</t>
        </is>
      </c>
      <c r="I332" t="n">
        <v>0.8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36573-2024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45537</v>
      </c>
      <c r="E333" s="1" t="n">
        <v>46307</v>
      </c>
      <c r="F333" t="inlineStr">
        <is>
          <t>SÖDERMANLANDS LÄN</t>
        </is>
      </c>
      <c r="G333" t="inlineStr">
        <is>
          <t>NYKÖPING</t>
        </is>
      </c>
      <c r="H333" t="inlineStr">
        <is>
          <t>Kommuner</t>
        </is>
      </c>
      <c r="I333" t="n">
        <v>4.8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2900-2024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45315</v>
      </c>
      <c r="E334" s="1" t="n">
        <v>46307</v>
      </c>
      <c r="F334" t="inlineStr">
        <is>
          <t>SÖDERMANLANDS LÄN</t>
        </is>
      </c>
      <c r="G334" t="inlineStr">
        <is>
          <t>NYKÖPING</t>
        </is>
      </c>
      <c r="H334" t="inlineStr">
        <is>
          <t>Kyrkan</t>
        </is>
      </c>
      <c r="I334" t="n">
        <v>2.2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8388-2024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45352</v>
      </c>
      <c r="E335" s="1" t="n">
        <v>46307</v>
      </c>
      <c r="F335" t="inlineStr">
        <is>
          <t>SÖDERMANLANDS LÄN</t>
        </is>
      </c>
      <c r="G335" t="inlineStr">
        <is>
          <t>NYKÖPING</t>
        </is>
      </c>
      <c r="H335" t="inlineStr">
        <is>
          <t>Sveaskog</t>
        </is>
      </c>
      <c r="I335" t="n">
        <v>0.5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8392-2024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45352</v>
      </c>
      <c r="E336" s="1" t="n">
        <v>46307</v>
      </c>
      <c r="F336" t="inlineStr">
        <is>
          <t>SÖDERMANLANDS LÄN</t>
        </is>
      </c>
      <c r="G336" t="inlineStr">
        <is>
          <t>NYKÖPING</t>
        </is>
      </c>
      <c r="H336" t="inlineStr">
        <is>
          <t>Kommuner</t>
        </is>
      </c>
      <c r="I336" t="n">
        <v>1.5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56268-2022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44890</v>
      </c>
      <c r="E337" s="1" t="n">
        <v>46307</v>
      </c>
      <c r="F337" t="inlineStr">
        <is>
          <t>SÖDERMANLANDS LÄN</t>
        </is>
      </c>
      <c r="G337" t="inlineStr">
        <is>
          <t>NYKÖPING</t>
        </is>
      </c>
      <c r="H337" t="inlineStr">
        <is>
          <t>Övriga Aktiebolag</t>
        </is>
      </c>
      <c r="I337" t="n">
        <v>0.5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72679-2021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44546</v>
      </c>
      <c r="E338" s="1" t="n">
        <v>46307</v>
      </c>
      <c r="F338" t="inlineStr">
        <is>
          <t>SÖDERMANLANDS LÄN</t>
        </is>
      </c>
      <c r="G338" t="inlineStr">
        <is>
          <t>NYKÖPING</t>
        </is>
      </c>
      <c r="I338" t="n">
        <v>2.1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27206-2023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45096</v>
      </c>
      <c r="E339" s="1" t="n">
        <v>46307</v>
      </c>
      <c r="F339" t="inlineStr">
        <is>
          <t>SÖDERMANLANDS LÄN</t>
        </is>
      </c>
      <c r="G339" t="inlineStr">
        <is>
          <t>NYKÖPING</t>
        </is>
      </c>
      <c r="H339" t="inlineStr">
        <is>
          <t>Övriga Aktiebolag</t>
        </is>
      </c>
      <c r="I339" t="n">
        <v>0.6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57633-2024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45630</v>
      </c>
      <c r="E340" s="1" t="n">
        <v>46307</v>
      </c>
      <c r="F340" t="inlineStr">
        <is>
          <t>SÖDERMANLANDS LÄN</t>
        </is>
      </c>
      <c r="G340" t="inlineStr">
        <is>
          <t>NYKÖPING</t>
        </is>
      </c>
      <c r="I340" t="n">
        <v>1.1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44824-2023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45190</v>
      </c>
      <c r="E341" s="1" t="n">
        <v>46307</v>
      </c>
      <c r="F341" t="inlineStr">
        <is>
          <t>SÖDERMANLANDS LÄN</t>
        </is>
      </c>
      <c r="G341" t="inlineStr">
        <is>
          <t>NYKÖPING</t>
        </is>
      </c>
      <c r="H341" t="inlineStr">
        <is>
          <t>Holmen skog AB</t>
        </is>
      </c>
      <c r="I341" t="n">
        <v>2.1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1638-2024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45306</v>
      </c>
      <c r="E342" s="1" t="n">
        <v>46307</v>
      </c>
      <c r="F342" t="inlineStr">
        <is>
          <t>SÖDERMANLANDS LÄN</t>
        </is>
      </c>
      <c r="G342" t="inlineStr">
        <is>
          <t>NYKÖPING</t>
        </is>
      </c>
      <c r="H342" t="inlineStr">
        <is>
          <t>Kommuner</t>
        </is>
      </c>
      <c r="I342" t="n">
        <v>1.2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7045-2023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44968</v>
      </c>
      <c r="E343" s="1" t="n">
        <v>46307</v>
      </c>
      <c r="F343" t="inlineStr">
        <is>
          <t>SÖDERMANLANDS LÄN</t>
        </is>
      </c>
      <c r="G343" t="inlineStr">
        <is>
          <t>NYKÖPING</t>
        </is>
      </c>
      <c r="I343" t="n">
        <v>1.9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20482-2025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45775</v>
      </c>
      <c r="E344" s="1" t="n">
        <v>46307</v>
      </c>
      <c r="F344" t="inlineStr">
        <is>
          <t>SÖDERMANLANDS LÄN</t>
        </is>
      </c>
      <c r="G344" t="inlineStr">
        <is>
          <t>NYKÖPING</t>
        </is>
      </c>
      <c r="H344" t="inlineStr">
        <is>
          <t>Kommuner</t>
        </is>
      </c>
      <c r="I344" t="n">
        <v>4.8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14257-2024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45393</v>
      </c>
      <c r="E345" s="1" t="n">
        <v>46307</v>
      </c>
      <c r="F345" t="inlineStr">
        <is>
          <t>SÖDERMANLANDS LÄN</t>
        </is>
      </c>
      <c r="G345" t="inlineStr">
        <is>
          <t>NYKÖPING</t>
        </is>
      </c>
      <c r="I345" t="n">
        <v>4.2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23207-2024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45452</v>
      </c>
      <c r="E346" s="1" t="n">
        <v>46307</v>
      </c>
      <c r="F346" t="inlineStr">
        <is>
          <t>SÖDERMANLANDS LÄN</t>
        </is>
      </c>
      <c r="G346" t="inlineStr">
        <is>
          <t>NYKÖPING</t>
        </is>
      </c>
      <c r="I346" t="n">
        <v>2.6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36163-2023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45149</v>
      </c>
      <c r="E347" s="1" t="n">
        <v>46307</v>
      </c>
      <c r="F347" t="inlineStr">
        <is>
          <t>SÖDERMANLANDS LÄN</t>
        </is>
      </c>
      <c r="G347" t="inlineStr">
        <is>
          <t>NYKÖPING</t>
        </is>
      </c>
      <c r="H347" t="inlineStr">
        <is>
          <t>Kommuner</t>
        </is>
      </c>
      <c r="I347" t="n">
        <v>1.7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44236-2025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45915</v>
      </c>
      <c r="E348" s="1" t="n">
        <v>46307</v>
      </c>
      <c r="F348" t="inlineStr">
        <is>
          <t>SÖDERMANLANDS LÄN</t>
        </is>
      </c>
      <c r="G348" t="inlineStr">
        <is>
          <t>NYKÖPING</t>
        </is>
      </c>
      <c r="H348" t="inlineStr">
        <is>
          <t>Holmen skog AB</t>
        </is>
      </c>
      <c r="I348" t="n">
        <v>2.7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41241-2023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45173</v>
      </c>
      <c r="E349" s="1" t="n">
        <v>46307</v>
      </c>
      <c r="F349" t="inlineStr">
        <is>
          <t>SÖDERMANLANDS LÄN</t>
        </is>
      </c>
      <c r="G349" t="inlineStr">
        <is>
          <t>NYKÖPING</t>
        </is>
      </c>
      <c r="I349" t="n">
        <v>1.8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70092-2021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44536</v>
      </c>
      <c r="E350" s="1" t="n">
        <v>46307</v>
      </c>
      <c r="F350" t="inlineStr">
        <is>
          <t>SÖDERMANLANDS LÄN</t>
        </is>
      </c>
      <c r="G350" t="inlineStr">
        <is>
          <t>NYKÖPING</t>
        </is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18941-2023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45044</v>
      </c>
      <c r="E351" s="1" t="n">
        <v>46307</v>
      </c>
      <c r="F351" t="inlineStr">
        <is>
          <t>SÖDERMANLANDS LÄN</t>
        </is>
      </c>
      <c r="G351" t="inlineStr">
        <is>
          <t>NYKÖPING</t>
        </is>
      </c>
      <c r="I351" t="n">
        <v>0.9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68024-2021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44525</v>
      </c>
      <c r="E352" s="1" t="n">
        <v>46307</v>
      </c>
      <c r="F352" t="inlineStr">
        <is>
          <t>SÖDERMANLANDS LÄN</t>
        </is>
      </c>
      <c r="G352" t="inlineStr">
        <is>
          <t>NYKÖPING</t>
        </is>
      </c>
      <c r="I352" t="n">
        <v>0.8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68030-2021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44525</v>
      </c>
      <c r="E353" s="1" t="n">
        <v>46307</v>
      </c>
      <c r="F353" t="inlineStr">
        <is>
          <t>SÖDERMANLANDS LÄN</t>
        </is>
      </c>
      <c r="G353" t="inlineStr">
        <is>
          <t>NYKÖPING</t>
        </is>
      </c>
      <c r="I353" t="n">
        <v>3.7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20327-2023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45056</v>
      </c>
      <c r="E354" s="1" t="n">
        <v>46307</v>
      </c>
      <c r="F354" t="inlineStr">
        <is>
          <t>SÖDERMANLANDS LÄN</t>
        </is>
      </c>
      <c r="G354" t="inlineStr">
        <is>
          <t>NYKÖPING</t>
        </is>
      </c>
      <c r="I354" t="n">
        <v>0.3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33669-2023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45132</v>
      </c>
      <c r="E355" s="1" t="n">
        <v>46307</v>
      </c>
      <c r="F355" t="inlineStr">
        <is>
          <t>SÖDERMANLANDS LÄN</t>
        </is>
      </c>
      <c r="G355" t="inlineStr">
        <is>
          <t>NYKÖPING</t>
        </is>
      </c>
      <c r="H355" t="inlineStr">
        <is>
          <t>Holmen skog AB</t>
        </is>
      </c>
      <c r="I355" t="n">
        <v>5.9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35951-2023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45148</v>
      </c>
      <c r="E356" s="1" t="n">
        <v>46307</v>
      </c>
      <c r="F356" t="inlineStr">
        <is>
          <t>SÖDERMANLANDS LÄN</t>
        </is>
      </c>
      <c r="G356" t="inlineStr">
        <is>
          <t>NYKÖPING</t>
        </is>
      </c>
      <c r="H356" t="inlineStr">
        <is>
          <t>Kommuner</t>
        </is>
      </c>
      <c r="I356" t="n">
        <v>0.8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38472-2023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45162</v>
      </c>
      <c r="E357" s="1" t="n">
        <v>46307</v>
      </c>
      <c r="F357" t="inlineStr">
        <is>
          <t>SÖDERMANLANDS LÄN</t>
        </is>
      </c>
      <c r="G357" t="inlineStr">
        <is>
          <t>NYKÖPING</t>
        </is>
      </c>
      <c r="H357" t="inlineStr">
        <is>
          <t>Kommuner</t>
        </is>
      </c>
      <c r="I357" t="n">
        <v>2.7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38512-2023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45162</v>
      </c>
      <c r="E358" s="1" t="n">
        <v>46307</v>
      </c>
      <c r="F358" t="inlineStr">
        <is>
          <t>SÖDERMANLANDS LÄN</t>
        </is>
      </c>
      <c r="G358" t="inlineStr">
        <is>
          <t>NYKÖPING</t>
        </is>
      </c>
      <c r="H358" t="inlineStr">
        <is>
          <t>Kommuner</t>
        </is>
      </c>
      <c r="I358" t="n">
        <v>3.3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56322-2023</t>
        </is>
      </c>
      <c r="B359" t="inlineStr">
        <is>
          <t>avverkningsanmälan</t>
        </is>
      </c>
      <c r="C359" t="inlineStr">
        <is>
          <t>Avverkning för annat ändamål</t>
        </is>
      </c>
      <c r="D359" s="1" t="n">
        <v>45243</v>
      </c>
      <c r="E359" s="1" t="n">
        <v>46307</v>
      </c>
      <c r="F359" t="inlineStr">
        <is>
          <t>SÖDERMANLANDS LÄN</t>
        </is>
      </c>
      <c r="G359" t="inlineStr">
        <is>
          <t>NYKÖPING</t>
        </is>
      </c>
      <c r="H359" t="inlineStr">
        <is>
          <t>Kommuner</t>
        </is>
      </c>
      <c r="I359" t="n">
        <v>0.3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2041-2022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44575</v>
      </c>
      <c r="E360" s="1" t="n">
        <v>46307</v>
      </c>
      <c r="F360" t="inlineStr">
        <is>
          <t>SÖDERMANLANDS LÄN</t>
        </is>
      </c>
      <c r="G360" t="inlineStr">
        <is>
          <t>NYKÖPING</t>
        </is>
      </c>
      <c r="I360" t="n">
        <v>1.1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42525-2023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45181</v>
      </c>
      <c r="E361" s="1" t="n">
        <v>46307</v>
      </c>
      <c r="F361" t="inlineStr">
        <is>
          <t>SÖDERMANLANDS LÄN</t>
        </is>
      </c>
      <c r="G361" t="inlineStr">
        <is>
          <t>NYKÖPING</t>
        </is>
      </c>
      <c r="I361" t="n">
        <v>3.1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51558-2024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45604</v>
      </c>
      <c r="E362" s="1" t="n">
        <v>46307</v>
      </c>
      <c r="F362" t="inlineStr">
        <is>
          <t>SÖDERMANLANDS LÄN</t>
        </is>
      </c>
      <c r="G362" t="inlineStr">
        <is>
          <t>NYKÖPING</t>
        </is>
      </c>
      <c r="I362" t="n">
        <v>2.1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45123-2025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45919</v>
      </c>
      <c r="E363" s="1" t="n">
        <v>46307</v>
      </c>
      <c r="F363" t="inlineStr">
        <is>
          <t>SÖDERMANLANDS LÄN</t>
        </is>
      </c>
      <c r="G363" t="inlineStr">
        <is>
          <t>NYKÖPING</t>
        </is>
      </c>
      <c r="I363" t="n">
        <v>2.5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2939-2022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44581</v>
      </c>
      <c r="E364" s="1" t="n">
        <v>46307</v>
      </c>
      <c r="F364" t="inlineStr">
        <is>
          <t>SÖDERMANLANDS LÄN</t>
        </is>
      </c>
      <c r="G364" t="inlineStr">
        <is>
          <t>NYKÖPING</t>
        </is>
      </c>
      <c r="I364" t="n">
        <v>2.4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58553-2024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45635</v>
      </c>
      <c r="E365" s="1" t="n">
        <v>46307</v>
      </c>
      <c r="F365" t="inlineStr">
        <is>
          <t>SÖDERMANLANDS LÄN</t>
        </is>
      </c>
      <c r="G365" t="inlineStr">
        <is>
          <t>NYKÖPING</t>
        </is>
      </c>
      <c r="I365" t="n">
        <v>1.8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35469-2023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45146</v>
      </c>
      <c r="E366" s="1" t="n">
        <v>46307</v>
      </c>
      <c r="F366" t="inlineStr">
        <is>
          <t>SÖDERMANLANDS LÄN</t>
        </is>
      </c>
      <c r="G366" t="inlineStr">
        <is>
          <t>NYKÖPING</t>
        </is>
      </c>
      <c r="H366" t="inlineStr">
        <is>
          <t>Holmen skog AB</t>
        </is>
      </c>
      <c r="I366" t="n">
        <v>1.1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13296-2023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45005</v>
      </c>
      <c r="E367" s="1" t="n">
        <v>46307</v>
      </c>
      <c r="F367" t="inlineStr">
        <is>
          <t>SÖDERMANLANDS LÄN</t>
        </is>
      </c>
      <c r="G367" t="inlineStr">
        <is>
          <t>NYKÖPING</t>
        </is>
      </c>
      <c r="I367" t="n">
        <v>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38034-2023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45160</v>
      </c>
      <c r="E368" s="1" t="n">
        <v>46307</v>
      </c>
      <c r="F368" t="inlineStr">
        <is>
          <t>SÖDERMANLANDS LÄN</t>
        </is>
      </c>
      <c r="G368" t="inlineStr">
        <is>
          <t>NYKÖPING</t>
        </is>
      </c>
      <c r="H368" t="inlineStr">
        <is>
          <t>Kommuner</t>
        </is>
      </c>
      <c r="I368" t="n">
        <v>1.7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11908-2023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44995</v>
      </c>
      <c r="E369" s="1" t="n">
        <v>46307</v>
      </c>
      <c r="F369" t="inlineStr">
        <is>
          <t>SÖDERMANLANDS LÄN</t>
        </is>
      </c>
      <c r="G369" t="inlineStr">
        <is>
          <t>NYKÖPING</t>
        </is>
      </c>
      <c r="I369" t="n">
        <v>1.9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65109-2021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44515</v>
      </c>
      <c r="E370" s="1" t="n">
        <v>46307</v>
      </c>
      <c r="F370" t="inlineStr">
        <is>
          <t>SÖDERMANLANDS LÄN</t>
        </is>
      </c>
      <c r="G370" t="inlineStr">
        <is>
          <t>NYKÖPING</t>
        </is>
      </c>
      <c r="I370" t="n">
        <v>1.2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34203-2024</t>
        </is>
      </c>
      <c r="B371" t="inlineStr">
        <is>
          <t>avverkningsanmälan</t>
        </is>
      </c>
      <c r="C371" t="inlineStr">
        <is>
          <t>Avverkning för annat ändamål</t>
        </is>
      </c>
      <c r="D371" s="1" t="n">
        <v>45524</v>
      </c>
      <c r="E371" s="1" t="n">
        <v>46307</v>
      </c>
      <c r="F371" t="inlineStr">
        <is>
          <t>SÖDERMANLANDS LÄN</t>
        </is>
      </c>
      <c r="G371" t="inlineStr">
        <is>
          <t>NYKÖPING</t>
        </is>
      </c>
      <c r="I371" t="n">
        <v>2.9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1820-2023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44938</v>
      </c>
      <c r="E372" s="1" t="n">
        <v>46307</v>
      </c>
      <c r="F372" t="inlineStr">
        <is>
          <t>SÖDERMANLANDS LÄN</t>
        </is>
      </c>
      <c r="G372" t="inlineStr">
        <is>
          <t>NYKÖPING</t>
        </is>
      </c>
      <c r="I372" t="n">
        <v>1.7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10616-2025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45721</v>
      </c>
      <c r="E373" s="1" t="n">
        <v>46307</v>
      </c>
      <c r="F373" t="inlineStr">
        <is>
          <t>SÖDERMANLANDS LÄN</t>
        </is>
      </c>
      <c r="G373" t="inlineStr">
        <is>
          <t>NYKÖPING</t>
        </is>
      </c>
      <c r="I373" t="n">
        <v>6.4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59148-2024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45637</v>
      </c>
      <c r="E374" s="1" t="n">
        <v>46307</v>
      </c>
      <c r="F374" t="inlineStr">
        <is>
          <t>SÖDERMANLANDS LÄN</t>
        </is>
      </c>
      <c r="G374" t="inlineStr">
        <is>
          <t>NYKÖPING</t>
        </is>
      </c>
      <c r="I374" t="n">
        <v>1.1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30860-2023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45110</v>
      </c>
      <c r="E375" s="1" t="n">
        <v>46307</v>
      </c>
      <c r="F375" t="inlineStr">
        <is>
          <t>SÖDERMANLANDS LÄN</t>
        </is>
      </c>
      <c r="G375" t="inlineStr">
        <is>
          <t>NYKÖPING</t>
        </is>
      </c>
      <c r="I375" t="n">
        <v>11.5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9842-2022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44620</v>
      </c>
      <c r="E376" s="1" t="n">
        <v>46307</v>
      </c>
      <c r="F376" t="inlineStr">
        <is>
          <t>SÖDERMANLANDS LÄN</t>
        </is>
      </c>
      <c r="G376" t="inlineStr">
        <is>
          <t>NYKÖPING</t>
        </is>
      </c>
      <c r="I376" t="n">
        <v>2.4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4885-2024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45329</v>
      </c>
      <c r="E377" s="1" t="n">
        <v>46307</v>
      </c>
      <c r="F377" t="inlineStr">
        <is>
          <t>SÖDERMANLANDS LÄN</t>
        </is>
      </c>
      <c r="G377" t="inlineStr">
        <is>
          <t>NYKÖPING</t>
        </is>
      </c>
      <c r="I377" t="n">
        <v>4.2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4932-2024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45329</v>
      </c>
      <c r="E378" s="1" t="n">
        <v>46307</v>
      </c>
      <c r="F378" t="inlineStr">
        <is>
          <t>SÖDERMANLANDS LÄN</t>
        </is>
      </c>
      <c r="G378" t="inlineStr">
        <is>
          <t>NYKÖPING</t>
        </is>
      </c>
      <c r="I378" t="n">
        <v>17.8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10955-2024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45370</v>
      </c>
      <c r="E379" s="1" t="n">
        <v>46307</v>
      </c>
      <c r="F379" t="inlineStr">
        <is>
          <t>SÖDERMANLANDS LÄN</t>
        </is>
      </c>
      <c r="G379" t="inlineStr">
        <is>
          <t>NYKÖPING</t>
        </is>
      </c>
      <c r="H379" t="inlineStr">
        <is>
          <t>Kommuner</t>
        </is>
      </c>
      <c r="I379" t="n">
        <v>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38394-2024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45546</v>
      </c>
      <c r="E380" s="1" t="n">
        <v>46307</v>
      </c>
      <c r="F380" t="inlineStr">
        <is>
          <t>SÖDERMANLANDS LÄN</t>
        </is>
      </c>
      <c r="G380" t="inlineStr">
        <is>
          <t>NYKÖPING</t>
        </is>
      </c>
      <c r="H380" t="inlineStr">
        <is>
          <t>Holmen skog AB</t>
        </is>
      </c>
      <c r="I380" t="n">
        <v>0.8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59159-2022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44896</v>
      </c>
      <c r="E381" s="1" t="n">
        <v>46307</v>
      </c>
      <c r="F381" t="inlineStr">
        <is>
          <t>SÖDERMANLANDS LÄN</t>
        </is>
      </c>
      <c r="G381" t="inlineStr">
        <is>
          <t>NYKÖPING</t>
        </is>
      </c>
      <c r="I381" t="n">
        <v>1.5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61008-2023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45261</v>
      </c>
      <c r="E382" s="1" t="n">
        <v>46307</v>
      </c>
      <c r="F382" t="inlineStr">
        <is>
          <t>SÖDERMANLANDS LÄN</t>
        </is>
      </c>
      <c r="G382" t="inlineStr">
        <is>
          <t>NYKÖPING</t>
        </is>
      </c>
      <c r="H382" t="inlineStr">
        <is>
          <t>Holmen skog AB</t>
        </is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3353-2022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44585</v>
      </c>
      <c r="E383" s="1" t="n">
        <v>46307</v>
      </c>
      <c r="F383" t="inlineStr">
        <is>
          <t>SÖDERMANLANDS LÄN</t>
        </is>
      </c>
      <c r="G383" t="inlineStr">
        <is>
          <t>NYKÖPING</t>
        </is>
      </c>
      <c r="I383" t="n">
        <v>2.8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33126-2023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45114</v>
      </c>
      <c r="E384" s="1" t="n">
        <v>46307</v>
      </c>
      <c r="F384" t="inlineStr">
        <is>
          <t>SÖDERMANLANDS LÄN</t>
        </is>
      </c>
      <c r="G384" t="inlineStr">
        <is>
          <t>NYKÖPING</t>
        </is>
      </c>
      <c r="I384" t="n">
        <v>3.8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53071-2024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45611</v>
      </c>
      <c r="E385" s="1" t="n">
        <v>46307</v>
      </c>
      <c r="F385" t="inlineStr">
        <is>
          <t>SÖDERMANLANDS LÄN</t>
        </is>
      </c>
      <c r="G385" t="inlineStr">
        <is>
          <t>NYKÖPING</t>
        </is>
      </c>
      <c r="I385" t="n">
        <v>1.3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35419-2025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45855</v>
      </c>
      <c r="E386" s="1" t="n">
        <v>46307</v>
      </c>
      <c r="F386" t="inlineStr">
        <is>
          <t>SÖDERMANLANDS LÄN</t>
        </is>
      </c>
      <c r="G386" t="inlineStr">
        <is>
          <t>NYKÖPING</t>
        </is>
      </c>
      <c r="H386" t="inlineStr">
        <is>
          <t>Holmen skog AB</t>
        </is>
      </c>
      <c r="I386" t="n">
        <v>0.8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35415-2025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45855</v>
      </c>
      <c r="E387" s="1" t="n">
        <v>46307</v>
      </c>
      <c r="F387" t="inlineStr">
        <is>
          <t>SÖDERMANLANDS LÄN</t>
        </is>
      </c>
      <c r="G387" t="inlineStr">
        <is>
          <t>NYKÖPING</t>
        </is>
      </c>
      <c r="H387" t="inlineStr">
        <is>
          <t>Holmen skog AB</t>
        </is>
      </c>
      <c r="I387" t="n">
        <v>1.8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13863-2022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44649</v>
      </c>
      <c r="E388" s="1" t="n">
        <v>46307</v>
      </c>
      <c r="F388" t="inlineStr">
        <is>
          <t>SÖDERMANLANDS LÄN</t>
        </is>
      </c>
      <c r="G388" t="inlineStr">
        <is>
          <t>NYKÖPING</t>
        </is>
      </c>
      <c r="I388" t="n">
        <v>2.9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71115-2021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44537</v>
      </c>
      <c r="E389" s="1" t="n">
        <v>46307</v>
      </c>
      <c r="F389" t="inlineStr">
        <is>
          <t>SÖDERMANLANDS LÄN</t>
        </is>
      </c>
      <c r="G389" t="inlineStr">
        <is>
          <t>NYKÖPING</t>
        </is>
      </c>
      <c r="I389" t="n">
        <v>2.3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4683-2023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44957</v>
      </c>
      <c r="E390" s="1" t="n">
        <v>46307</v>
      </c>
      <c r="F390" t="inlineStr">
        <is>
          <t>SÖDERMANLANDS LÄN</t>
        </is>
      </c>
      <c r="G390" t="inlineStr">
        <is>
          <t>NYKÖPING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60634-2022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44911</v>
      </c>
      <c r="E391" s="1" t="n">
        <v>46307</v>
      </c>
      <c r="F391" t="inlineStr">
        <is>
          <t>SÖDERMANLANDS LÄN</t>
        </is>
      </c>
      <c r="G391" t="inlineStr">
        <is>
          <t>NYKÖPING</t>
        </is>
      </c>
      <c r="I391" t="n">
        <v>1.4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40635-2023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45170</v>
      </c>
      <c r="E392" s="1" t="n">
        <v>46307</v>
      </c>
      <c r="F392" t="inlineStr">
        <is>
          <t>SÖDERMANLANDS LÄN</t>
        </is>
      </c>
      <c r="G392" t="inlineStr">
        <is>
          <t>NYKÖPING</t>
        </is>
      </c>
      <c r="I392" t="n">
        <v>1.2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19763-2023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45051</v>
      </c>
      <c r="E393" s="1" t="n">
        <v>46307</v>
      </c>
      <c r="F393" t="inlineStr">
        <is>
          <t>SÖDERMANLANDS LÄN</t>
        </is>
      </c>
      <c r="G393" t="inlineStr">
        <is>
          <t>NYKÖPING</t>
        </is>
      </c>
      <c r="H393" t="inlineStr">
        <is>
          <t>Holmen skog AB</t>
        </is>
      </c>
      <c r="I393" t="n">
        <v>1.1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2668-2023</t>
        </is>
      </c>
      <c r="B394" t="inlineStr">
        <is>
          <t>avverkningsanmälan</t>
        </is>
      </c>
      <c r="C394" t="inlineStr">
        <is>
          <t>Avverkning för annat ändamål</t>
        </is>
      </c>
      <c r="D394" s="1" t="n">
        <v>44944</v>
      </c>
      <c r="E394" s="1" t="n">
        <v>46307</v>
      </c>
      <c r="F394" t="inlineStr">
        <is>
          <t>SÖDERMANLANDS LÄN</t>
        </is>
      </c>
      <c r="G394" t="inlineStr">
        <is>
          <t>NYKÖPING</t>
        </is>
      </c>
      <c r="H394" t="inlineStr">
        <is>
          <t>Sveaskog</t>
        </is>
      </c>
      <c r="I394" t="n">
        <v>0.5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1392-2023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44936</v>
      </c>
      <c r="E395" s="1" t="n">
        <v>46307</v>
      </c>
      <c r="F395" t="inlineStr">
        <is>
          <t>SÖDERMANLANDS LÄN</t>
        </is>
      </c>
      <c r="G395" t="inlineStr">
        <is>
          <t>NYKÖPING</t>
        </is>
      </c>
      <c r="I395" t="n">
        <v>1.6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51241-2024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45603</v>
      </c>
      <c r="E396" s="1" t="n">
        <v>46307</v>
      </c>
      <c r="F396" t="inlineStr">
        <is>
          <t>SÖDERMANLANDS LÄN</t>
        </is>
      </c>
      <c r="G396" t="inlineStr">
        <is>
          <t>NYKÖPING</t>
        </is>
      </c>
      <c r="H396" t="inlineStr">
        <is>
          <t>Sveaskog</t>
        </is>
      </c>
      <c r="I396" t="n">
        <v>1.6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55865-2023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45239</v>
      </c>
      <c r="E397" s="1" t="n">
        <v>46307</v>
      </c>
      <c r="F397" t="inlineStr">
        <is>
          <t>SÖDERMANLANDS LÄN</t>
        </is>
      </c>
      <c r="G397" t="inlineStr">
        <is>
          <t>NYKÖPING</t>
        </is>
      </c>
      <c r="I397" t="n">
        <v>1.1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7253-2022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44606</v>
      </c>
      <c r="E398" s="1" t="n">
        <v>46307</v>
      </c>
      <c r="F398" t="inlineStr">
        <is>
          <t>SÖDERMANLANDS LÄN</t>
        </is>
      </c>
      <c r="G398" t="inlineStr">
        <is>
          <t>NYKÖPING</t>
        </is>
      </c>
      <c r="H398" t="inlineStr">
        <is>
          <t>Allmännings- och besparingsskogar</t>
        </is>
      </c>
      <c r="I398" t="n">
        <v>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10689-2023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44988</v>
      </c>
      <c r="E399" s="1" t="n">
        <v>46307</v>
      </c>
      <c r="F399" t="inlineStr">
        <is>
          <t>SÖDERMANLANDS LÄN</t>
        </is>
      </c>
      <c r="G399" t="inlineStr">
        <is>
          <t>NYKÖPING</t>
        </is>
      </c>
      <c r="I399" t="n">
        <v>1.9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52551-2023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45218</v>
      </c>
      <c r="E400" s="1" t="n">
        <v>46307</v>
      </c>
      <c r="F400" t="inlineStr">
        <is>
          <t>SÖDERMANLANDS LÄN</t>
        </is>
      </c>
      <c r="G400" t="inlineStr">
        <is>
          <t>NYKÖPING</t>
        </is>
      </c>
      <c r="I400" t="n">
        <v>3.6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44820-2022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44839</v>
      </c>
      <c r="E401" s="1" t="n">
        <v>46307</v>
      </c>
      <c r="F401" t="inlineStr">
        <is>
          <t>SÖDERMANLANDS LÄN</t>
        </is>
      </c>
      <c r="G401" t="inlineStr">
        <is>
          <t>NYKÖPING</t>
        </is>
      </c>
      <c r="I401" t="n">
        <v>4.2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44908-2022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44840</v>
      </c>
      <c r="E402" s="1" t="n">
        <v>46307</v>
      </c>
      <c r="F402" t="inlineStr">
        <is>
          <t>SÖDERMANLANDS LÄN</t>
        </is>
      </c>
      <c r="G402" t="inlineStr">
        <is>
          <t>NYKÖPING</t>
        </is>
      </c>
      <c r="I402" t="n">
        <v>1.6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35467-2025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45855</v>
      </c>
      <c r="E403" s="1" t="n">
        <v>46307</v>
      </c>
      <c r="F403" t="inlineStr">
        <is>
          <t>SÖDERMANLANDS LÄN</t>
        </is>
      </c>
      <c r="G403" t="inlineStr">
        <is>
          <t>NYKÖPING</t>
        </is>
      </c>
      <c r="H403" t="inlineStr">
        <is>
          <t>Holmen skog AB</t>
        </is>
      </c>
      <c r="I403" t="n">
        <v>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35455-2025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45855</v>
      </c>
      <c r="E404" s="1" t="n">
        <v>46307</v>
      </c>
      <c r="F404" t="inlineStr">
        <is>
          <t>SÖDERMANLANDS LÄN</t>
        </is>
      </c>
      <c r="G404" t="inlineStr">
        <is>
          <t>NYKÖPING</t>
        </is>
      </c>
      <c r="H404" t="inlineStr">
        <is>
          <t>Holmen skog AB</t>
        </is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39149-2023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45166</v>
      </c>
      <c r="E405" s="1" t="n">
        <v>46307</v>
      </c>
      <c r="F405" t="inlineStr">
        <is>
          <t>SÖDERMANLANDS LÄN</t>
        </is>
      </c>
      <c r="G405" t="inlineStr">
        <is>
          <t>NYKÖPING</t>
        </is>
      </c>
      <c r="H405" t="inlineStr">
        <is>
          <t>Holmen skog AB</t>
        </is>
      </c>
      <c r="I405" t="n">
        <v>0.6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32837-2022</t>
        </is>
      </c>
      <c r="B406" t="inlineStr">
        <is>
          <t>avverkningsanmälan</t>
        </is>
      </c>
      <c r="C406" t="inlineStr">
        <is>
          <t>Avverkning för annat ändamål</t>
        </is>
      </c>
      <c r="D406" s="1" t="n">
        <v>44784</v>
      </c>
      <c r="E406" s="1" t="n">
        <v>46307</v>
      </c>
      <c r="F406" t="inlineStr">
        <is>
          <t>SÖDERMANLANDS LÄN</t>
        </is>
      </c>
      <c r="G406" t="inlineStr">
        <is>
          <t>NYKÖPING</t>
        </is>
      </c>
      <c r="H406" t="inlineStr">
        <is>
          <t>Kommuner</t>
        </is>
      </c>
      <c r="I406" t="n">
        <v>4.8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8006-2024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45350</v>
      </c>
      <c r="E407" s="1" t="n">
        <v>46307</v>
      </c>
      <c r="F407" t="inlineStr">
        <is>
          <t>SÖDERMANLANDS LÄN</t>
        </is>
      </c>
      <c r="G407" t="inlineStr">
        <is>
          <t>NYKÖPING</t>
        </is>
      </c>
      <c r="I407" t="n">
        <v>2.8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52546-2023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45218</v>
      </c>
      <c r="E408" s="1" t="n">
        <v>46307</v>
      </c>
      <c r="F408" t="inlineStr">
        <is>
          <t>SÖDERMANLANDS LÄN</t>
        </is>
      </c>
      <c r="G408" t="inlineStr">
        <is>
          <t>NYKÖPING</t>
        </is>
      </c>
      <c r="I408" t="n">
        <v>1.8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36714-2023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45153</v>
      </c>
      <c r="E409" s="1" t="n">
        <v>46307</v>
      </c>
      <c r="F409" t="inlineStr">
        <is>
          <t>SÖDERMANLANDS LÄN</t>
        </is>
      </c>
      <c r="G409" t="inlineStr">
        <is>
          <t>NYKÖPING</t>
        </is>
      </c>
      <c r="H409" t="inlineStr">
        <is>
          <t>Kommuner</t>
        </is>
      </c>
      <c r="I409" t="n">
        <v>4.7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22972-2023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45072</v>
      </c>
      <c r="E410" s="1" t="n">
        <v>46307</v>
      </c>
      <c r="F410" t="inlineStr">
        <is>
          <t>SÖDERMANLANDS LÄN</t>
        </is>
      </c>
      <c r="G410" t="inlineStr">
        <is>
          <t>NYKÖPING</t>
        </is>
      </c>
      <c r="I410" t="n">
        <v>4.1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14370-2022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44652</v>
      </c>
      <c r="E411" s="1" t="n">
        <v>46307</v>
      </c>
      <c r="F411" t="inlineStr">
        <is>
          <t>SÖDERMANLANDS LÄN</t>
        </is>
      </c>
      <c r="G411" t="inlineStr">
        <is>
          <t>NYKÖPING</t>
        </is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18918-2023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45044</v>
      </c>
      <c r="E412" s="1" t="n">
        <v>46307</v>
      </c>
      <c r="F412" t="inlineStr">
        <is>
          <t>SÖDERMANLANDS LÄN</t>
        </is>
      </c>
      <c r="G412" t="inlineStr">
        <is>
          <t>NYKÖPING</t>
        </is>
      </c>
      <c r="I412" t="n">
        <v>0.4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18926-2023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45044</v>
      </c>
      <c r="E413" s="1" t="n">
        <v>46307</v>
      </c>
      <c r="F413" t="inlineStr">
        <is>
          <t>SÖDERMANLANDS LÄN</t>
        </is>
      </c>
      <c r="G413" t="inlineStr">
        <is>
          <t>NYKÖPING</t>
        </is>
      </c>
      <c r="H413" t="inlineStr">
        <is>
          <t>Holmen skog AB</t>
        </is>
      </c>
      <c r="I413" t="n">
        <v>0.8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11753-2023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44992</v>
      </c>
      <c r="E414" s="1" t="n">
        <v>46307</v>
      </c>
      <c r="F414" t="inlineStr">
        <is>
          <t>SÖDERMANLANDS LÄN</t>
        </is>
      </c>
      <c r="G414" t="inlineStr">
        <is>
          <t>NYKÖPING</t>
        </is>
      </c>
      <c r="I414" t="n">
        <v>1.7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12538-2025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45730</v>
      </c>
      <c r="E415" s="1" t="n">
        <v>46307</v>
      </c>
      <c r="F415" t="inlineStr">
        <is>
          <t>SÖDERMANLANDS LÄN</t>
        </is>
      </c>
      <c r="G415" t="inlineStr">
        <is>
          <t>NYKÖPING</t>
        </is>
      </c>
      <c r="I415" t="n">
        <v>0.4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11728-2022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44634</v>
      </c>
      <c r="E416" s="1" t="n">
        <v>46307</v>
      </c>
      <c r="F416" t="inlineStr">
        <is>
          <t>SÖDERMANLANDS LÄN</t>
        </is>
      </c>
      <c r="G416" t="inlineStr">
        <is>
          <t>NYKÖPING</t>
        </is>
      </c>
      <c r="I416" t="n">
        <v>11.4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2059-2025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45672</v>
      </c>
      <c r="E417" s="1" t="n">
        <v>46307</v>
      </c>
      <c r="F417" t="inlineStr">
        <is>
          <t>SÖDERMANLANDS LÄN</t>
        </is>
      </c>
      <c r="G417" t="inlineStr">
        <is>
          <t>NYKÖPING</t>
        </is>
      </c>
      <c r="I417" t="n">
        <v>1.2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21062-2023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45061</v>
      </c>
      <c r="E418" s="1" t="n">
        <v>46307</v>
      </c>
      <c r="F418" t="inlineStr">
        <is>
          <t>SÖDERMANLANDS LÄN</t>
        </is>
      </c>
      <c r="G418" t="inlineStr">
        <is>
          <t>NYKÖPING</t>
        </is>
      </c>
      <c r="I418" t="n">
        <v>0.5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43880-2023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45187</v>
      </c>
      <c r="E419" s="1" t="n">
        <v>46307</v>
      </c>
      <c r="F419" t="inlineStr">
        <is>
          <t>SÖDERMANLANDS LÄN</t>
        </is>
      </c>
      <c r="G419" t="inlineStr">
        <is>
          <t>NYKÖPING</t>
        </is>
      </c>
      <c r="I419" t="n">
        <v>1.3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51243-2024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45603</v>
      </c>
      <c r="E420" s="1" t="n">
        <v>46307</v>
      </c>
      <c r="F420" t="inlineStr">
        <is>
          <t>SÖDERMANLANDS LÄN</t>
        </is>
      </c>
      <c r="G420" t="inlineStr">
        <is>
          <t>NYKÖPING</t>
        </is>
      </c>
      <c r="I420" t="n">
        <v>1.7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50340-2025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45944</v>
      </c>
      <c r="E421" s="1" t="n">
        <v>46307</v>
      </c>
      <c r="F421" t="inlineStr">
        <is>
          <t>SÖDERMANLANDS LÄN</t>
        </is>
      </c>
      <c r="G421" t="inlineStr">
        <is>
          <t>NYKÖPING</t>
        </is>
      </c>
      <c r="I421" t="n">
        <v>3.6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49613-2025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45938</v>
      </c>
      <c r="E422" s="1" t="n">
        <v>46307</v>
      </c>
      <c r="F422" t="inlineStr">
        <is>
          <t>SÖDERMANLANDS LÄN</t>
        </is>
      </c>
      <c r="G422" t="inlineStr">
        <is>
          <t>NYKÖPING</t>
        </is>
      </c>
      <c r="I422" t="n">
        <v>1.3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12844-2025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45733</v>
      </c>
      <c r="E423" s="1" t="n">
        <v>46307</v>
      </c>
      <c r="F423" t="inlineStr">
        <is>
          <t>SÖDERMANLANDS LÄN</t>
        </is>
      </c>
      <c r="G423" t="inlineStr">
        <is>
          <t>NYKÖPING</t>
        </is>
      </c>
      <c r="H423" t="inlineStr">
        <is>
          <t>Holmen skog AB</t>
        </is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58857-2021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44489</v>
      </c>
      <c r="E424" s="1" t="n">
        <v>46307</v>
      </c>
      <c r="F424" t="inlineStr">
        <is>
          <t>SÖDERMANLANDS LÄN</t>
        </is>
      </c>
      <c r="G424" t="inlineStr">
        <is>
          <t>NYKÖPING</t>
        </is>
      </c>
      <c r="I424" t="n">
        <v>2.1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50874-2025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45946</v>
      </c>
      <c r="E425" s="1" t="n">
        <v>46307</v>
      </c>
      <c r="F425" t="inlineStr">
        <is>
          <t>SÖDERMANLANDS LÄN</t>
        </is>
      </c>
      <c r="G425" t="inlineStr">
        <is>
          <t>NYKÖPING</t>
        </is>
      </c>
      <c r="H425" t="inlineStr">
        <is>
          <t>Holmen skog AB</t>
        </is>
      </c>
      <c r="I425" t="n">
        <v>2.5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38922-2024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45547</v>
      </c>
      <c r="E426" s="1" t="n">
        <v>46307</v>
      </c>
      <c r="F426" t="inlineStr">
        <is>
          <t>SÖDERMANLANDS LÄN</t>
        </is>
      </c>
      <c r="G426" t="inlineStr">
        <is>
          <t>NYKÖPING</t>
        </is>
      </c>
      <c r="I426" t="n">
        <v>10.3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11363-2023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44990</v>
      </c>
      <c r="E427" s="1" t="n">
        <v>46307</v>
      </c>
      <c r="F427" t="inlineStr">
        <is>
          <t>SÖDERMANLANDS LÄN</t>
        </is>
      </c>
      <c r="G427" t="inlineStr">
        <is>
          <t>NYKÖPING</t>
        </is>
      </c>
      <c r="H427" t="inlineStr">
        <is>
          <t>Allmännings- och besparingsskogar</t>
        </is>
      </c>
      <c r="I427" t="n">
        <v>0.6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8688-2025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45712</v>
      </c>
      <c r="E428" s="1" t="n">
        <v>46307</v>
      </c>
      <c r="F428" t="inlineStr">
        <is>
          <t>SÖDERMANLANDS LÄN</t>
        </is>
      </c>
      <c r="G428" t="inlineStr">
        <is>
          <t>NYKÖPING</t>
        </is>
      </c>
      <c r="H428" t="inlineStr">
        <is>
          <t>Holmen skog AB</t>
        </is>
      </c>
      <c r="I428" t="n">
        <v>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32928-2022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44784</v>
      </c>
      <c r="E429" s="1" t="n">
        <v>46307</v>
      </c>
      <c r="F429" t="inlineStr">
        <is>
          <t>SÖDERMANLANDS LÄN</t>
        </is>
      </c>
      <c r="G429" t="inlineStr">
        <is>
          <t>NYKÖPING</t>
        </is>
      </c>
      <c r="I429" t="n">
        <v>0.4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2598-2025</t>
        </is>
      </c>
      <c r="B430" t="inlineStr">
        <is>
          <t>avverkningsanmälan</t>
        </is>
      </c>
      <c r="C430" t="inlineStr">
        <is>
          <t>Avverkning för annat ändamål</t>
        </is>
      </c>
      <c r="D430" s="1" t="n">
        <v>45674</v>
      </c>
      <c r="E430" s="1" t="n">
        <v>46307</v>
      </c>
      <c r="F430" t="inlineStr">
        <is>
          <t>SÖDERMANLANDS LÄN</t>
        </is>
      </c>
      <c r="G430" t="inlineStr">
        <is>
          <t>NYKÖPING</t>
        </is>
      </c>
      <c r="I430" t="n">
        <v>0.8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27947-2025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45817</v>
      </c>
      <c r="E431" s="1" t="n">
        <v>46307</v>
      </c>
      <c r="F431" t="inlineStr">
        <is>
          <t>SÖDERMANLANDS LÄN</t>
        </is>
      </c>
      <c r="G431" t="inlineStr">
        <is>
          <t>NYKÖPING</t>
        </is>
      </c>
      <c r="H431" t="inlineStr">
        <is>
          <t>Holmen skog AB</t>
        </is>
      </c>
      <c r="I431" t="n">
        <v>4.3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7074-2024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45343</v>
      </c>
      <c r="E432" s="1" t="n">
        <v>46307</v>
      </c>
      <c r="F432" t="inlineStr">
        <is>
          <t>SÖDERMANLANDS LÄN</t>
        </is>
      </c>
      <c r="G432" t="inlineStr">
        <is>
          <t>NYKÖPING</t>
        </is>
      </c>
      <c r="H432" t="inlineStr">
        <is>
          <t>Kommuner</t>
        </is>
      </c>
      <c r="I432" t="n">
        <v>6.8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16072-2023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45027</v>
      </c>
      <c r="E433" s="1" t="n">
        <v>46307</v>
      </c>
      <c r="F433" t="inlineStr">
        <is>
          <t>SÖDERMANLANDS LÄN</t>
        </is>
      </c>
      <c r="G433" t="inlineStr">
        <is>
          <t>NYKÖPING</t>
        </is>
      </c>
      <c r="I433" t="n">
        <v>2.7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27874-2025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45817</v>
      </c>
      <c r="E434" s="1" t="n">
        <v>46307</v>
      </c>
      <c r="F434" t="inlineStr">
        <is>
          <t>SÖDERMANLANDS LÄN</t>
        </is>
      </c>
      <c r="G434" t="inlineStr">
        <is>
          <t>NYKÖPING</t>
        </is>
      </c>
      <c r="H434" t="inlineStr">
        <is>
          <t>Holmen skog AB</t>
        </is>
      </c>
      <c r="I434" t="n">
        <v>0.6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27805-2025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45817</v>
      </c>
      <c r="E435" s="1" t="n">
        <v>46307</v>
      </c>
      <c r="F435" t="inlineStr">
        <is>
          <t>SÖDERMANLANDS LÄN</t>
        </is>
      </c>
      <c r="G435" t="inlineStr">
        <is>
          <t>NYKÖPING</t>
        </is>
      </c>
      <c r="H435" t="inlineStr">
        <is>
          <t>Holmen skog AB</t>
        </is>
      </c>
      <c r="I435" t="n">
        <v>2.1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27975-2022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44744</v>
      </c>
      <c r="E436" s="1" t="n">
        <v>46307</v>
      </c>
      <c r="F436" t="inlineStr">
        <is>
          <t>SÖDERMANLANDS LÄN</t>
        </is>
      </c>
      <c r="G436" t="inlineStr">
        <is>
          <t>NYKÖPING</t>
        </is>
      </c>
      <c r="I436" t="n">
        <v>1.3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6491-2023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44966</v>
      </c>
      <c r="E437" s="1" t="n">
        <v>46307</v>
      </c>
      <c r="F437" t="inlineStr">
        <is>
          <t>SÖDERMANLANDS LÄN</t>
        </is>
      </c>
      <c r="G437" t="inlineStr">
        <is>
          <t>NYKÖPING</t>
        </is>
      </c>
      <c r="H437" t="inlineStr">
        <is>
          <t>Övriga Aktiebolag</t>
        </is>
      </c>
      <c r="I437" t="n">
        <v>0.7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38745-2023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45161</v>
      </c>
      <c r="E438" s="1" t="n">
        <v>46307</v>
      </c>
      <c r="F438" t="inlineStr">
        <is>
          <t>SÖDERMANLANDS LÄN</t>
        </is>
      </c>
      <c r="G438" t="inlineStr">
        <is>
          <t>NYKÖPING</t>
        </is>
      </c>
      <c r="I438" t="n">
        <v>2.2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56491-2022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44893</v>
      </c>
      <c r="E439" s="1" t="n">
        <v>46307</v>
      </c>
      <c r="F439" t="inlineStr">
        <is>
          <t>SÖDERMANLANDS LÄN</t>
        </is>
      </c>
      <c r="G439" t="inlineStr">
        <is>
          <t>NYKÖPING</t>
        </is>
      </c>
      <c r="H439" t="inlineStr">
        <is>
          <t>Övriga Aktiebolag</t>
        </is>
      </c>
      <c r="I439" t="n">
        <v>10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35458-2023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45146</v>
      </c>
      <c r="E440" s="1" t="n">
        <v>46307</v>
      </c>
      <c r="F440" t="inlineStr">
        <is>
          <t>SÖDERMANLANDS LÄN</t>
        </is>
      </c>
      <c r="G440" t="inlineStr">
        <is>
          <t>NYKÖPING</t>
        </is>
      </c>
      <c r="H440" t="inlineStr">
        <is>
          <t>Holmen skog AB</t>
        </is>
      </c>
      <c r="I440" t="n">
        <v>1.1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28646-2025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45819</v>
      </c>
      <c r="E441" s="1" t="n">
        <v>46307</v>
      </c>
      <c r="F441" t="inlineStr">
        <is>
          <t>SÖDERMANLANDS LÄN</t>
        </is>
      </c>
      <c r="G441" t="inlineStr">
        <is>
          <t>NYKÖPING</t>
        </is>
      </c>
      <c r="H441" t="inlineStr">
        <is>
          <t>Sveaskog</t>
        </is>
      </c>
      <c r="I441" t="n">
        <v>1.1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30859-2023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45110</v>
      </c>
      <c r="E442" s="1" t="n">
        <v>46307</v>
      </c>
      <c r="F442" t="inlineStr">
        <is>
          <t>SÖDERMANLANDS LÄN</t>
        </is>
      </c>
      <c r="G442" t="inlineStr">
        <is>
          <t>NYKÖPING</t>
        </is>
      </c>
      <c r="I442" t="n">
        <v>1.8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10276-2024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45365</v>
      </c>
      <c r="E443" s="1" t="n">
        <v>46307</v>
      </c>
      <c r="F443" t="inlineStr">
        <is>
          <t>SÖDERMANLANDS LÄN</t>
        </is>
      </c>
      <c r="G443" t="inlineStr">
        <is>
          <t>NYKÖPING</t>
        </is>
      </c>
      <c r="I443" t="n">
        <v>0.8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15056-2025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45743</v>
      </c>
      <c r="E444" s="1" t="n">
        <v>46307</v>
      </c>
      <c r="F444" t="inlineStr">
        <is>
          <t>SÖDERMANLANDS LÄN</t>
        </is>
      </c>
      <c r="G444" t="inlineStr">
        <is>
          <t>NYKÖPING</t>
        </is>
      </c>
      <c r="I444" t="n">
        <v>1.9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38317-2022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44812</v>
      </c>
      <c r="E445" s="1" t="n">
        <v>46307</v>
      </c>
      <c r="F445" t="inlineStr">
        <is>
          <t>SÖDERMANLANDS LÄN</t>
        </is>
      </c>
      <c r="G445" t="inlineStr">
        <is>
          <t>NYKÖPING</t>
        </is>
      </c>
      <c r="I445" t="n">
        <v>2.6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60104-2023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45258</v>
      </c>
      <c r="E446" s="1" t="n">
        <v>46307</v>
      </c>
      <c r="F446" t="inlineStr">
        <is>
          <t>SÖDERMANLANDS LÄN</t>
        </is>
      </c>
      <c r="G446" t="inlineStr">
        <is>
          <t>NYKÖPING</t>
        </is>
      </c>
      <c r="H446" t="inlineStr">
        <is>
          <t>Övriga Aktiebolag</t>
        </is>
      </c>
      <c r="I446" t="n">
        <v>1.1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39356-2023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45166</v>
      </c>
      <c r="E447" s="1" t="n">
        <v>46307</v>
      </c>
      <c r="F447" t="inlineStr">
        <is>
          <t>SÖDERMANLANDS LÄN</t>
        </is>
      </c>
      <c r="G447" t="inlineStr">
        <is>
          <t>NYKÖPING</t>
        </is>
      </c>
      <c r="I447" t="n">
        <v>1.3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56228-2024</t>
        </is>
      </c>
      <c r="B448" t="inlineStr">
        <is>
          <t>avverkningsanmälan</t>
        </is>
      </c>
      <c r="C448" t="inlineStr">
        <is>
          <t>Avverkning för annat ändamål</t>
        </is>
      </c>
      <c r="D448" s="1" t="n">
        <v>45624</v>
      </c>
      <c r="E448" s="1" t="n">
        <v>46307</v>
      </c>
      <c r="F448" t="inlineStr">
        <is>
          <t>SÖDERMANLANDS LÄN</t>
        </is>
      </c>
      <c r="G448" t="inlineStr">
        <is>
          <t>NYKÖPING</t>
        </is>
      </c>
      <c r="I448" t="n">
        <v>0.7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21925-2022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44711</v>
      </c>
      <c r="E449" s="1" t="n">
        <v>46307</v>
      </c>
      <c r="F449" t="inlineStr">
        <is>
          <t>SÖDERMANLANDS LÄN</t>
        </is>
      </c>
      <c r="G449" t="inlineStr">
        <is>
          <t>NYKÖPING</t>
        </is>
      </c>
      <c r="I449" t="n">
        <v>5.7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5107-2023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44958</v>
      </c>
      <c r="E450" s="1" t="n">
        <v>46307</v>
      </c>
      <c r="F450" t="inlineStr">
        <is>
          <t>SÖDERMANLANDS LÄN</t>
        </is>
      </c>
      <c r="G450" t="inlineStr">
        <is>
          <t>NYKÖPING</t>
        </is>
      </c>
      <c r="I450" t="n">
        <v>4.4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5526-2023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44960</v>
      </c>
      <c r="E451" s="1" t="n">
        <v>46307</v>
      </c>
      <c r="F451" t="inlineStr">
        <is>
          <t>SÖDERMANLANDS LÄN</t>
        </is>
      </c>
      <c r="G451" t="inlineStr">
        <is>
          <t>NYKÖPING</t>
        </is>
      </c>
      <c r="I451" t="n">
        <v>1.7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13858-2022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44649</v>
      </c>
      <c r="E452" s="1" t="n">
        <v>46307</v>
      </c>
      <c r="F452" t="inlineStr">
        <is>
          <t>SÖDERMANLANDS LÄN</t>
        </is>
      </c>
      <c r="G452" t="inlineStr">
        <is>
          <t>NYKÖPING</t>
        </is>
      </c>
      <c r="I452" t="n">
        <v>1.9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6141-2023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44964</v>
      </c>
      <c r="E453" s="1" t="n">
        <v>46307</v>
      </c>
      <c r="F453" t="inlineStr">
        <is>
          <t>SÖDERMANLANDS LÄN</t>
        </is>
      </c>
      <c r="G453" t="inlineStr">
        <is>
          <t>NYKÖPING</t>
        </is>
      </c>
      <c r="I453" t="n">
        <v>5.4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37907-2022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44811</v>
      </c>
      <c r="E454" s="1" t="n">
        <v>46307</v>
      </c>
      <c r="F454" t="inlineStr">
        <is>
          <t>SÖDERMANLANDS LÄN</t>
        </is>
      </c>
      <c r="G454" t="inlineStr">
        <is>
          <t>NYKÖPING</t>
        </is>
      </c>
      <c r="I454" t="n">
        <v>2.5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37911-2022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44810</v>
      </c>
      <c r="E455" s="1" t="n">
        <v>46307</v>
      </c>
      <c r="F455" t="inlineStr">
        <is>
          <t>SÖDERMANLANDS LÄN</t>
        </is>
      </c>
      <c r="G455" t="inlineStr">
        <is>
          <t>NYKÖPING</t>
        </is>
      </c>
      <c r="I455" t="n">
        <v>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43952-2022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44838</v>
      </c>
      <c r="E456" s="1" t="n">
        <v>46307</v>
      </c>
      <c r="F456" t="inlineStr">
        <is>
          <t>SÖDERMANLANDS LÄN</t>
        </is>
      </c>
      <c r="G456" t="inlineStr">
        <is>
          <t>NYKÖPING</t>
        </is>
      </c>
      <c r="I456" t="n">
        <v>2.4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6392-2023</t>
        </is>
      </c>
      <c r="B457" t="inlineStr">
        <is>
          <t>avverkningsanmälan</t>
        </is>
      </c>
      <c r="C457" t="inlineStr">
        <is>
          <t>Avverkning för annat ändamål</t>
        </is>
      </c>
      <c r="D457" s="1" t="n">
        <v>44965</v>
      </c>
      <c r="E457" s="1" t="n">
        <v>46307</v>
      </c>
      <c r="F457" t="inlineStr">
        <is>
          <t>SÖDERMANLANDS LÄN</t>
        </is>
      </c>
      <c r="G457" t="inlineStr">
        <is>
          <t>NYKÖPING</t>
        </is>
      </c>
      <c r="I457" t="n">
        <v>0.2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44191-2022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44839</v>
      </c>
      <c r="E458" s="1" t="n">
        <v>46307</v>
      </c>
      <c r="F458" t="inlineStr">
        <is>
          <t>SÖDERMANLANDS LÄN</t>
        </is>
      </c>
      <c r="G458" t="inlineStr">
        <is>
          <t>NYKÖPING</t>
        </is>
      </c>
      <c r="I458" t="n">
        <v>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17691-2023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45037</v>
      </c>
      <c r="E459" s="1" t="n">
        <v>46307</v>
      </c>
      <c r="F459" t="inlineStr">
        <is>
          <t>SÖDERMANLANDS LÄN</t>
        </is>
      </c>
      <c r="G459" t="inlineStr">
        <is>
          <t>NYKÖPING</t>
        </is>
      </c>
      <c r="H459" t="inlineStr">
        <is>
          <t>Sveaskog</t>
        </is>
      </c>
      <c r="I459" t="n">
        <v>2.4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6519-2023</t>
        </is>
      </c>
      <c r="B460" t="inlineStr">
        <is>
          <t>avverkningsanmälan</t>
        </is>
      </c>
      <c r="C460" t="inlineStr">
        <is>
          <t>Avverkning för annat ändamål</t>
        </is>
      </c>
      <c r="D460" s="1" t="n">
        <v>44965</v>
      </c>
      <c r="E460" s="1" t="n">
        <v>46307</v>
      </c>
      <c r="F460" t="inlineStr">
        <is>
          <t>SÖDERMANLANDS LÄN</t>
        </is>
      </c>
      <c r="G460" t="inlineStr">
        <is>
          <t>NYKÖPING</t>
        </is>
      </c>
      <c r="H460" t="inlineStr">
        <is>
          <t>Kyrkan</t>
        </is>
      </c>
      <c r="I460" t="n">
        <v>1.2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10687-2023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44988</v>
      </c>
      <c r="E461" s="1" t="n">
        <v>46307</v>
      </c>
      <c r="F461" t="inlineStr">
        <is>
          <t>SÖDERMANLANDS LÄN</t>
        </is>
      </c>
      <c r="G461" t="inlineStr">
        <is>
          <t>NYKÖPING</t>
        </is>
      </c>
      <c r="I461" t="n">
        <v>2.4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31034-2025</t>
        </is>
      </c>
      <c r="B462" t="inlineStr">
        <is>
          <t>avverkningsanmälan</t>
        </is>
      </c>
      <c r="C462" t="inlineStr">
        <is>
          <t>Avverkning för annat ändamål</t>
        </is>
      </c>
      <c r="D462" s="1" t="n">
        <v>45831</v>
      </c>
      <c r="E462" s="1" t="n">
        <v>46307</v>
      </c>
      <c r="F462" t="inlineStr">
        <is>
          <t>SÖDERMANLANDS LÄN</t>
        </is>
      </c>
      <c r="G462" t="inlineStr">
        <is>
          <t>NYKÖPING</t>
        </is>
      </c>
      <c r="I462" t="n">
        <v>2.1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30706-2025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45831</v>
      </c>
      <c r="E463" s="1" t="n">
        <v>46307</v>
      </c>
      <c r="F463" t="inlineStr">
        <is>
          <t>SÖDERMANLANDS LÄN</t>
        </is>
      </c>
      <c r="G463" t="inlineStr">
        <is>
          <t>NYKÖPING</t>
        </is>
      </c>
      <c r="H463" t="inlineStr">
        <is>
          <t>Sveaskog</t>
        </is>
      </c>
      <c r="I463" t="n">
        <v>0.5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41353-2025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45900</v>
      </c>
      <c r="E464" s="1" t="n">
        <v>46307</v>
      </c>
      <c r="F464" t="inlineStr">
        <is>
          <t>SÖDERMANLANDS LÄN</t>
        </is>
      </c>
      <c r="G464" t="inlineStr">
        <is>
          <t>NYKÖPING</t>
        </is>
      </c>
      <c r="I464" t="n">
        <v>0.8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52572-2025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45954</v>
      </c>
      <c r="E465" s="1" t="n">
        <v>46307</v>
      </c>
      <c r="F465" t="inlineStr">
        <is>
          <t>SÖDERMANLANDS LÄN</t>
        </is>
      </c>
      <c r="G465" t="inlineStr">
        <is>
          <t>NYKÖPING</t>
        </is>
      </c>
      <c r="H465" t="inlineStr">
        <is>
          <t>Holmen skog AB</t>
        </is>
      </c>
      <c r="I465" t="n">
        <v>1.2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52585-2025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45954</v>
      </c>
      <c r="E466" s="1" t="n">
        <v>46307</v>
      </c>
      <c r="F466" t="inlineStr">
        <is>
          <t>SÖDERMANLANDS LÄN</t>
        </is>
      </c>
      <c r="G466" t="inlineStr">
        <is>
          <t>NYKÖPING</t>
        </is>
      </c>
      <c r="H466" t="inlineStr">
        <is>
          <t>Holmen skog AB</t>
        </is>
      </c>
      <c r="I466" t="n">
        <v>1.1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17315-2024</t>
        </is>
      </c>
      <c r="B467" t="inlineStr">
        <is>
          <t>avverkningsanmälan</t>
        </is>
      </c>
      <c r="C467" t="inlineStr">
        <is>
          <t>Avverkning för annat ändamål</t>
        </is>
      </c>
      <c r="D467" s="1" t="n">
        <v>45414</v>
      </c>
      <c r="E467" s="1" t="n">
        <v>46307</v>
      </c>
      <c r="F467" t="inlineStr">
        <is>
          <t>SÖDERMANLANDS LÄN</t>
        </is>
      </c>
      <c r="G467" t="inlineStr">
        <is>
          <t>NYKÖPING</t>
        </is>
      </c>
      <c r="I467" t="n">
        <v>0.5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28705-2025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45820</v>
      </c>
      <c r="E468" s="1" t="n">
        <v>46307</v>
      </c>
      <c r="F468" t="inlineStr">
        <is>
          <t>SÖDERMANLANDS LÄN</t>
        </is>
      </c>
      <c r="G468" t="inlineStr">
        <is>
          <t>NYKÖPING</t>
        </is>
      </c>
      <c r="H468" t="inlineStr">
        <is>
          <t>Holmen skog AB</t>
        </is>
      </c>
      <c r="I468" t="n">
        <v>4.4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24504-2025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45798</v>
      </c>
      <c r="E469" s="1" t="n">
        <v>46307</v>
      </c>
      <c r="F469" t="inlineStr">
        <is>
          <t>SÖDERMANLANDS LÄN</t>
        </is>
      </c>
      <c r="G469" t="inlineStr">
        <is>
          <t>NYKÖPING</t>
        </is>
      </c>
      <c r="H469" t="inlineStr">
        <is>
          <t>Holmen skog AB</t>
        </is>
      </c>
      <c r="I469" t="n">
        <v>2.4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24798-2022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44728</v>
      </c>
      <c r="E470" s="1" t="n">
        <v>46307</v>
      </c>
      <c r="F470" t="inlineStr">
        <is>
          <t>SÖDERMANLANDS LÄN</t>
        </is>
      </c>
      <c r="G470" t="inlineStr">
        <is>
          <t>NYKÖPING</t>
        </is>
      </c>
      <c r="I470" t="n">
        <v>1.8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35019-2023</t>
        </is>
      </c>
      <c r="B471" t="inlineStr">
        <is>
          <t>avverkningsanmälan</t>
        </is>
      </c>
      <c r="C471" t="inlineStr">
        <is>
          <t>Avverkning för annat ändamål</t>
        </is>
      </c>
      <c r="D471" s="1" t="n">
        <v>45143</v>
      </c>
      <c r="E471" s="1" t="n">
        <v>46307</v>
      </c>
      <c r="F471" t="inlineStr">
        <is>
          <t>SÖDERMANLANDS LÄN</t>
        </is>
      </c>
      <c r="G471" t="inlineStr">
        <is>
          <t>NYKÖPING</t>
        </is>
      </c>
      <c r="I471" t="n">
        <v>2.2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39321-2023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45166</v>
      </c>
      <c r="E472" s="1" t="n">
        <v>46307</v>
      </c>
      <c r="F472" t="inlineStr">
        <is>
          <t>SÖDERMANLANDS LÄN</t>
        </is>
      </c>
      <c r="G472" t="inlineStr">
        <is>
          <t>NYKÖPING</t>
        </is>
      </c>
      <c r="H472" t="inlineStr">
        <is>
          <t>Holmen skog AB</t>
        </is>
      </c>
      <c r="I472" t="n">
        <v>2.1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4124-2025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45685</v>
      </c>
      <c r="E473" s="1" t="n">
        <v>46307</v>
      </c>
      <c r="F473" t="inlineStr">
        <is>
          <t>SÖDERMANLANDS LÄN</t>
        </is>
      </c>
      <c r="G473" t="inlineStr">
        <is>
          <t>NYKÖPING</t>
        </is>
      </c>
      <c r="H473" t="inlineStr">
        <is>
          <t>Holmen skog AB</t>
        </is>
      </c>
      <c r="I473" t="n">
        <v>0.6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4182-2025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45685</v>
      </c>
      <c r="E474" s="1" t="n">
        <v>46307</v>
      </c>
      <c r="F474" t="inlineStr">
        <is>
          <t>SÖDERMANLANDS LÄN</t>
        </is>
      </c>
      <c r="G474" t="inlineStr">
        <is>
          <t>NYKÖPING</t>
        </is>
      </c>
      <c r="H474" t="inlineStr">
        <is>
          <t>Holmen skog AB</t>
        </is>
      </c>
      <c r="I474" t="n">
        <v>2.5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31923-2025</t>
        </is>
      </c>
      <c r="B475" t="inlineStr">
        <is>
          <t>avverkningsanmälan</t>
        </is>
      </c>
      <c r="C475" t="inlineStr">
        <is>
          <t>Avverkning för att bevara och utveckla /försöksver</t>
        </is>
      </c>
      <c r="D475" s="1" t="n">
        <v>45834</v>
      </c>
      <c r="E475" s="1" t="n">
        <v>46307</v>
      </c>
      <c r="F475" t="inlineStr">
        <is>
          <t>SÖDERMANLANDS LÄN</t>
        </is>
      </c>
      <c r="G475" t="inlineStr">
        <is>
          <t>NYKÖPING</t>
        </is>
      </c>
      <c r="I475" t="n">
        <v>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31929-2025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45834</v>
      </c>
      <c r="E476" s="1" t="n">
        <v>46307</v>
      </c>
      <c r="F476" t="inlineStr">
        <is>
          <t>SÖDERMANLANDS LÄN</t>
        </is>
      </c>
      <c r="G476" t="inlineStr">
        <is>
          <t>NYKÖPING</t>
        </is>
      </c>
      <c r="I476" t="n">
        <v>1.4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30639-2023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45112</v>
      </c>
      <c r="E477" s="1" t="n">
        <v>46307</v>
      </c>
      <c r="F477" t="inlineStr">
        <is>
          <t>SÖDERMANLANDS LÄN</t>
        </is>
      </c>
      <c r="G477" t="inlineStr">
        <is>
          <t>NYKÖPING</t>
        </is>
      </c>
      <c r="I477" t="n">
        <v>2.8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31922-2025</t>
        </is>
      </c>
      <c r="B478" t="inlineStr">
        <is>
          <t>avverkningsanmälan</t>
        </is>
      </c>
      <c r="C478" t="inlineStr">
        <is>
          <t>Avverkning för att bevara och utveckla /försöksver</t>
        </is>
      </c>
      <c r="D478" s="1" t="n">
        <v>45834</v>
      </c>
      <c r="E478" s="1" t="n">
        <v>46307</v>
      </c>
      <c r="F478" t="inlineStr">
        <is>
          <t>SÖDERMANLANDS LÄN</t>
        </is>
      </c>
      <c r="G478" t="inlineStr">
        <is>
          <t>NYKÖPING</t>
        </is>
      </c>
      <c r="I478" t="n">
        <v>1.3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31928-2025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45834</v>
      </c>
      <c r="E479" s="1" t="n">
        <v>46307</v>
      </c>
      <c r="F479" t="inlineStr">
        <is>
          <t>SÖDERMANLANDS LÄN</t>
        </is>
      </c>
      <c r="G479" t="inlineStr">
        <is>
          <t>NYKÖPING</t>
        </is>
      </c>
      <c r="I479" t="n">
        <v>1.9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24280-2022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44725</v>
      </c>
      <c r="E480" s="1" t="n">
        <v>46307</v>
      </c>
      <c r="F480" t="inlineStr">
        <is>
          <t>SÖDERMANLANDS LÄN</t>
        </is>
      </c>
      <c r="G480" t="inlineStr">
        <is>
          <t>NYKÖPING</t>
        </is>
      </c>
      <c r="I480" t="n">
        <v>0.7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12149-2023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44998</v>
      </c>
      <c r="E481" s="1" t="n">
        <v>46307</v>
      </c>
      <c r="F481" t="inlineStr">
        <is>
          <t>SÖDERMANLANDS LÄN</t>
        </is>
      </c>
      <c r="G481" t="inlineStr">
        <is>
          <t>NYKÖPING</t>
        </is>
      </c>
      <c r="I481" t="n">
        <v>2.2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31424-2022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44774</v>
      </c>
      <c r="E482" s="1" t="n">
        <v>46307</v>
      </c>
      <c r="F482" t="inlineStr">
        <is>
          <t>SÖDERMANLANDS LÄN</t>
        </is>
      </c>
      <c r="G482" t="inlineStr">
        <is>
          <t>NYKÖPING</t>
        </is>
      </c>
      <c r="I482" t="n">
        <v>2.4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17234-2022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44678</v>
      </c>
      <c r="E483" s="1" t="n">
        <v>46307</v>
      </c>
      <c r="F483" t="inlineStr">
        <is>
          <t>SÖDERMANLANDS LÄN</t>
        </is>
      </c>
      <c r="G483" t="inlineStr">
        <is>
          <t>NYKÖPING</t>
        </is>
      </c>
      <c r="I483" t="n">
        <v>3.2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47370-2022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44853</v>
      </c>
      <c r="E484" s="1" t="n">
        <v>46307</v>
      </c>
      <c r="F484" t="inlineStr">
        <is>
          <t>SÖDERMANLANDS LÄN</t>
        </is>
      </c>
      <c r="G484" t="inlineStr">
        <is>
          <t>NYKÖPING</t>
        </is>
      </c>
      <c r="I484" t="n">
        <v>3.2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16981-2023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45033</v>
      </c>
      <c r="E485" s="1" t="n">
        <v>46307</v>
      </c>
      <c r="F485" t="inlineStr">
        <is>
          <t>SÖDERMANLANDS LÄN</t>
        </is>
      </c>
      <c r="G485" t="inlineStr">
        <is>
          <t>NYKÖPING</t>
        </is>
      </c>
      <c r="H485" t="inlineStr">
        <is>
          <t>Holmen skog AB</t>
        </is>
      </c>
      <c r="I485" t="n">
        <v>16.5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13027-2024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45385</v>
      </c>
      <c r="E486" s="1" t="n">
        <v>46307</v>
      </c>
      <c r="F486" t="inlineStr">
        <is>
          <t>SÖDERMANLANDS LÄN</t>
        </is>
      </c>
      <c r="G486" t="inlineStr">
        <is>
          <t>NYKÖPING</t>
        </is>
      </c>
      <c r="I486" t="n">
        <v>0.7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59613-2021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44491</v>
      </c>
      <c r="E487" s="1" t="n">
        <v>46307</v>
      </c>
      <c r="F487" t="inlineStr">
        <is>
          <t>SÖDERMANLANDS LÄN</t>
        </is>
      </c>
      <c r="G487" t="inlineStr">
        <is>
          <t>NYKÖPING</t>
        </is>
      </c>
      <c r="H487" t="inlineStr">
        <is>
          <t>Övriga Aktiebolag</t>
        </is>
      </c>
      <c r="I487" t="n">
        <v>0.9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50698-2024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45602</v>
      </c>
      <c r="E488" s="1" t="n">
        <v>46307</v>
      </c>
      <c r="F488" t="inlineStr">
        <is>
          <t>SÖDERMANLANDS LÄN</t>
        </is>
      </c>
      <c r="G488" t="inlineStr">
        <is>
          <t>NYKÖPING</t>
        </is>
      </c>
      <c r="I488" t="n">
        <v>1.4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38508-2023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45162</v>
      </c>
      <c r="E489" s="1" t="n">
        <v>46307</v>
      </c>
      <c r="F489" t="inlineStr">
        <is>
          <t>SÖDERMANLANDS LÄN</t>
        </is>
      </c>
      <c r="G489" t="inlineStr">
        <is>
          <t>NYKÖPING</t>
        </is>
      </c>
      <c r="I489" t="n">
        <v>1.9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21142-2023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45062</v>
      </c>
      <c r="E490" s="1" t="n">
        <v>46307</v>
      </c>
      <c r="F490" t="inlineStr">
        <is>
          <t>SÖDERMANLANDS LÄN</t>
        </is>
      </c>
      <c r="G490" t="inlineStr">
        <is>
          <t>NYKÖPING</t>
        </is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13455-2022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44645</v>
      </c>
      <c r="E491" s="1" t="n">
        <v>46307</v>
      </c>
      <c r="F491" t="inlineStr">
        <is>
          <t>SÖDERMANLANDS LÄN</t>
        </is>
      </c>
      <c r="G491" t="inlineStr">
        <is>
          <t>NYKÖPING</t>
        </is>
      </c>
      <c r="I491" t="n">
        <v>1.9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21987-2024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45443</v>
      </c>
      <c r="E492" s="1" t="n">
        <v>46307</v>
      </c>
      <c r="F492" t="inlineStr">
        <is>
          <t>SÖDERMANLANDS LÄN</t>
        </is>
      </c>
      <c r="G492" t="inlineStr">
        <is>
          <t>NYKÖPING</t>
        </is>
      </c>
      <c r="H492" t="inlineStr">
        <is>
          <t>Holmen skog AB</t>
        </is>
      </c>
      <c r="I492" t="n">
        <v>1.3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33767-2025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45842</v>
      </c>
      <c r="E493" s="1" t="n">
        <v>46307</v>
      </c>
      <c r="F493" t="inlineStr">
        <is>
          <t>SÖDERMANLANDS LÄN</t>
        </is>
      </c>
      <c r="G493" t="inlineStr">
        <is>
          <t>NYKÖPING</t>
        </is>
      </c>
      <c r="I493" t="n">
        <v>2.4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49223-2022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44858</v>
      </c>
      <c r="E494" s="1" t="n">
        <v>46307</v>
      </c>
      <c r="F494" t="inlineStr">
        <is>
          <t>SÖDERMANLANDS LÄN</t>
        </is>
      </c>
      <c r="G494" t="inlineStr">
        <is>
          <t>NYKÖPING</t>
        </is>
      </c>
      <c r="H494" t="inlineStr">
        <is>
          <t>Övriga statliga verk och myndigheter</t>
        </is>
      </c>
      <c r="I494" t="n">
        <v>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25796-2022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44733</v>
      </c>
      <c r="E495" s="1" t="n">
        <v>46307</v>
      </c>
      <c r="F495" t="inlineStr">
        <is>
          <t>SÖDERMANLANDS LÄN</t>
        </is>
      </c>
      <c r="G495" t="inlineStr">
        <is>
          <t>NYKÖPING</t>
        </is>
      </c>
      <c r="I495" t="n">
        <v>2.9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33773-2025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45842</v>
      </c>
      <c r="E496" s="1" t="n">
        <v>46307</v>
      </c>
      <c r="F496" t="inlineStr">
        <is>
          <t>SÖDERMANLANDS LÄN</t>
        </is>
      </c>
      <c r="G496" t="inlineStr">
        <is>
          <t>NYKÖPING</t>
        </is>
      </c>
      <c r="I496" t="n">
        <v>3.8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33382-2025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45841</v>
      </c>
      <c r="E497" s="1" t="n">
        <v>46307</v>
      </c>
      <c r="F497" t="inlineStr">
        <is>
          <t>SÖDERMANLANDS LÄN</t>
        </is>
      </c>
      <c r="G497" t="inlineStr">
        <is>
          <t>NYKÖPING</t>
        </is>
      </c>
      <c r="I497" t="n">
        <v>0.5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49291-2023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45210</v>
      </c>
      <c r="E498" s="1" t="n">
        <v>46307</v>
      </c>
      <c r="F498" t="inlineStr">
        <is>
          <t>SÖDERMANLANDS LÄN</t>
        </is>
      </c>
      <c r="G498" t="inlineStr">
        <is>
          <t>NYKÖPING</t>
        </is>
      </c>
      <c r="I498" t="n">
        <v>0.6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33762-2025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45842</v>
      </c>
      <c r="E499" s="1" t="n">
        <v>46307</v>
      </c>
      <c r="F499" t="inlineStr">
        <is>
          <t>SÖDERMANLANDS LÄN</t>
        </is>
      </c>
      <c r="G499" t="inlineStr">
        <is>
          <t>NYKÖPING</t>
        </is>
      </c>
      <c r="I499" t="n">
        <v>1.2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33764-2025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45842</v>
      </c>
      <c r="E500" s="1" t="n">
        <v>46307</v>
      </c>
      <c r="F500" t="inlineStr">
        <is>
          <t>SÖDERMANLANDS LÄN</t>
        </is>
      </c>
      <c r="G500" t="inlineStr">
        <is>
          <t>NYKÖPING</t>
        </is>
      </c>
      <c r="I500" t="n">
        <v>6.2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51699-2023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45222</v>
      </c>
      <c r="E501" s="1" t="n">
        <v>46307</v>
      </c>
      <c r="F501" t="inlineStr">
        <is>
          <t>SÖDERMANLANDS LÄN</t>
        </is>
      </c>
      <c r="G501" t="inlineStr">
        <is>
          <t>NYKÖPING</t>
        </is>
      </c>
      <c r="H501" t="inlineStr">
        <is>
          <t>Holmen skog AB</t>
        </is>
      </c>
      <c r="I501" t="n">
        <v>0.9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24829-2024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45461</v>
      </c>
      <c r="E502" s="1" t="n">
        <v>46307</v>
      </c>
      <c r="F502" t="inlineStr">
        <is>
          <t>SÖDERMANLANDS LÄN</t>
        </is>
      </c>
      <c r="G502" t="inlineStr">
        <is>
          <t>NYKÖPING</t>
        </is>
      </c>
      <c r="I502" t="n">
        <v>0.9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35532-2022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44799</v>
      </c>
      <c r="E503" s="1" t="n">
        <v>46307</v>
      </c>
      <c r="F503" t="inlineStr">
        <is>
          <t>SÖDERMANLANDS LÄN</t>
        </is>
      </c>
      <c r="G503" t="inlineStr">
        <is>
          <t>NYKÖPING</t>
        </is>
      </c>
      <c r="I503" t="n">
        <v>3.8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34012-2025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45844</v>
      </c>
      <c r="E504" s="1" t="n">
        <v>46307</v>
      </c>
      <c r="F504" t="inlineStr">
        <is>
          <t>SÖDERMANLANDS LÄN</t>
        </is>
      </c>
      <c r="G504" t="inlineStr">
        <is>
          <t>NYKÖPING</t>
        </is>
      </c>
      <c r="I504" t="n">
        <v>0.6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55311-2025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45970</v>
      </c>
      <c r="E505" s="1" t="n">
        <v>46307</v>
      </c>
      <c r="F505" t="inlineStr">
        <is>
          <t>SÖDERMANLANDS LÄN</t>
        </is>
      </c>
      <c r="G505" t="inlineStr">
        <is>
          <t>NYKÖPING</t>
        </is>
      </c>
      <c r="I505" t="n">
        <v>1.6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24631-2022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44727</v>
      </c>
      <c r="E506" s="1" t="n">
        <v>46307</v>
      </c>
      <c r="F506" t="inlineStr">
        <is>
          <t>SÖDERMANLANDS LÄN</t>
        </is>
      </c>
      <c r="G506" t="inlineStr">
        <is>
          <t>NYKÖPING</t>
        </is>
      </c>
      <c r="I506" t="n">
        <v>0.7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7428-2025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45705</v>
      </c>
      <c r="E507" s="1" t="n">
        <v>46307</v>
      </c>
      <c r="F507" t="inlineStr">
        <is>
          <t>SÖDERMANLANDS LÄN</t>
        </is>
      </c>
      <c r="G507" t="inlineStr">
        <is>
          <t>NYKÖPING</t>
        </is>
      </c>
      <c r="I507" t="n">
        <v>2.3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8787-2025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45712</v>
      </c>
      <c r="E508" s="1" t="n">
        <v>46307</v>
      </c>
      <c r="F508" t="inlineStr">
        <is>
          <t>SÖDERMANLANDS LÄN</t>
        </is>
      </c>
      <c r="G508" t="inlineStr">
        <is>
          <t>NYKÖPING</t>
        </is>
      </c>
      <c r="H508" t="inlineStr">
        <is>
          <t>Holmen skog AB</t>
        </is>
      </c>
      <c r="I508" t="n">
        <v>4.2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56128-2025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45974</v>
      </c>
      <c r="E509" s="1" t="n">
        <v>46307</v>
      </c>
      <c r="F509" t="inlineStr">
        <is>
          <t>SÖDERMANLANDS LÄN</t>
        </is>
      </c>
      <c r="G509" t="inlineStr">
        <is>
          <t>NYKÖPING</t>
        </is>
      </c>
      <c r="H509" t="inlineStr">
        <is>
          <t>Holmen skog AB</t>
        </is>
      </c>
      <c r="I509" t="n">
        <v>3.2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24197-2022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44725</v>
      </c>
      <c r="E510" s="1" t="n">
        <v>46307</v>
      </c>
      <c r="F510" t="inlineStr">
        <is>
          <t>SÖDERMANLANDS LÄN</t>
        </is>
      </c>
      <c r="G510" t="inlineStr">
        <is>
          <t>NYKÖPING</t>
        </is>
      </c>
      <c r="I510" t="n">
        <v>1.1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11554-2025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45727</v>
      </c>
      <c r="E511" s="1" t="n">
        <v>46307</v>
      </c>
      <c r="F511" t="inlineStr">
        <is>
          <t>SÖDERMANLANDS LÄN</t>
        </is>
      </c>
      <c r="G511" t="inlineStr">
        <is>
          <t>NYKÖPING</t>
        </is>
      </c>
      <c r="I511" t="n">
        <v>2.5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26993-2022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44740</v>
      </c>
      <c r="E512" s="1" t="n">
        <v>46307</v>
      </c>
      <c r="F512" t="inlineStr">
        <is>
          <t>SÖDERMANLANDS LÄN</t>
        </is>
      </c>
      <c r="G512" t="inlineStr">
        <is>
          <t>NYKÖPING</t>
        </is>
      </c>
      <c r="I512" t="n">
        <v>13.1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65231-2023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45289</v>
      </c>
      <c r="E513" s="1" t="n">
        <v>46307</v>
      </c>
      <c r="F513" t="inlineStr">
        <is>
          <t>SÖDERMANLANDS LÄN</t>
        </is>
      </c>
      <c r="G513" t="inlineStr">
        <is>
          <t>NYKÖPING</t>
        </is>
      </c>
      <c r="I513" t="n">
        <v>5.4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13763-2025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45737</v>
      </c>
      <c r="E514" s="1" t="n">
        <v>46307</v>
      </c>
      <c r="F514" t="inlineStr">
        <is>
          <t>SÖDERMANLANDS LÄN</t>
        </is>
      </c>
      <c r="G514" t="inlineStr">
        <is>
          <t>NYKÖPING</t>
        </is>
      </c>
      <c r="I514" t="n">
        <v>0.7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35252-2022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44798</v>
      </c>
      <c r="E515" s="1" t="n">
        <v>46307</v>
      </c>
      <c r="F515" t="inlineStr">
        <is>
          <t>SÖDERMANLANDS LÄN</t>
        </is>
      </c>
      <c r="G515" t="inlineStr">
        <is>
          <t>NYKÖPING</t>
        </is>
      </c>
      <c r="I515" t="n">
        <v>5.8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35732-2025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45860</v>
      </c>
      <c r="E516" s="1" t="n">
        <v>46307</v>
      </c>
      <c r="F516" t="inlineStr">
        <is>
          <t>SÖDERMANLANDS LÄN</t>
        </is>
      </c>
      <c r="G516" t="inlineStr">
        <is>
          <t>NYKÖPING</t>
        </is>
      </c>
      <c r="H516" t="inlineStr">
        <is>
          <t>Holmen skog AB</t>
        </is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8415-2023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44977</v>
      </c>
      <c r="E517" s="1" t="n">
        <v>46307</v>
      </c>
      <c r="F517" t="inlineStr">
        <is>
          <t>SÖDERMANLANDS LÄN</t>
        </is>
      </c>
      <c r="G517" t="inlineStr">
        <is>
          <t>NYKÖPING</t>
        </is>
      </c>
      <c r="I517" t="n">
        <v>0.4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16906-2022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44676</v>
      </c>
      <c r="E518" s="1" t="n">
        <v>46307</v>
      </c>
      <c r="F518" t="inlineStr">
        <is>
          <t>SÖDERMANLANDS LÄN</t>
        </is>
      </c>
      <c r="G518" t="inlineStr">
        <is>
          <t>NYKÖPING</t>
        </is>
      </c>
      <c r="I518" t="n">
        <v>1.6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30907-2022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44767</v>
      </c>
      <c r="E519" s="1" t="n">
        <v>46307</v>
      </c>
      <c r="F519" t="inlineStr">
        <is>
          <t>SÖDERMANLANDS LÄN</t>
        </is>
      </c>
      <c r="G519" t="inlineStr">
        <is>
          <t>NYKÖPING</t>
        </is>
      </c>
      <c r="I519" t="n">
        <v>9.1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45926-2022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44846</v>
      </c>
      <c r="E520" s="1" t="n">
        <v>46307</v>
      </c>
      <c r="F520" t="inlineStr">
        <is>
          <t>SÖDERMANLANDS LÄN</t>
        </is>
      </c>
      <c r="G520" t="inlineStr">
        <is>
          <t>NYKÖPING</t>
        </is>
      </c>
      <c r="I520" t="n">
        <v>0.5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24891-2023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45085</v>
      </c>
      <c r="E521" s="1" t="n">
        <v>46307</v>
      </c>
      <c r="F521" t="inlineStr">
        <is>
          <t>SÖDERMANLANDS LÄN</t>
        </is>
      </c>
      <c r="G521" t="inlineStr">
        <is>
          <t>NYKÖPING</t>
        </is>
      </c>
      <c r="H521" t="inlineStr">
        <is>
          <t>Holmen skog AB</t>
        </is>
      </c>
      <c r="I521" t="n">
        <v>1.7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2687-2023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44944</v>
      </c>
      <c r="E522" s="1" t="n">
        <v>46307</v>
      </c>
      <c r="F522" t="inlineStr">
        <is>
          <t>SÖDERMANLANDS LÄN</t>
        </is>
      </c>
      <c r="G522" t="inlineStr">
        <is>
          <t>NYKÖPING</t>
        </is>
      </c>
      <c r="I522" t="n">
        <v>14.9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7756-2024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45348</v>
      </c>
      <c r="E523" s="1" t="n">
        <v>46307</v>
      </c>
      <c r="F523" t="inlineStr">
        <is>
          <t>SÖDERMANLANDS LÄN</t>
        </is>
      </c>
      <c r="G523" t="inlineStr">
        <is>
          <t>NYKÖPING</t>
        </is>
      </c>
      <c r="I523" t="n">
        <v>1.8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7824-2024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45349</v>
      </c>
      <c r="E524" s="1" t="n">
        <v>46307</v>
      </c>
      <c r="F524" t="inlineStr">
        <is>
          <t>SÖDERMANLANDS LÄN</t>
        </is>
      </c>
      <c r="G524" t="inlineStr">
        <is>
          <t>NYKÖPING</t>
        </is>
      </c>
      <c r="I524" t="n">
        <v>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7496-2022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44607</v>
      </c>
      <c r="E525" s="1" t="n">
        <v>46307</v>
      </c>
      <c r="F525" t="inlineStr">
        <is>
          <t>SÖDERMANLANDS LÄN</t>
        </is>
      </c>
      <c r="G525" t="inlineStr">
        <is>
          <t>NYKÖPING</t>
        </is>
      </c>
      <c r="I525" t="n">
        <v>1.9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3187-2022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44582</v>
      </c>
      <c r="E526" s="1" t="n">
        <v>46307</v>
      </c>
      <c r="F526" t="inlineStr">
        <is>
          <t>SÖDERMANLANDS LÄN</t>
        </is>
      </c>
      <c r="G526" t="inlineStr">
        <is>
          <t>NYKÖPING</t>
        </is>
      </c>
      <c r="I526" t="n">
        <v>0.6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37941-2022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44810</v>
      </c>
      <c r="E527" s="1" t="n">
        <v>46307</v>
      </c>
      <c r="F527" t="inlineStr">
        <is>
          <t>SÖDERMANLANDS LÄN</t>
        </is>
      </c>
      <c r="G527" t="inlineStr">
        <is>
          <t>NYKÖPING</t>
        </is>
      </c>
      <c r="I527" t="n">
        <v>13.5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52068-2023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45216</v>
      </c>
      <c r="E528" s="1" t="n">
        <v>46307</v>
      </c>
      <c r="F528" t="inlineStr">
        <is>
          <t>SÖDERMANLANDS LÄN</t>
        </is>
      </c>
      <c r="G528" t="inlineStr">
        <is>
          <t>NYKÖPING</t>
        </is>
      </c>
      <c r="I528" t="n">
        <v>3.7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38149-2024</t>
        </is>
      </c>
      <c r="B529" t="inlineStr">
        <is>
          <t>avverkningsanmälan</t>
        </is>
      </c>
      <c r="C529" t="inlineStr">
        <is>
          <t>Avverkning för annat ändamål</t>
        </is>
      </c>
      <c r="D529" s="1" t="n">
        <v>45545</v>
      </c>
      <c r="E529" s="1" t="n">
        <v>46307</v>
      </c>
      <c r="F529" t="inlineStr">
        <is>
          <t>SÖDERMANLANDS LÄN</t>
        </is>
      </c>
      <c r="G529" t="inlineStr">
        <is>
          <t>NYKÖPING</t>
        </is>
      </c>
      <c r="I529" t="n">
        <v>5.6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48484-2022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44858</v>
      </c>
      <c r="E530" s="1" t="n">
        <v>46307</v>
      </c>
      <c r="F530" t="inlineStr">
        <is>
          <t>SÖDERMANLANDS LÄN</t>
        </is>
      </c>
      <c r="G530" t="inlineStr">
        <is>
          <t>NYKÖPING</t>
        </is>
      </c>
      <c r="I530" t="n">
        <v>1.9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30198-2022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44757</v>
      </c>
      <c r="E531" s="1" t="n">
        <v>46307</v>
      </c>
      <c r="F531" t="inlineStr">
        <is>
          <t>SÖDERMANLANDS LÄN</t>
        </is>
      </c>
      <c r="G531" t="inlineStr">
        <is>
          <t>NYKÖPING</t>
        </is>
      </c>
      <c r="H531" t="inlineStr">
        <is>
          <t>Holmen skog AB</t>
        </is>
      </c>
      <c r="I531" t="n">
        <v>0.9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52258-2023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45224</v>
      </c>
      <c r="E532" s="1" t="n">
        <v>46307</v>
      </c>
      <c r="F532" t="inlineStr">
        <is>
          <t>SÖDERMANLANDS LÄN</t>
        </is>
      </c>
      <c r="G532" t="inlineStr">
        <is>
          <t>NYKÖPING</t>
        </is>
      </c>
      <c r="I532" t="n">
        <v>0.9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8140-2023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44974</v>
      </c>
      <c r="E533" s="1" t="n">
        <v>46307</v>
      </c>
      <c r="F533" t="inlineStr">
        <is>
          <t>SÖDERMANLANDS LÄN</t>
        </is>
      </c>
      <c r="G533" t="inlineStr">
        <is>
          <t>NYKÖPING</t>
        </is>
      </c>
      <c r="H533" t="inlineStr">
        <is>
          <t>Holmen skog AB</t>
        </is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57324-2025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45980</v>
      </c>
      <c r="E534" s="1" t="n">
        <v>46307</v>
      </c>
      <c r="F534" t="inlineStr">
        <is>
          <t>SÖDERMANLANDS LÄN</t>
        </is>
      </c>
      <c r="G534" t="inlineStr">
        <is>
          <t>NYKÖPING</t>
        </is>
      </c>
      <c r="H534" t="inlineStr">
        <is>
          <t>Holmen skog AB</t>
        </is>
      </c>
      <c r="I534" t="n">
        <v>3.7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26561-2023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45092</v>
      </c>
      <c r="E535" s="1" t="n">
        <v>46307</v>
      </c>
      <c r="F535" t="inlineStr">
        <is>
          <t>SÖDERMANLANDS LÄN</t>
        </is>
      </c>
      <c r="G535" t="inlineStr">
        <is>
          <t>NYKÖPING</t>
        </is>
      </c>
      <c r="I535" t="n">
        <v>4.1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57074-2025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45979</v>
      </c>
      <c r="E536" s="1" t="n">
        <v>46307</v>
      </c>
      <c r="F536" t="inlineStr">
        <is>
          <t>SÖDERMANLANDS LÄN</t>
        </is>
      </c>
      <c r="G536" t="inlineStr">
        <is>
          <t>NYKÖPING</t>
        </is>
      </c>
      <c r="I536" t="n">
        <v>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1930-2022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44575</v>
      </c>
      <c r="E537" s="1" t="n">
        <v>46307</v>
      </c>
      <c r="F537" t="inlineStr">
        <is>
          <t>SÖDERMANLANDS LÄN</t>
        </is>
      </c>
      <c r="G537" t="inlineStr">
        <is>
          <t>NYKÖPING</t>
        </is>
      </c>
      <c r="I537" t="n">
        <v>4.5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12135-2025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45729</v>
      </c>
      <c r="E538" s="1" t="n">
        <v>46307</v>
      </c>
      <c r="F538" t="inlineStr">
        <is>
          <t>SÖDERMANLANDS LÄN</t>
        </is>
      </c>
      <c r="G538" t="inlineStr">
        <is>
          <t>NYKÖPING</t>
        </is>
      </c>
      <c r="I538" t="n">
        <v>0.7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1915-2022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44575</v>
      </c>
      <c r="E539" s="1" t="n">
        <v>46307</v>
      </c>
      <c r="F539" t="inlineStr">
        <is>
          <t>SÖDERMANLANDS LÄN</t>
        </is>
      </c>
      <c r="G539" t="inlineStr">
        <is>
          <t>NYKÖPING</t>
        </is>
      </c>
      <c r="I539" t="n">
        <v>1.7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57937-2025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45982</v>
      </c>
      <c r="E540" s="1" t="n">
        <v>46307</v>
      </c>
      <c r="F540" t="inlineStr">
        <is>
          <t>SÖDERMANLANDS LÄN</t>
        </is>
      </c>
      <c r="G540" t="inlineStr">
        <is>
          <t>NYKÖPING</t>
        </is>
      </c>
      <c r="H540" t="inlineStr">
        <is>
          <t>Holmen skog AB</t>
        </is>
      </c>
      <c r="I540" t="n">
        <v>4.3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12144-2025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45729</v>
      </c>
      <c r="E541" s="1" t="n">
        <v>46307</v>
      </c>
      <c r="F541" t="inlineStr">
        <is>
          <t>SÖDERMANLANDS LÄN</t>
        </is>
      </c>
      <c r="G541" t="inlineStr">
        <is>
          <t>NYKÖPING</t>
        </is>
      </c>
      <c r="I541" t="n">
        <v>1.4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49289-2023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45210</v>
      </c>
      <c r="E542" s="1" t="n">
        <v>46307</v>
      </c>
      <c r="F542" t="inlineStr">
        <is>
          <t>SÖDERMANLANDS LÄN</t>
        </is>
      </c>
      <c r="G542" t="inlineStr">
        <is>
          <t>NYKÖPING</t>
        </is>
      </c>
      <c r="I542" t="n">
        <v>0.7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62948-2023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45271</v>
      </c>
      <c r="E543" s="1" t="n">
        <v>46307</v>
      </c>
      <c r="F543" t="inlineStr">
        <is>
          <t>SÖDERMANLANDS LÄN</t>
        </is>
      </c>
      <c r="G543" t="inlineStr">
        <is>
          <t>NYKÖPING</t>
        </is>
      </c>
      <c r="I543" t="n">
        <v>1.2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15047-2025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45743</v>
      </c>
      <c r="E544" s="1" t="n">
        <v>46307</v>
      </c>
      <c r="F544" t="inlineStr">
        <is>
          <t>SÖDERMANLANDS LÄN</t>
        </is>
      </c>
      <c r="G544" t="inlineStr">
        <is>
          <t>NYKÖPING</t>
        </is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18204-2025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45761</v>
      </c>
      <c r="E545" s="1" t="n">
        <v>46307</v>
      </c>
      <c r="F545" t="inlineStr">
        <is>
          <t>SÖDERMANLANDS LÄN</t>
        </is>
      </c>
      <c r="G545" t="inlineStr">
        <is>
          <t>NYKÖPING</t>
        </is>
      </c>
      <c r="I545" t="n">
        <v>2.7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30855-2023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45110</v>
      </c>
      <c r="E546" s="1" t="n">
        <v>46307</v>
      </c>
      <c r="F546" t="inlineStr">
        <is>
          <t>SÖDERMANLANDS LÄN</t>
        </is>
      </c>
      <c r="G546" t="inlineStr">
        <is>
          <t>NYKÖPING</t>
        </is>
      </c>
      <c r="I546" t="n">
        <v>0.9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47260-2023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45202</v>
      </c>
      <c r="E547" s="1" t="n">
        <v>46307</v>
      </c>
      <c r="F547" t="inlineStr">
        <is>
          <t>SÖDERMANLANDS LÄN</t>
        </is>
      </c>
      <c r="G547" t="inlineStr">
        <is>
          <t>NYKÖPING</t>
        </is>
      </c>
      <c r="I547" t="n">
        <v>1.8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32594-2022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44783</v>
      </c>
      <c r="E548" s="1" t="n">
        <v>46307</v>
      </c>
      <c r="F548" t="inlineStr">
        <is>
          <t>SÖDERMANLANDS LÄN</t>
        </is>
      </c>
      <c r="G548" t="inlineStr">
        <is>
          <t>NYKÖPING</t>
        </is>
      </c>
      <c r="I548" t="n">
        <v>3.3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1945-2025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45672</v>
      </c>
      <c r="E549" s="1" t="n">
        <v>46307</v>
      </c>
      <c r="F549" t="inlineStr">
        <is>
          <t>SÖDERMANLANDS LÄN</t>
        </is>
      </c>
      <c r="G549" t="inlineStr">
        <is>
          <t>NYKÖPING</t>
        </is>
      </c>
      <c r="I549" t="n">
        <v>2.7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63882-2023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45278</v>
      </c>
      <c r="E550" s="1" t="n">
        <v>46307</v>
      </c>
      <c r="F550" t="inlineStr">
        <is>
          <t>SÖDERMANLANDS LÄN</t>
        </is>
      </c>
      <c r="G550" t="inlineStr">
        <is>
          <t>NYKÖPING</t>
        </is>
      </c>
      <c r="I550" t="n">
        <v>2.6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14402-2026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46100</v>
      </c>
      <c r="E551" s="1" t="n">
        <v>46307</v>
      </c>
      <c r="F551" t="inlineStr">
        <is>
          <t>SÖDERMANLANDS LÄN</t>
        </is>
      </c>
      <c r="G551" t="inlineStr">
        <is>
          <t>NYKÖPING</t>
        </is>
      </c>
      <c r="I551" t="n">
        <v>1.9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9913-2022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44620</v>
      </c>
      <c r="E552" s="1" t="n">
        <v>46307</v>
      </c>
      <c r="F552" t="inlineStr">
        <is>
          <t>SÖDERMANLANDS LÄN</t>
        </is>
      </c>
      <c r="G552" t="inlineStr">
        <is>
          <t>NYKÖPING</t>
        </is>
      </c>
      <c r="I552" t="n">
        <v>3.1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998-2024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45301</v>
      </c>
      <c r="E553" s="1" t="n">
        <v>46307</v>
      </c>
      <c r="F553" t="inlineStr">
        <is>
          <t>SÖDERMANLANDS LÄN</t>
        </is>
      </c>
      <c r="G553" t="inlineStr">
        <is>
          <t>NYKÖPING</t>
        </is>
      </c>
      <c r="H553" t="inlineStr">
        <is>
          <t>Övriga Aktiebolag</t>
        </is>
      </c>
      <c r="I553" t="n">
        <v>2.2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57028-2024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45628</v>
      </c>
      <c r="E554" s="1" t="n">
        <v>46307</v>
      </c>
      <c r="F554" t="inlineStr">
        <is>
          <t>SÖDERMANLANDS LÄN</t>
        </is>
      </c>
      <c r="G554" t="inlineStr">
        <is>
          <t>NYKÖPING</t>
        </is>
      </c>
      <c r="H554" t="inlineStr">
        <is>
          <t>Holmen skog AB</t>
        </is>
      </c>
      <c r="I554" t="n">
        <v>0.6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20131-2022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44698</v>
      </c>
      <c r="E555" s="1" t="n">
        <v>46307</v>
      </c>
      <c r="F555" t="inlineStr">
        <is>
          <t>SÖDERMANLANDS LÄN</t>
        </is>
      </c>
      <c r="G555" t="inlineStr">
        <is>
          <t>NYKÖPING</t>
        </is>
      </c>
      <c r="I555" t="n">
        <v>2.8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71555-2021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44540</v>
      </c>
      <c r="E556" s="1" t="n">
        <v>46307</v>
      </c>
      <c r="F556" t="inlineStr">
        <is>
          <t>SÖDERMANLANDS LÄN</t>
        </is>
      </c>
      <c r="G556" t="inlineStr">
        <is>
          <t>NYKÖPING</t>
        </is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6976-2023</t>
        </is>
      </c>
      <c r="B557" t="inlineStr">
        <is>
          <t>avverkningsanmälan</t>
        </is>
      </c>
      <c r="C557" t="inlineStr">
        <is>
          <t>Avverkning för annat ändamål</t>
        </is>
      </c>
      <c r="D557" s="1" t="n">
        <v>44967</v>
      </c>
      <c r="E557" s="1" t="n">
        <v>46307</v>
      </c>
      <c r="F557" t="inlineStr">
        <is>
          <t>SÖDERMANLANDS LÄN</t>
        </is>
      </c>
      <c r="G557" t="inlineStr">
        <is>
          <t>NYKÖPING</t>
        </is>
      </c>
      <c r="I557" t="n">
        <v>1.4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43306-2023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45183</v>
      </c>
      <c r="E558" s="1" t="n">
        <v>46307</v>
      </c>
      <c r="F558" t="inlineStr">
        <is>
          <t>SÖDERMANLANDS LÄN</t>
        </is>
      </c>
      <c r="G558" t="inlineStr">
        <is>
          <t>NYKÖPING</t>
        </is>
      </c>
      <c r="I558" t="n">
        <v>1.1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22176-2023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45069</v>
      </c>
      <c r="E559" s="1" t="n">
        <v>46307</v>
      </c>
      <c r="F559" t="inlineStr">
        <is>
          <t>SÖDERMANLANDS LÄN</t>
        </is>
      </c>
      <c r="G559" t="inlineStr">
        <is>
          <t>NYKÖPING</t>
        </is>
      </c>
      <c r="H559" t="inlineStr">
        <is>
          <t>Holmen skog AB</t>
        </is>
      </c>
      <c r="I559" t="n">
        <v>0.7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42246-2022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44830</v>
      </c>
      <c r="E560" s="1" t="n">
        <v>46307</v>
      </c>
      <c r="F560" t="inlineStr">
        <is>
          <t>SÖDERMANLANDS LÄN</t>
        </is>
      </c>
      <c r="G560" t="inlineStr">
        <is>
          <t>NYKÖPING</t>
        </is>
      </c>
      <c r="I560" t="n">
        <v>2.4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60210-2022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44910</v>
      </c>
      <c r="E561" s="1" t="n">
        <v>46307</v>
      </c>
      <c r="F561" t="inlineStr">
        <is>
          <t>SÖDERMANLANDS LÄN</t>
        </is>
      </c>
      <c r="G561" t="inlineStr">
        <is>
          <t>NYKÖPING</t>
        </is>
      </c>
      <c r="I561" t="n">
        <v>2.5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34218-2024</t>
        </is>
      </c>
      <c r="B562" t="inlineStr">
        <is>
          <t>avverkningsanmälan</t>
        </is>
      </c>
      <c r="C562" t="inlineStr">
        <is>
          <t>Avverkning för annat ändamål</t>
        </is>
      </c>
      <c r="D562" s="1" t="n">
        <v>45524</v>
      </c>
      <c r="E562" s="1" t="n">
        <v>46307</v>
      </c>
      <c r="F562" t="inlineStr">
        <is>
          <t>SÖDERMANLANDS LÄN</t>
        </is>
      </c>
      <c r="G562" t="inlineStr">
        <is>
          <t>NYKÖPING</t>
        </is>
      </c>
      <c r="I562" t="n">
        <v>5.3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12812-2025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45733</v>
      </c>
      <c r="E563" s="1" t="n">
        <v>46307</v>
      </c>
      <c r="F563" t="inlineStr">
        <is>
          <t>SÖDERMANLANDS LÄN</t>
        </is>
      </c>
      <c r="G563" t="inlineStr">
        <is>
          <t>NYKÖPING</t>
        </is>
      </c>
      <c r="H563" t="inlineStr">
        <is>
          <t>Holmen skog AB</t>
        </is>
      </c>
      <c r="I563" t="n">
        <v>3.7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41099-2022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44825</v>
      </c>
      <c r="E564" s="1" t="n">
        <v>46307</v>
      </c>
      <c r="F564" t="inlineStr">
        <is>
          <t>SÖDERMANLANDS LÄN</t>
        </is>
      </c>
      <c r="G564" t="inlineStr">
        <is>
          <t>NYKÖPING</t>
        </is>
      </c>
      <c r="I564" t="n">
        <v>0.5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4406-2024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45327</v>
      </c>
      <c r="E565" s="1" t="n">
        <v>46307</v>
      </c>
      <c r="F565" t="inlineStr">
        <is>
          <t>SÖDERMANLANDS LÄN</t>
        </is>
      </c>
      <c r="G565" t="inlineStr">
        <is>
          <t>NYKÖPING</t>
        </is>
      </c>
      <c r="H565" t="inlineStr">
        <is>
          <t>Holmen skog AB</t>
        </is>
      </c>
      <c r="I565" t="n">
        <v>2.5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2543-2023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44943</v>
      </c>
      <c r="E566" s="1" t="n">
        <v>46307</v>
      </c>
      <c r="F566" t="inlineStr">
        <is>
          <t>SÖDERMANLANDS LÄN</t>
        </is>
      </c>
      <c r="G566" t="inlineStr">
        <is>
          <t>NYKÖPING</t>
        </is>
      </c>
      <c r="I566" t="n">
        <v>0.5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2544-2023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44943</v>
      </c>
      <c r="E567" s="1" t="n">
        <v>46307</v>
      </c>
      <c r="F567" t="inlineStr">
        <is>
          <t>SÖDERMANLANDS LÄN</t>
        </is>
      </c>
      <c r="G567" t="inlineStr">
        <is>
          <t>NYKÖPING</t>
        </is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46022-2025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45924</v>
      </c>
      <c r="E568" s="1" t="n">
        <v>46307</v>
      </c>
      <c r="F568" t="inlineStr">
        <is>
          <t>SÖDERMANLANDS LÄN</t>
        </is>
      </c>
      <c r="G568" t="inlineStr">
        <is>
          <t>NYKÖPING</t>
        </is>
      </c>
      <c r="I568" t="n">
        <v>4.6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17074-2026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46114</v>
      </c>
      <c r="E569" s="1" t="n">
        <v>46307</v>
      </c>
      <c r="F569" t="inlineStr">
        <is>
          <t>SÖDERMANLANDS LÄN</t>
        </is>
      </c>
      <c r="G569" t="inlineStr">
        <is>
          <t>NYKÖPING</t>
        </is>
      </c>
      <c r="I569" t="n">
        <v>2.2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23327-2023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45076</v>
      </c>
      <c r="E570" s="1" t="n">
        <v>46307</v>
      </c>
      <c r="F570" t="inlineStr">
        <is>
          <t>SÖDERMANLANDS LÄN</t>
        </is>
      </c>
      <c r="G570" t="inlineStr">
        <is>
          <t>NYKÖPING</t>
        </is>
      </c>
      <c r="H570" t="inlineStr">
        <is>
          <t>Övriga Aktiebolag</t>
        </is>
      </c>
      <c r="I570" t="n">
        <v>1.7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5521-2023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44960</v>
      </c>
      <c r="E571" s="1" t="n">
        <v>46307</v>
      </c>
      <c r="F571" t="inlineStr">
        <is>
          <t>SÖDERMANLANDS LÄN</t>
        </is>
      </c>
      <c r="G571" t="inlineStr">
        <is>
          <t>NYKÖPING</t>
        </is>
      </c>
      <c r="I571" t="n">
        <v>2.2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7223-2023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44970</v>
      </c>
      <c r="E572" s="1" t="n">
        <v>46307</v>
      </c>
      <c r="F572" t="inlineStr">
        <is>
          <t>SÖDERMANLANDS LÄN</t>
        </is>
      </c>
      <c r="G572" t="inlineStr">
        <is>
          <t>NYKÖPING</t>
        </is>
      </c>
      <c r="H572" t="inlineStr">
        <is>
          <t>Holmen skog AB</t>
        </is>
      </c>
      <c r="I572" t="n">
        <v>3.2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59906-2025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45993</v>
      </c>
      <c r="E573" s="1" t="n">
        <v>46307</v>
      </c>
      <c r="F573" t="inlineStr">
        <is>
          <t>SÖDERMANLANDS LÄN</t>
        </is>
      </c>
      <c r="G573" t="inlineStr">
        <is>
          <t>NYKÖPING</t>
        </is>
      </c>
      <c r="H573" t="inlineStr">
        <is>
          <t>Holmen skog AB</t>
        </is>
      </c>
      <c r="I573" t="n">
        <v>2.3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59995-2025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45993</v>
      </c>
      <c r="E574" s="1" t="n">
        <v>46307</v>
      </c>
      <c r="F574" t="inlineStr">
        <is>
          <t>SÖDERMANLANDS LÄN</t>
        </is>
      </c>
      <c r="G574" t="inlineStr">
        <is>
          <t>NYKÖPING</t>
        </is>
      </c>
      <c r="I574" t="n">
        <v>4.6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59991-2025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45993</v>
      </c>
      <c r="E575" s="1" t="n">
        <v>46307</v>
      </c>
      <c r="F575" t="inlineStr">
        <is>
          <t>SÖDERMANLANDS LÄN</t>
        </is>
      </c>
      <c r="G575" t="inlineStr">
        <is>
          <t>NYKÖPING</t>
        </is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59992-2025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45993</v>
      </c>
      <c r="E576" s="1" t="n">
        <v>46307</v>
      </c>
      <c r="F576" t="inlineStr">
        <is>
          <t>SÖDERMANLANDS LÄN</t>
        </is>
      </c>
      <c r="G576" t="inlineStr">
        <is>
          <t>NYKÖPING</t>
        </is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59998-2025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45993</v>
      </c>
      <c r="E577" s="1" t="n">
        <v>46307</v>
      </c>
      <c r="F577" t="inlineStr">
        <is>
          <t>SÖDERMANLANDS LÄN</t>
        </is>
      </c>
      <c r="G577" t="inlineStr">
        <is>
          <t>NYKÖPING</t>
        </is>
      </c>
      <c r="I577" t="n">
        <v>1.9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33863-2022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44790</v>
      </c>
      <c r="E578" s="1" t="n">
        <v>46307</v>
      </c>
      <c r="F578" t="inlineStr">
        <is>
          <t>SÖDERMANLANDS LÄN</t>
        </is>
      </c>
      <c r="G578" t="inlineStr">
        <is>
          <t>NYKÖPING</t>
        </is>
      </c>
      <c r="I578" t="n">
        <v>0.7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59917-2025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45993</v>
      </c>
      <c r="E579" s="1" t="n">
        <v>46307</v>
      </c>
      <c r="F579" t="inlineStr">
        <is>
          <t>SÖDERMANLANDS LÄN</t>
        </is>
      </c>
      <c r="G579" t="inlineStr">
        <is>
          <t>NYKÖPING</t>
        </is>
      </c>
      <c r="H579" t="inlineStr">
        <is>
          <t>Holmen skog AB</t>
        </is>
      </c>
      <c r="I579" t="n">
        <v>7.2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53738-2022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44880</v>
      </c>
      <c r="E580" s="1" t="n">
        <v>46307</v>
      </c>
      <c r="F580" t="inlineStr">
        <is>
          <t>SÖDERMANLANDS LÄN</t>
        </is>
      </c>
      <c r="G580" t="inlineStr">
        <is>
          <t>NYKÖPING</t>
        </is>
      </c>
      <c r="H580" t="inlineStr">
        <is>
          <t>Övriga Aktiebolag</t>
        </is>
      </c>
      <c r="I580" t="n">
        <v>1.3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13963-2022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44650</v>
      </c>
      <c r="E581" s="1" t="n">
        <v>46307</v>
      </c>
      <c r="F581" t="inlineStr">
        <is>
          <t>SÖDERMANLANDS LÄN</t>
        </is>
      </c>
      <c r="G581" t="inlineStr">
        <is>
          <t>NYKÖPING</t>
        </is>
      </c>
      <c r="I581" t="n">
        <v>1.1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43581-2022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44837</v>
      </c>
      <c r="E582" s="1" t="n">
        <v>46307</v>
      </c>
      <c r="F582" t="inlineStr">
        <is>
          <t>SÖDERMANLANDS LÄN</t>
        </is>
      </c>
      <c r="G582" t="inlineStr">
        <is>
          <t>NYKÖPING</t>
        </is>
      </c>
      <c r="I582" t="n">
        <v>7.8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53569-2022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44879</v>
      </c>
      <c r="E583" s="1" t="n">
        <v>46307</v>
      </c>
      <c r="F583" t="inlineStr">
        <is>
          <t>SÖDERMANLANDS LÄN</t>
        </is>
      </c>
      <c r="G583" t="inlineStr">
        <is>
          <t>NYKÖPING</t>
        </is>
      </c>
      <c r="H583" t="inlineStr">
        <is>
          <t>Övriga Aktiebolag</t>
        </is>
      </c>
      <c r="I583" t="n">
        <v>6.3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53413-2022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44879</v>
      </c>
      <c r="E584" s="1" t="n">
        <v>46307</v>
      </c>
      <c r="F584" t="inlineStr">
        <is>
          <t>SÖDERMANLANDS LÄN</t>
        </is>
      </c>
      <c r="G584" t="inlineStr">
        <is>
          <t>NYKÖPING</t>
        </is>
      </c>
      <c r="H584" t="inlineStr">
        <is>
          <t>Övriga Aktiebolag</t>
        </is>
      </c>
      <c r="I584" t="n">
        <v>8.800000000000001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12800-2023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45001</v>
      </c>
      <c r="E585" s="1" t="n">
        <v>46307</v>
      </c>
      <c r="F585" t="inlineStr">
        <is>
          <t>SÖDERMANLANDS LÄN</t>
        </is>
      </c>
      <c r="G585" t="inlineStr">
        <is>
          <t>NYKÖPING</t>
        </is>
      </c>
      <c r="H585" t="inlineStr">
        <is>
          <t>Kyrkan</t>
        </is>
      </c>
      <c r="I585" t="n">
        <v>5.6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61253-2025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45999</v>
      </c>
      <c r="E586" s="1" t="n">
        <v>46307</v>
      </c>
      <c r="F586" t="inlineStr">
        <is>
          <t>SÖDERMANLANDS LÄN</t>
        </is>
      </c>
      <c r="G586" t="inlineStr">
        <is>
          <t>NYKÖPING</t>
        </is>
      </c>
      <c r="H586" t="inlineStr">
        <is>
          <t>Allmännings- och besparingsskogar</t>
        </is>
      </c>
      <c r="I586" t="n">
        <v>13.5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61254-2025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45999</v>
      </c>
      <c r="E587" s="1" t="n">
        <v>46307</v>
      </c>
      <c r="F587" t="inlineStr">
        <is>
          <t>SÖDERMANLANDS LÄN</t>
        </is>
      </c>
      <c r="G587" t="inlineStr">
        <is>
          <t>NYKÖPING</t>
        </is>
      </c>
      <c r="H587" t="inlineStr">
        <is>
          <t>Allmännings- och besparingsskogar</t>
        </is>
      </c>
      <c r="I587" t="n">
        <v>10.6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61357-2025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46001</v>
      </c>
      <c r="E588" s="1" t="n">
        <v>46307</v>
      </c>
      <c r="F588" t="inlineStr">
        <is>
          <t>SÖDERMANLANDS LÄN</t>
        </is>
      </c>
      <c r="G588" t="inlineStr">
        <is>
          <t>NYKÖPING</t>
        </is>
      </c>
      <c r="H588" t="inlineStr">
        <is>
          <t>Holmen skog AB</t>
        </is>
      </c>
      <c r="I588" t="n">
        <v>1.1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1707-2023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44938</v>
      </c>
      <c r="E589" s="1" t="n">
        <v>46307</v>
      </c>
      <c r="F589" t="inlineStr">
        <is>
          <t>SÖDERMANLANDS LÄN</t>
        </is>
      </c>
      <c r="G589" t="inlineStr">
        <is>
          <t>NYKÖPING</t>
        </is>
      </c>
      <c r="I589" t="n">
        <v>2.6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61618-2022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44916</v>
      </c>
      <c r="E590" s="1" t="n">
        <v>46307</v>
      </c>
      <c r="F590" t="inlineStr">
        <is>
          <t>SÖDERMANLANDS LÄN</t>
        </is>
      </c>
      <c r="G590" t="inlineStr">
        <is>
          <t>NYKÖPING</t>
        </is>
      </c>
      <c r="H590" t="inlineStr">
        <is>
          <t>Holmen skog AB</t>
        </is>
      </c>
      <c r="I590" t="n">
        <v>0.5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15397-2023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45019</v>
      </c>
      <c r="E591" s="1" t="n">
        <v>46307</v>
      </c>
      <c r="F591" t="inlineStr">
        <is>
          <t>SÖDERMANLANDS LÄN</t>
        </is>
      </c>
      <c r="G591" t="inlineStr">
        <is>
          <t>NYKÖPING</t>
        </is>
      </c>
      <c r="I591" t="n">
        <v>2.7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38410-2022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44812</v>
      </c>
      <c r="E592" s="1" t="n">
        <v>46307</v>
      </c>
      <c r="F592" t="inlineStr">
        <is>
          <t>SÖDERMANLANDS LÄN</t>
        </is>
      </c>
      <c r="G592" t="inlineStr">
        <is>
          <t>NYKÖPING</t>
        </is>
      </c>
      <c r="I592" t="n">
        <v>3.4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5642-2023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44960</v>
      </c>
      <c r="E593" s="1" t="n">
        <v>46307</v>
      </c>
      <c r="F593" t="inlineStr">
        <is>
          <t>SÖDERMANLANDS LÄN</t>
        </is>
      </c>
      <c r="G593" t="inlineStr">
        <is>
          <t>NYKÖPING</t>
        </is>
      </c>
      <c r="H593" t="inlineStr">
        <is>
          <t>Holmen skog AB</t>
        </is>
      </c>
      <c r="I593" t="n">
        <v>1.7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1739-2023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44938</v>
      </c>
      <c r="E594" s="1" t="n">
        <v>46307</v>
      </c>
      <c r="F594" t="inlineStr">
        <is>
          <t>SÖDERMANLANDS LÄN</t>
        </is>
      </c>
      <c r="G594" t="inlineStr">
        <is>
          <t>NYKÖPING</t>
        </is>
      </c>
      <c r="I594" t="n">
        <v>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62115-2025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46006</v>
      </c>
      <c r="E595" s="1" t="n">
        <v>46307</v>
      </c>
      <c r="F595" t="inlineStr">
        <is>
          <t>SÖDERMANLANDS LÄN</t>
        </is>
      </c>
      <c r="G595" t="inlineStr">
        <is>
          <t>NYKÖPING</t>
        </is>
      </c>
      <c r="H595" t="inlineStr">
        <is>
          <t>Holmen skog AB</t>
        </is>
      </c>
      <c r="I595" t="n">
        <v>0.9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23114-2023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45075</v>
      </c>
      <c r="E596" s="1" t="n">
        <v>46307</v>
      </c>
      <c r="F596" t="inlineStr">
        <is>
          <t>SÖDERMANLANDS LÄN</t>
        </is>
      </c>
      <c r="G596" t="inlineStr">
        <is>
          <t>NYKÖPING</t>
        </is>
      </c>
      <c r="H596" t="inlineStr">
        <is>
          <t>Sveaskog</t>
        </is>
      </c>
      <c r="I596" t="n">
        <v>1.4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62113-2025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46006</v>
      </c>
      <c r="E597" s="1" t="n">
        <v>46307</v>
      </c>
      <c r="F597" t="inlineStr">
        <is>
          <t>SÖDERMANLANDS LÄN</t>
        </is>
      </c>
      <c r="G597" t="inlineStr">
        <is>
          <t>NYKÖPING</t>
        </is>
      </c>
      <c r="H597" t="inlineStr">
        <is>
          <t>Holmen skog AB</t>
        </is>
      </c>
      <c r="I597" t="n">
        <v>3.7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72985-2021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44549</v>
      </c>
      <c r="E598" s="1" t="n">
        <v>46307</v>
      </c>
      <c r="F598" t="inlineStr">
        <is>
          <t>SÖDERMANLANDS LÄN</t>
        </is>
      </c>
      <c r="G598" t="inlineStr">
        <is>
          <t>NYKÖPING</t>
        </is>
      </c>
      <c r="I598" t="n">
        <v>2.1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8407-2023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44977</v>
      </c>
      <c r="E599" s="1" t="n">
        <v>46307</v>
      </c>
      <c r="F599" t="inlineStr">
        <is>
          <t>SÖDERMANLANDS LÄN</t>
        </is>
      </c>
      <c r="G599" t="inlineStr">
        <is>
          <t>NYKÖPING</t>
        </is>
      </c>
      <c r="H599" t="inlineStr">
        <is>
          <t>Övriga Aktiebolag</t>
        </is>
      </c>
      <c r="I599" t="n">
        <v>0.9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51530-2022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44869</v>
      </c>
      <c r="E600" s="1" t="n">
        <v>46307</v>
      </c>
      <c r="F600" t="inlineStr">
        <is>
          <t>SÖDERMANLANDS LÄN</t>
        </is>
      </c>
      <c r="G600" t="inlineStr">
        <is>
          <t>NYKÖPING</t>
        </is>
      </c>
      <c r="I600" t="n">
        <v>1.2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62517-2025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46007</v>
      </c>
      <c r="E601" s="1" t="n">
        <v>46307</v>
      </c>
      <c r="F601" t="inlineStr">
        <is>
          <t>SÖDERMANLANDS LÄN</t>
        </is>
      </c>
      <c r="G601" t="inlineStr">
        <is>
          <t>NYKÖPING</t>
        </is>
      </c>
      <c r="I601" t="n">
        <v>5.5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39310-2023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45166</v>
      </c>
      <c r="E602" s="1" t="n">
        <v>46307</v>
      </c>
      <c r="F602" t="inlineStr">
        <is>
          <t>SÖDERMANLANDS LÄN</t>
        </is>
      </c>
      <c r="G602" t="inlineStr">
        <is>
          <t>NYKÖPING</t>
        </is>
      </c>
      <c r="H602" t="inlineStr">
        <is>
          <t>Holmen skog AB</t>
        </is>
      </c>
      <c r="I602" t="n">
        <v>1.1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4854-2023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44957</v>
      </c>
      <c r="E603" s="1" t="n">
        <v>46307</v>
      </c>
      <c r="F603" t="inlineStr">
        <is>
          <t>SÖDERMANLANDS LÄN</t>
        </is>
      </c>
      <c r="G603" t="inlineStr">
        <is>
          <t>NYKÖPING</t>
        </is>
      </c>
      <c r="I603" t="n">
        <v>0.8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21257-2023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45062</v>
      </c>
      <c r="E604" s="1" t="n">
        <v>46307</v>
      </c>
      <c r="F604" t="inlineStr">
        <is>
          <t>SÖDERMANLANDS LÄN</t>
        </is>
      </c>
      <c r="G604" t="inlineStr">
        <is>
          <t>NYKÖPING</t>
        </is>
      </c>
      <c r="I604" t="n">
        <v>0.7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58654-2025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45986</v>
      </c>
      <c r="E605" s="1" t="n">
        <v>46307</v>
      </c>
      <c r="F605" t="inlineStr">
        <is>
          <t>SÖDERMANLANDS LÄN</t>
        </is>
      </c>
      <c r="G605" t="inlineStr">
        <is>
          <t>NYKÖPING</t>
        </is>
      </c>
      <c r="I605" t="n">
        <v>2.6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28644-2025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45819</v>
      </c>
      <c r="E606" s="1" t="n">
        <v>46307</v>
      </c>
      <c r="F606" t="inlineStr">
        <is>
          <t>SÖDERMANLANDS LÄN</t>
        </is>
      </c>
      <c r="G606" t="inlineStr">
        <is>
          <t>NYKÖPING</t>
        </is>
      </c>
      <c r="H606" t="inlineStr">
        <is>
          <t>Sveaskog</t>
        </is>
      </c>
      <c r="I606" t="n">
        <v>1.7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11068-2024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45370</v>
      </c>
      <c r="E607" s="1" t="n">
        <v>46307</v>
      </c>
      <c r="F607" t="inlineStr">
        <is>
          <t>SÖDERMANLANDS LÄN</t>
        </is>
      </c>
      <c r="G607" t="inlineStr">
        <is>
          <t>NYKÖPING</t>
        </is>
      </c>
      <c r="H607" t="inlineStr">
        <is>
          <t>Kommuner</t>
        </is>
      </c>
      <c r="I607" t="n">
        <v>5.7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41165-2024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45559</v>
      </c>
      <c r="E608" s="1" t="n">
        <v>46307</v>
      </c>
      <c r="F608" t="inlineStr">
        <is>
          <t>SÖDERMANLANDS LÄN</t>
        </is>
      </c>
      <c r="G608" t="inlineStr">
        <is>
          <t>NYKÖPING</t>
        </is>
      </c>
      <c r="I608" t="n">
        <v>1.6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51556-2024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45604</v>
      </c>
      <c r="E609" s="1" t="n">
        <v>46307</v>
      </c>
      <c r="F609" t="inlineStr">
        <is>
          <t>SÖDERMANLANDS LÄN</t>
        </is>
      </c>
      <c r="G609" t="inlineStr">
        <is>
          <t>NYKÖPING</t>
        </is>
      </c>
      <c r="I609" t="n">
        <v>2.9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19807-2026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46135</v>
      </c>
      <c r="E610" s="1" t="n">
        <v>46307</v>
      </c>
      <c r="F610" t="inlineStr">
        <is>
          <t>SÖDERMANLANDS LÄN</t>
        </is>
      </c>
      <c r="G610" t="inlineStr">
        <is>
          <t>NYKÖPING</t>
        </is>
      </c>
      <c r="I610" t="n">
        <v>3.2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54065-2025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45964</v>
      </c>
      <c r="E611" s="1" t="n">
        <v>46307</v>
      </c>
      <c r="F611" t="inlineStr">
        <is>
          <t>SÖDERMANLANDS LÄN</t>
        </is>
      </c>
      <c r="G611" t="inlineStr">
        <is>
          <t>NYKÖPING</t>
        </is>
      </c>
      <c r="H611" t="inlineStr">
        <is>
          <t>Holmen skog AB</t>
        </is>
      </c>
      <c r="I611" t="n">
        <v>0.9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3216-2023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44946</v>
      </c>
      <c r="E612" s="1" t="n">
        <v>46307</v>
      </c>
      <c r="F612" t="inlineStr">
        <is>
          <t>SÖDERMANLANDS LÄN</t>
        </is>
      </c>
      <c r="G612" t="inlineStr">
        <is>
          <t>NYKÖPING</t>
        </is>
      </c>
      <c r="I612" t="n">
        <v>0.6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63293-2025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46010</v>
      </c>
      <c r="E613" s="1" t="n">
        <v>46307</v>
      </c>
      <c r="F613" t="inlineStr">
        <is>
          <t>SÖDERMANLANDS LÄN</t>
        </is>
      </c>
      <c r="G613" t="inlineStr">
        <is>
          <t>NYKÖPING</t>
        </is>
      </c>
      <c r="I613" t="n">
        <v>4.7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63246-2025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46010</v>
      </c>
      <c r="E614" s="1" t="n">
        <v>46307</v>
      </c>
      <c r="F614" t="inlineStr">
        <is>
          <t>SÖDERMANLANDS LÄN</t>
        </is>
      </c>
      <c r="G614" t="inlineStr">
        <is>
          <t>NYKÖPING</t>
        </is>
      </c>
      <c r="I614" t="n">
        <v>7.9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41132-2024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45559</v>
      </c>
      <c r="E615" s="1" t="n">
        <v>46307</v>
      </c>
      <c r="F615" t="inlineStr">
        <is>
          <t>SÖDERMANLANDS LÄN</t>
        </is>
      </c>
      <c r="G615" t="inlineStr">
        <is>
          <t>NYKÖPING</t>
        </is>
      </c>
      <c r="I615" t="n">
        <v>1.5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62917-2025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46009</v>
      </c>
      <c r="E616" s="1" t="n">
        <v>46307</v>
      </c>
      <c r="F616" t="inlineStr">
        <is>
          <t>SÖDERMANLANDS LÄN</t>
        </is>
      </c>
      <c r="G616" t="inlineStr">
        <is>
          <t>NYKÖPING</t>
        </is>
      </c>
      <c r="I616" t="n">
        <v>0.8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63322-2025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46010</v>
      </c>
      <c r="E617" s="1" t="n">
        <v>46307</v>
      </c>
      <c r="F617" t="inlineStr">
        <is>
          <t>SÖDERMANLANDS LÄN</t>
        </is>
      </c>
      <c r="G617" t="inlineStr">
        <is>
          <t>NYKÖPING</t>
        </is>
      </c>
      <c r="I617" t="n">
        <v>21.2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47390-2025</t>
        </is>
      </c>
      <c r="B618" t="inlineStr">
        <is>
          <t>avverkningsanmälan</t>
        </is>
      </c>
      <c r="C618" t="inlineStr">
        <is>
          <t>Avverkning för annat ändamål</t>
        </is>
      </c>
      <c r="D618" s="1" t="n">
        <v>45930</v>
      </c>
      <c r="E618" s="1" t="n">
        <v>46307</v>
      </c>
      <c r="F618" t="inlineStr">
        <is>
          <t>SÖDERMANLANDS LÄN</t>
        </is>
      </c>
      <c r="G618" t="inlineStr">
        <is>
          <t>NYKÖPING</t>
        </is>
      </c>
      <c r="I618" t="n">
        <v>1.3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28664-2025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45819</v>
      </c>
      <c r="E619" s="1" t="n">
        <v>46307</v>
      </c>
      <c r="F619" t="inlineStr">
        <is>
          <t>SÖDERMANLANDS LÄN</t>
        </is>
      </c>
      <c r="G619" t="inlineStr">
        <is>
          <t>NYKÖPING</t>
        </is>
      </c>
      <c r="H619" t="inlineStr">
        <is>
          <t>Sveaskog</t>
        </is>
      </c>
      <c r="I619" t="n">
        <v>2.9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29846-2025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45826</v>
      </c>
      <c r="E620" s="1" t="n">
        <v>46307</v>
      </c>
      <c r="F620" t="inlineStr">
        <is>
          <t>SÖDERMANLANDS LÄN</t>
        </is>
      </c>
      <c r="G620" t="inlineStr">
        <is>
          <t>NYKÖPING</t>
        </is>
      </c>
      <c r="I620" t="n">
        <v>2.2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7807-2025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45706</v>
      </c>
      <c r="E621" s="1" t="n">
        <v>46307</v>
      </c>
      <c r="F621" t="inlineStr">
        <is>
          <t>SÖDERMANLANDS LÄN</t>
        </is>
      </c>
      <c r="G621" t="inlineStr">
        <is>
          <t>NYKÖPING</t>
        </is>
      </c>
      <c r="H621" t="inlineStr">
        <is>
          <t>Kyrkan</t>
        </is>
      </c>
      <c r="I621" t="n">
        <v>1.6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20179-2026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46139</v>
      </c>
      <c r="E622" s="1" t="n">
        <v>46307</v>
      </c>
      <c r="F622" t="inlineStr">
        <is>
          <t>SÖDERMANLANDS LÄN</t>
        </is>
      </c>
      <c r="G622" t="inlineStr">
        <is>
          <t>NYKÖPING</t>
        </is>
      </c>
      <c r="I622" t="n">
        <v>3.7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18510-2024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45424</v>
      </c>
      <c r="E623" s="1" t="n">
        <v>46307</v>
      </c>
      <c r="F623" t="inlineStr">
        <is>
          <t>SÖDERMANLANDS LÄN</t>
        </is>
      </c>
      <c r="G623" t="inlineStr">
        <is>
          <t>NYKÖPING</t>
        </is>
      </c>
      <c r="I623" t="n">
        <v>4.7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5291-2023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44959</v>
      </c>
      <c r="E624" s="1" t="n">
        <v>46307</v>
      </c>
      <c r="F624" t="inlineStr">
        <is>
          <t>SÖDERMANLANDS LÄN</t>
        </is>
      </c>
      <c r="G624" t="inlineStr">
        <is>
          <t>NYKÖPING</t>
        </is>
      </c>
      <c r="I624" t="n">
        <v>6.5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259-2026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46027</v>
      </c>
      <c r="E625" s="1" t="n">
        <v>46307</v>
      </c>
      <c r="F625" t="inlineStr">
        <is>
          <t>SÖDERMANLANDS LÄN</t>
        </is>
      </c>
      <c r="G625" t="inlineStr">
        <is>
          <t>NYKÖPING</t>
        </is>
      </c>
      <c r="I625" t="n">
        <v>5.3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49942-2022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44865</v>
      </c>
      <c r="E626" s="1" t="n">
        <v>46307</v>
      </c>
      <c r="F626" t="inlineStr">
        <is>
          <t>SÖDERMANLANDS LÄN</t>
        </is>
      </c>
      <c r="G626" t="inlineStr">
        <is>
          <t>NYKÖPING</t>
        </is>
      </c>
      <c r="I626" t="n">
        <v>1.4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51880-2023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45216</v>
      </c>
      <c r="E627" s="1" t="n">
        <v>46307</v>
      </c>
      <c r="F627" t="inlineStr">
        <is>
          <t>SÖDERMANLANDS LÄN</t>
        </is>
      </c>
      <c r="G627" t="inlineStr">
        <is>
          <t>NYKÖPING</t>
        </is>
      </c>
      <c r="I627" t="n">
        <v>1.4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18551-2024</t>
        </is>
      </c>
      <c r="B628" t="inlineStr">
        <is>
          <t>avverkningsanmälan</t>
        </is>
      </c>
      <c r="C628" t="inlineStr">
        <is>
          <t>Avverkning för annat ändamål</t>
        </is>
      </c>
      <c r="D628" s="1" t="n">
        <v>45425</v>
      </c>
      <c r="E628" s="1" t="n">
        <v>46307</v>
      </c>
      <c r="F628" t="inlineStr">
        <is>
          <t>SÖDERMANLANDS LÄN</t>
        </is>
      </c>
      <c r="G628" t="inlineStr">
        <is>
          <t>NYKÖPING</t>
        </is>
      </c>
      <c r="H628" t="inlineStr">
        <is>
          <t>Kommuner</t>
        </is>
      </c>
      <c r="I628" t="n">
        <v>2.7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1038-2026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46030</v>
      </c>
      <c r="E629" s="1" t="n">
        <v>46307</v>
      </c>
      <c r="F629" t="inlineStr">
        <is>
          <t>SÖDERMANLANDS LÄN</t>
        </is>
      </c>
      <c r="G629" t="inlineStr">
        <is>
          <t>NYKÖPING</t>
        </is>
      </c>
      <c r="I629" t="n">
        <v>1.1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72666-2021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44546</v>
      </c>
      <c r="E630" s="1" t="n">
        <v>46307</v>
      </c>
      <c r="F630" t="inlineStr">
        <is>
          <t>SÖDERMANLANDS LÄN</t>
        </is>
      </c>
      <c r="G630" t="inlineStr">
        <is>
          <t>NYKÖPING</t>
        </is>
      </c>
      <c r="H630" t="inlineStr">
        <is>
          <t>Holmen skog AB</t>
        </is>
      </c>
      <c r="I630" t="n">
        <v>0.6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7043-2023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44968</v>
      </c>
      <c r="E631" s="1" t="n">
        <v>46307</v>
      </c>
      <c r="F631" t="inlineStr">
        <is>
          <t>SÖDERMANLANDS LÄN</t>
        </is>
      </c>
      <c r="G631" t="inlineStr">
        <is>
          <t>NYKÖPING</t>
        </is>
      </c>
      <c r="I631" t="n">
        <v>3.6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21917-2022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44711</v>
      </c>
      <c r="E632" s="1" t="n">
        <v>46307</v>
      </c>
      <c r="F632" t="inlineStr">
        <is>
          <t>SÖDERMANLANDS LÄN</t>
        </is>
      </c>
      <c r="G632" t="inlineStr">
        <is>
          <t>NYKÖPING</t>
        </is>
      </c>
      <c r="I632" t="n">
        <v>1.8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5485-2023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44960</v>
      </c>
      <c r="E633" s="1" t="n">
        <v>46307</v>
      </c>
      <c r="F633" t="inlineStr">
        <is>
          <t>SÖDERMANLANDS LÄN</t>
        </is>
      </c>
      <c r="G633" t="inlineStr">
        <is>
          <t>NYKÖPING</t>
        </is>
      </c>
      <c r="I633" t="n">
        <v>0.9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6129-2023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44964</v>
      </c>
      <c r="E634" s="1" t="n">
        <v>46307</v>
      </c>
      <c r="F634" t="inlineStr">
        <is>
          <t>SÖDERMANLANDS LÄN</t>
        </is>
      </c>
      <c r="G634" t="inlineStr">
        <is>
          <t>NYKÖPING</t>
        </is>
      </c>
      <c r="I634" t="n">
        <v>4.3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39253-2023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45166</v>
      </c>
      <c r="E635" s="1" t="n">
        <v>46307</v>
      </c>
      <c r="F635" t="inlineStr">
        <is>
          <t>SÖDERMANLANDS LÄN</t>
        </is>
      </c>
      <c r="G635" t="inlineStr">
        <is>
          <t>NYKÖPING</t>
        </is>
      </c>
      <c r="H635" t="inlineStr">
        <is>
          <t>Holmen skog AB</t>
        </is>
      </c>
      <c r="I635" t="n">
        <v>0.5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27563-2024</t>
        </is>
      </c>
      <c r="B636" t="inlineStr">
        <is>
          <t>avverkningsanmälan</t>
        </is>
      </c>
      <c r="C636" t="inlineStr">
        <is>
          <t>Avverkning för annat ändamål</t>
        </is>
      </c>
      <c r="D636" s="1" t="n">
        <v>45474</v>
      </c>
      <c r="E636" s="1" t="n">
        <v>46307</v>
      </c>
      <c r="F636" t="inlineStr">
        <is>
          <t>SÖDERMANLANDS LÄN</t>
        </is>
      </c>
      <c r="G636" t="inlineStr">
        <is>
          <t>NYKÖPING</t>
        </is>
      </c>
      <c r="I636" t="n">
        <v>4.2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72117-2021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44543</v>
      </c>
      <c r="E637" s="1" t="n">
        <v>46307</v>
      </c>
      <c r="F637" t="inlineStr">
        <is>
          <t>SÖDERMANLANDS LÄN</t>
        </is>
      </c>
      <c r="G637" t="inlineStr">
        <is>
          <t>NYKÖPING</t>
        </is>
      </c>
      <c r="I637" t="n">
        <v>14.9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1686-2026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46034</v>
      </c>
      <c r="E638" s="1" t="n">
        <v>46307</v>
      </c>
      <c r="F638" t="inlineStr">
        <is>
          <t>SÖDERMANLANDS LÄN</t>
        </is>
      </c>
      <c r="G638" t="inlineStr">
        <is>
          <t>NYKÖPING</t>
        </is>
      </c>
      <c r="H638" t="inlineStr">
        <is>
          <t>Holmen skog AB</t>
        </is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50776-2022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44867</v>
      </c>
      <c r="E639" s="1" t="n">
        <v>46307</v>
      </c>
      <c r="F639" t="inlineStr">
        <is>
          <t>SÖDERMANLANDS LÄN</t>
        </is>
      </c>
      <c r="G639" t="inlineStr">
        <is>
          <t>NYKÖPING</t>
        </is>
      </c>
      <c r="I639" t="n">
        <v>13.4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2401-2026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46036</v>
      </c>
      <c r="E640" s="1" t="n">
        <v>46307</v>
      </c>
      <c r="F640" t="inlineStr">
        <is>
          <t>SÖDERMANLANDS LÄN</t>
        </is>
      </c>
      <c r="G640" t="inlineStr">
        <is>
          <t>NYKÖPING</t>
        </is>
      </c>
      <c r="I640" t="n">
        <v>10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9469-2022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44616</v>
      </c>
      <c r="E641" s="1" t="n">
        <v>46307</v>
      </c>
      <c r="F641" t="inlineStr">
        <is>
          <t>SÖDERMANLANDS LÄN</t>
        </is>
      </c>
      <c r="G641" t="inlineStr">
        <is>
          <t>NYKÖPING</t>
        </is>
      </c>
      <c r="I641" t="n">
        <v>5.1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2223-2026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46036</v>
      </c>
      <c r="E642" s="1" t="n">
        <v>46307</v>
      </c>
      <c r="F642" t="inlineStr">
        <is>
          <t>SÖDERMANLANDS LÄN</t>
        </is>
      </c>
      <c r="G642" t="inlineStr">
        <is>
          <t>NYKÖPING</t>
        </is>
      </c>
      <c r="I642" t="n">
        <v>11.7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28973-2023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45096</v>
      </c>
      <c r="E643" s="1" t="n">
        <v>46307</v>
      </c>
      <c r="F643" t="inlineStr">
        <is>
          <t>SÖDERMANLANDS LÄN</t>
        </is>
      </c>
      <c r="G643" t="inlineStr">
        <is>
          <t>NYKÖPING</t>
        </is>
      </c>
      <c r="I643" t="n">
        <v>0.9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2130-2026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46036</v>
      </c>
      <c r="E644" s="1" t="n">
        <v>46307</v>
      </c>
      <c r="F644" t="inlineStr">
        <is>
          <t>SÖDERMANLANDS LÄN</t>
        </is>
      </c>
      <c r="G644" t="inlineStr">
        <is>
          <t>NYKÖPING</t>
        </is>
      </c>
      <c r="H644" t="inlineStr">
        <is>
          <t>Holmen skog AB</t>
        </is>
      </c>
      <c r="I644" t="n">
        <v>1.1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27915-2023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45098</v>
      </c>
      <c r="E645" s="1" t="n">
        <v>46307</v>
      </c>
      <c r="F645" t="inlineStr">
        <is>
          <t>SÖDERMANLANDS LÄN</t>
        </is>
      </c>
      <c r="G645" t="inlineStr">
        <is>
          <t>NYKÖPING</t>
        </is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27944-2023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45098</v>
      </c>
      <c r="E646" s="1" t="n">
        <v>46307</v>
      </c>
      <c r="F646" t="inlineStr">
        <is>
          <t>SÖDERMANLANDS LÄN</t>
        </is>
      </c>
      <c r="G646" t="inlineStr">
        <is>
          <t>NYKÖPING</t>
        </is>
      </c>
      <c r="I646" t="n">
        <v>0.5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16457-2023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45029</v>
      </c>
      <c r="E647" s="1" t="n">
        <v>46307</v>
      </c>
      <c r="F647" t="inlineStr">
        <is>
          <t>SÖDERMANLANDS LÄN</t>
        </is>
      </c>
      <c r="G647" t="inlineStr">
        <is>
          <t>NYKÖPING</t>
        </is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67736-2021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44525</v>
      </c>
      <c r="E648" s="1" t="n">
        <v>46307</v>
      </c>
      <c r="F648" t="inlineStr">
        <is>
          <t>SÖDERMANLANDS LÄN</t>
        </is>
      </c>
      <c r="G648" t="inlineStr">
        <is>
          <t>NYKÖPING</t>
        </is>
      </c>
      <c r="I648" t="n">
        <v>1.9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51410-2022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44869</v>
      </c>
      <c r="E649" s="1" t="n">
        <v>46307</v>
      </c>
      <c r="F649" t="inlineStr">
        <is>
          <t>SÖDERMANLANDS LÄN</t>
        </is>
      </c>
      <c r="G649" t="inlineStr">
        <is>
          <t>NYKÖPING</t>
        </is>
      </c>
      <c r="H649" t="inlineStr">
        <is>
          <t>Holmen skog AB</t>
        </is>
      </c>
      <c r="I649" t="n">
        <v>0.5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2425-2026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46036</v>
      </c>
      <c r="E650" s="1" t="n">
        <v>46307</v>
      </c>
      <c r="F650" t="inlineStr">
        <is>
          <t>SÖDERMANLANDS LÄN</t>
        </is>
      </c>
      <c r="G650" t="inlineStr">
        <is>
          <t>NYKÖPING</t>
        </is>
      </c>
      <c r="I650" t="n">
        <v>1.3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3473-2026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46042</v>
      </c>
      <c r="E651" s="1" t="n">
        <v>46307</v>
      </c>
      <c r="F651" t="inlineStr">
        <is>
          <t>SÖDERMANLANDS LÄN</t>
        </is>
      </c>
      <c r="G651" t="inlineStr">
        <is>
          <t>NYKÖPING</t>
        </is>
      </c>
      <c r="I651" t="n">
        <v>4.4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3344-2026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46041</v>
      </c>
      <c r="E652" s="1" t="n">
        <v>46307</v>
      </c>
      <c r="F652" t="inlineStr">
        <is>
          <t>SÖDERMANLANDS LÄN</t>
        </is>
      </c>
      <c r="G652" t="inlineStr">
        <is>
          <t>NYKÖPING</t>
        </is>
      </c>
      <c r="H652" t="inlineStr">
        <is>
          <t>Holmen skog AB</t>
        </is>
      </c>
      <c r="I652" t="n">
        <v>1.2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1020-2026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46030</v>
      </c>
      <c r="E653" s="1" t="n">
        <v>46307</v>
      </c>
      <c r="F653" t="inlineStr">
        <is>
          <t>SÖDERMANLANDS LÄN</t>
        </is>
      </c>
      <c r="G653" t="inlineStr">
        <is>
          <t>NYKÖPING</t>
        </is>
      </c>
      <c r="I653" t="n">
        <v>1.7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3342-2026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46041</v>
      </c>
      <c r="E654" s="1" t="n">
        <v>46307</v>
      </c>
      <c r="F654" t="inlineStr">
        <is>
          <t>SÖDERMANLANDS LÄN</t>
        </is>
      </c>
      <c r="G654" t="inlineStr">
        <is>
          <t>NYKÖPING</t>
        </is>
      </c>
      <c r="H654" t="inlineStr">
        <is>
          <t>Holmen skog AB</t>
        </is>
      </c>
      <c r="I654" t="n">
        <v>0.9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17372-2023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45034</v>
      </c>
      <c r="E655" s="1" t="n">
        <v>46307</v>
      </c>
      <c r="F655" t="inlineStr">
        <is>
          <t>SÖDERMANLANDS LÄN</t>
        </is>
      </c>
      <c r="G655" t="inlineStr">
        <is>
          <t>NYKÖPING</t>
        </is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8340-2023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44976</v>
      </c>
      <c r="E656" s="1" t="n">
        <v>46307</v>
      </c>
      <c r="F656" t="inlineStr">
        <is>
          <t>SÖDERMANLANDS LÄN</t>
        </is>
      </c>
      <c r="G656" t="inlineStr">
        <is>
          <t>NYKÖPING</t>
        </is>
      </c>
      <c r="I656" t="n">
        <v>0.4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6125-2023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44964</v>
      </c>
      <c r="E657" s="1" t="n">
        <v>46307</v>
      </c>
      <c r="F657" t="inlineStr">
        <is>
          <t>SÖDERMANLANDS LÄN</t>
        </is>
      </c>
      <c r="G657" t="inlineStr">
        <is>
          <t>NYKÖPING</t>
        </is>
      </c>
      <c r="I657" t="n">
        <v>4.4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64159-2021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44510</v>
      </c>
      <c r="E658" s="1" t="n">
        <v>46307</v>
      </c>
      <c r="F658" t="inlineStr">
        <is>
          <t>SÖDERMANLANDS LÄN</t>
        </is>
      </c>
      <c r="G658" t="inlineStr">
        <is>
          <t>NYKÖPING</t>
        </is>
      </c>
      <c r="I658" t="n">
        <v>1.7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38054-2023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45160</v>
      </c>
      <c r="E659" s="1" t="n">
        <v>46307</v>
      </c>
      <c r="F659" t="inlineStr">
        <is>
          <t>SÖDERMANLANDS LÄN</t>
        </is>
      </c>
      <c r="G659" t="inlineStr">
        <is>
          <t>NYKÖPING</t>
        </is>
      </c>
      <c r="H659" t="inlineStr">
        <is>
          <t>Kommuner</t>
        </is>
      </c>
      <c r="I659" t="n">
        <v>2.1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38063-2023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45160</v>
      </c>
      <c r="E660" s="1" t="n">
        <v>46307</v>
      </c>
      <c r="F660" t="inlineStr">
        <is>
          <t>SÖDERMANLANDS LÄN</t>
        </is>
      </c>
      <c r="G660" t="inlineStr">
        <is>
          <t>NYKÖPING</t>
        </is>
      </c>
      <c r="H660" t="inlineStr">
        <is>
          <t>Kommuner</t>
        </is>
      </c>
      <c r="I660" t="n">
        <v>1.3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43657-2022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44837</v>
      </c>
      <c r="E661" s="1" t="n">
        <v>46307</v>
      </c>
      <c r="F661" t="inlineStr">
        <is>
          <t>SÖDERMANLANDS LÄN</t>
        </is>
      </c>
      <c r="G661" t="inlineStr">
        <is>
          <t>NYKÖPING</t>
        </is>
      </c>
      <c r="I661" t="n">
        <v>2.3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42368-2024</t>
        </is>
      </c>
      <c r="B662" t="inlineStr">
        <is>
          <t>avverkningsanmälan</t>
        </is>
      </c>
      <c r="C662" t="inlineStr">
        <is>
          <t>Avverkning för annat ändamål</t>
        </is>
      </c>
      <c r="D662" s="1" t="n">
        <v>45564</v>
      </c>
      <c r="E662" s="1" t="n">
        <v>46307</v>
      </c>
      <c r="F662" t="inlineStr">
        <is>
          <t>SÖDERMANLANDS LÄN</t>
        </is>
      </c>
      <c r="G662" t="inlineStr">
        <is>
          <t>NYKÖPING</t>
        </is>
      </c>
      <c r="I662" t="n">
        <v>1.1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5387-2026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46050</v>
      </c>
      <c r="E663" s="1" t="n">
        <v>46307</v>
      </c>
      <c r="F663" t="inlineStr">
        <is>
          <t>SÖDERMANLANDS LÄN</t>
        </is>
      </c>
      <c r="G663" t="inlineStr">
        <is>
          <t>NYKÖPING</t>
        </is>
      </c>
      <c r="I663" t="n">
        <v>3.8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12153-2025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45729</v>
      </c>
      <c r="E664" s="1" t="n">
        <v>46307</v>
      </c>
      <c r="F664" t="inlineStr">
        <is>
          <t>SÖDERMANLANDS LÄN</t>
        </is>
      </c>
      <c r="G664" t="inlineStr">
        <is>
          <t>NYKÖPING</t>
        </is>
      </c>
      <c r="I664" t="n">
        <v>0.7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5205-2026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46049</v>
      </c>
      <c r="E665" s="1" t="n">
        <v>46307</v>
      </c>
      <c r="F665" t="inlineStr">
        <is>
          <t>SÖDERMANLANDS LÄN</t>
        </is>
      </c>
      <c r="G665" t="inlineStr">
        <is>
          <t>NYKÖPING</t>
        </is>
      </c>
      <c r="I665" t="n">
        <v>7.5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1804-2023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44938</v>
      </c>
      <c r="E666" s="1" t="n">
        <v>46307</v>
      </c>
      <c r="F666" t="inlineStr">
        <is>
          <t>SÖDERMANLANDS LÄN</t>
        </is>
      </c>
      <c r="G666" t="inlineStr">
        <is>
          <t>NYKÖPING</t>
        </is>
      </c>
      <c r="I666" t="n">
        <v>1.1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8573-2023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44977</v>
      </c>
      <c r="E667" s="1" t="n">
        <v>46307</v>
      </c>
      <c r="F667" t="inlineStr">
        <is>
          <t>SÖDERMANLANDS LÄN</t>
        </is>
      </c>
      <c r="G667" t="inlineStr">
        <is>
          <t>NYKÖPING</t>
        </is>
      </c>
      <c r="H667" t="inlineStr">
        <is>
          <t>Övriga Aktiebolag</t>
        </is>
      </c>
      <c r="I667" t="n">
        <v>0.6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5210-2026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46049</v>
      </c>
      <c r="E668" s="1" t="n">
        <v>46307</v>
      </c>
      <c r="F668" t="inlineStr">
        <is>
          <t>SÖDERMANLANDS LÄN</t>
        </is>
      </c>
      <c r="G668" t="inlineStr">
        <is>
          <t>NYKÖPING</t>
        </is>
      </c>
      <c r="I668" t="n">
        <v>1.6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64099-2021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44509</v>
      </c>
      <c r="E669" s="1" t="n">
        <v>46307</v>
      </c>
      <c r="F669" t="inlineStr">
        <is>
          <t>SÖDERMANLANDS LÄN</t>
        </is>
      </c>
      <c r="G669" t="inlineStr">
        <is>
          <t>NYKÖPING</t>
        </is>
      </c>
      <c r="I669" t="n">
        <v>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57836-2023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45247</v>
      </c>
      <c r="E670" s="1" t="n">
        <v>46307</v>
      </c>
      <c r="F670" t="inlineStr">
        <is>
          <t>SÖDERMANLANDS LÄN</t>
        </is>
      </c>
      <c r="G670" t="inlineStr">
        <is>
          <t>NYKÖPING</t>
        </is>
      </c>
      <c r="H670" t="inlineStr">
        <is>
          <t>Övriga Aktiebolag</t>
        </is>
      </c>
      <c r="I670" t="n">
        <v>0.5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5198-2026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46049</v>
      </c>
      <c r="E671" s="1" t="n">
        <v>46307</v>
      </c>
      <c r="F671" t="inlineStr">
        <is>
          <t>SÖDERMANLANDS LÄN</t>
        </is>
      </c>
      <c r="G671" t="inlineStr">
        <is>
          <t>NYKÖPING</t>
        </is>
      </c>
      <c r="I671" t="n">
        <v>9.5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5206-2026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46049</v>
      </c>
      <c r="E672" s="1" t="n">
        <v>46307</v>
      </c>
      <c r="F672" t="inlineStr">
        <is>
          <t>SÖDERMANLANDS LÄN</t>
        </is>
      </c>
      <c r="G672" t="inlineStr">
        <is>
          <t>NYKÖPING</t>
        </is>
      </c>
      <c r="I672" t="n">
        <v>6.9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7131-2026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46058</v>
      </c>
      <c r="E673" s="1" t="n">
        <v>46307</v>
      </c>
      <c r="F673" t="inlineStr">
        <is>
          <t>SÖDERMANLANDS LÄN</t>
        </is>
      </c>
      <c r="G673" t="inlineStr">
        <is>
          <t>NYKÖPING</t>
        </is>
      </c>
      <c r="I673" t="n">
        <v>1.5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58653-2025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45986</v>
      </c>
      <c r="E674" s="1" t="n">
        <v>46307</v>
      </c>
      <c r="F674" t="inlineStr">
        <is>
          <t>SÖDERMANLANDS LÄN</t>
        </is>
      </c>
      <c r="G674" t="inlineStr">
        <is>
          <t>NYKÖPING</t>
        </is>
      </c>
      <c r="I674" t="n">
        <v>1.3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21022-2026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46145</v>
      </c>
      <c r="E675" s="1" t="n">
        <v>46307</v>
      </c>
      <c r="F675" t="inlineStr">
        <is>
          <t>SÖDERMANLANDS LÄN</t>
        </is>
      </c>
      <c r="G675" t="inlineStr">
        <is>
          <t>NYKÖPING</t>
        </is>
      </c>
      <c r="I675" t="n">
        <v>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21020-2026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46145</v>
      </c>
      <c r="E676" s="1" t="n">
        <v>46307</v>
      </c>
      <c r="F676" t="inlineStr">
        <is>
          <t>SÖDERMANLANDS LÄN</t>
        </is>
      </c>
      <c r="G676" t="inlineStr">
        <is>
          <t>NYKÖPING</t>
        </is>
      </c>
      <c r="I676" t="n">
        <v>1.7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58650-2025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45986</v>
      </c>
      <c r="E677" s="1" t="n">
        <v>46307</v>
      </c>
      <c r="F677" t="inlineStr">
        <is>
          <t>SÖDERMANLANDS LÄN</t>
        </is>
      </c>
      <c r="G677" t="inlineStr">
        <is>
          <t>NYKÖPING</t>
        </is>
      </c>
      <c r="I677" t="n">
        <v>0.7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58676-2025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45986</v>
      </c>
      <c r="E678" s="1" t="n">
        <v>46307</v>
      </c>
      <c r="F678" t="inlineStr">
        <is>
          <t>SÖDERMANLANDS LÄN</t>
        </is>
      </c>
      <c r="G678" t="inlineStr">
        <is>
          <t>NYKÖPING</t>
        </is>
      </c>
      <c r="I678" t="n">
        <v>1.9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21672-2026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46149</v>
      </c>
      <c r="E679" s="1" t="n">
        <v>46307</v>
      </c>
      <c r="F679" t="inlineStr">
        <is>
          <t>SÖDERMANLANDS LÄN</t>
        </is>
      </c>
      <c r="G679" t="inlineStr">
        <is>
          <t>NYKÖPING</t>
        </is>
      </c>
      <c r="I679" t="n">
        <v>2.1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21676-2026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46149</v>
      </c>
      <c r="E680" s="1" t="n">
        <v>46307</v>
      </c>
      <c r="F680" t="inlineStr">
        <is>
          <t>SÖDERMANLANDS LÄN</t>
        </is>
      </c>
      <c r="G680" t="inlineStr">
        <is>
          <t>NYKÖPING</t>
        </is>
      </c>
      <c r="I680" t="n">
        <v>0.4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9453-2026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46071</v>
      </c>
      <c r="E681" s="1" t="n">
        <v>46307</v>
      </c>
      <c r="F681" t="inlineStr">
        <is>
          <t>SÖDERMANLANDS LÄN</t>
        </is>
      </c>
      <c r="G681" t="inlineStr">
        <is>
          <t>NYKÖPING</t>
        </is>
      </c>
      <c r="I681" t="n">
        <v>0.5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9434-2026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46071</v>
      </c>
      <c r="E682" s="1" t="n">
        <v>46307</v>
      </c>
      <c r="F682" t="inlineStr">
        <is>
          <t>SÖDERMANLANDS LÄN</t>
        </is>
      </c>
      <c r="G682" t="inlineStr">
        <is>
          <t>NYKÖPING</t>
        </is>
      </c>
      <c r="I682" t="n">
        <v>0.8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9468-2026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46071</v>
      </c>
      <c r="E683" s="1" t="n">
        <v>46307</v>
      </c>
      <c r="F683" t="inlineStr">
        <is>
          <t>SÖDERMANLANDS LÄN</t>
        </is>
      </c>
      <c r="G683" t="inlineStr">
        <is>
          <t>NYKÖPING</t>
        </is>
      </c>
      <c r="I683" t="n">
        <v>1.1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58493-2025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45985</v>
      </c>
      <c r="E684" s="1" t="n">
        <v>46307</v>
      </c>
      <c r="F684" t="inlineStr">
        <is>
          <t>SÖDERMANLANDS LÄN</t>
        </is>
      </c>
      <c r="G684" t="inlineStr">
        <is>
          <t>NYKÖPING</t>
        </is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22475-2026</t>
        </is>
      </c>
      <c r="B685" t="inlineStr">
        <is>
          <t>avverkningsanmälan</t>
        </is>
      </c>
      <c r="C685" t="inlineStr">
        <is>
          <t>Avverkning för annat ändamål</t>
        </is>
      </c>
      <c r="D685" s="1" t="n">
        <v>46155</v>
      </c>
      <c r="E685" s="1" t="n">
        <v>46307</v>
      </c>
      <c r="F685" t="inlineStr">
        <is>
          <t>SÖDERMANLANDS LÄN</t>
        </is>
      </c>
      <c r="G685" t="inlineStr">
        <is>
          <t>NYKÖPING</t>
        </is>
      </c>
      <c r="I685" t="n">
        <v>3.7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49902-2025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45940</v>
      </c>
      <c r="E686" s="1" t="n">
        <v>46307</v>
      </c>
      <c r="F686" t="inlineStr">
        <is>
          <t>SÖDERMANLANDS LÄN</t>
        </is>
      </c>
      <c r="G686" t="inlineStr">
        <is>
          <t>NYKÖPING</t>
        </is>
      </c>
      <c r="H686" t="inlineStr">
        <is>
          <t>Sveaskog</t>
        </is>
      </c>
      <c r="I686" t="n">
        <v>2.4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8378-2024</t>
        </is>
      </c>
      <c r="B687" t="inlineStr">
        <is>
          <t>avverkningsanmälan</t>
        </is>
      </c>
      <c r="C687" t="inlineStr">
        <is>
          <t>Avverkning för annat ändamål</t>
        </is>
      </c>
      <c r="D687" s="1" t="n">
        <v>45351</v>
      </c>
      <c r="E687" s="1" t="n">
        <v>46307</v>
      </c>
      <c r="F687" t="inlineStr">
        <is>
          <t>SÖDERMANLANDS LÄN</t>
        </is>
      </c>
      <c r="G687" t="inlineStr">
        <is>
          <t>NYKÖPING</t>
        </is>
      </c>
      <c r="I687" t="n">
        <v>2.6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56770-2025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45978</v>
      </c>
      <c r="E688" s="1" t="n">
        <v>46307</v>
      </c>
      <c r="F688" t="inlineStr">
        <is>
          <t>SÖDERMANLANDS LÄN</t>
        </is>
      </c>
      <c r="G688" t="inlineStr">
        <is>
          <t>NYKÖPING</t>
        </is>
      </c>
      <c r="H688" t="inlineStr">
        <is>
          <t>Holmen skog AB</t>
        </is>
      </c>
      <c r="I688" t="n">
        <v>2.8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56845-2025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45978</v>
      </c>
      <c r="E689" s="1" t="n">
        <v>46307</v>
      </c>
      <c r="F689" t="inlineStr">
        <is>
          <t>SÖDERMANLANDS LÄN</t>
        </is>
      </c>
      <c r="G689" t="inlineStr">
        <is>
          <t>NYKÖPING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13254-2026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46093</v>
      </c>
      <c r="E690" s="1" t="n">
        <v>46307</v>
      </c>
      <c r="F690" t="inlineStr">
        <is>
          <t>SÖDERMANLANDS LÄN</t>
        </is>
      </c>
      <c r="G690" t="inlineStr">
        <is>
          <t>NYKÖPING</t>
        </is>
      </c>
      <c r="I690" t="n">
        <v>2.7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13260-2026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46093</v>
      </c>
      <c r="E691" s="1" t="n">
        <v>46307</v>
      </c>
      <c r="F691" t="inlineStr">
        <is>
          <t>SÖDERMANLANDS LÄN</t>
        </is>
      </c>
      <c r="G691" t="inlineStr">
        <is>
          <t>NYKÖPING</t>
        </is>
      </c>
      <c r="I691" t="n">
        <v>1.5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11755-2026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46084</v>
      </c>
      <c r="E692" s="1" t="n">
        <v>46307</v>
      </c>
      <c r="F692" t="inlineStr">
        <is>
          <t>SÖDERMANLANDS LÄN</t>
        </is>
      </c>
      <c r="G692" t="inlineStr">
        <is>
          <t>NYKÖPING</t>
        </is>
      </c>
      <c r="I692" t="n">
        <v>1.7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11757-2026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46084</v>
      </c>
      <c r="E693" s="1" t="n">
        <v>46307</v>
      </c>
      <c r="F693" t="inlineStr">
        <is>
          <t>SÖDERMANLANDS LÄN</t>
        </is>
      </c>
      <c r="G693" t="inlineStr">
        <is>
          <t>NYKÖPING</t>
        </is>
      </c>
      <c r="I693" t="n">
        <v>2.8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9836-2026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46072</v>
      </c>
      <c r="E694" s="1" t="n">
        <v>46307</v>
      </c>
      <c r="F694" t="inlineStr">
        <is>
          <t>SÖDERMANLANDS LÄN</t>
        </is>
      </c>
      <c r="G694" t="inlineStr">
        <is>
          <t>NYKÖPING</t>
        </is>
      </c>
      <c r="I694" t="n">
        <v>10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23637-2026</t>
        </is>
      </c>
      <c r="B695" t="inlineStr">
        <is>
          <t>avverkningsanmälan</t>
        </is>
      </c>
      <c r="C695" t="inlineStr">
        <is>
          <t>Avverkning för annat ändamål</t>
        </is>
      </c>
      <c r="D695" s="1" t="n">
        <v>46163</v>
      </c>
      <c r="E695" s="1" t="n">
        <v>46307</v>
      </c>
      <c r="F695" t="inlineStr">
        <is>
          <t>SÖDERMANLANDS LÄN</t>
        </is>
      </c>
      <c r="G695" t="inlineStr">
        <is>
          <t>NYKÖPING</t>
        </is>
      </c>
      <c r="H695" t="inlineStr">
        <is>
          <t>Kyrkan</t>
        </is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12111-2026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46086</v>
      </c>
      <c r="E696" s="1" t="n">
        <v>46307</v>
      </c>
      <c r="F696" t="inlineStr">
        <is>
          <t>SÖDERMANLANDS LÄN</t>
        </is>
      </c>
      <c r="G696" t="inlineStr">
        <is>
          <t>NYKÖPING</t>
        </is>
      </c>
      <c r="I696" t="n">
        <v>1.5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24152-2026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46168</v>
      </c>
      <c r="E697" s="1" t="n">
        <v>46307</v>
      </c>
      <c r="F697" t="inlineStr">
        <is>
          <t>SÖDERMANLANDS LÄN</t>
        </is>
      </c>
      <c r="G697" t="inlineStr">
        <is>
          <t>NYKÖPING</t>
        </is>
      </c>
      <c r="H697" t="inlineStr">
        <is>
          <t>Kyrkan</t>
        </is>
      </c>
      <c r="I697" t="n">
        <v>5.1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17460-2026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46120</v>
      </c>
      <c r="E698" s="1" t="n">
        <v>46307</v>
      </c>
      <c r="F698" t="inlineStr">
        <is>
          <t>SÖDERMANLANDS LÄN</t>
        </is>
      </c>
      <c r="G698" t="inlineStr">
        <is>
          <t>NYKÖPING</t>
        </is>
      </c>
      <c r="I698" t="n">
        <v>1.7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24285-2026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46169</v>
      </c>
      <c r="E699" s="1" t="n">
        <v>46307</v>
      </c>
      <c r="F699" t="inlineStr">
        <is>
          <t>SÖDERMANLANDS LÄN</t>
        </is>
      </c>
      <c r="G699" t="inlineStr">
        <is>
          <t>NYKÖPING</t>
        </is>
      </c>
      <c r="H699" t="inlineStr">
        <is>
          <t>Kyrkan</t>
        </is>
      </c>
      <c r="I699" t="n">
        <v>1.1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10622-2025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45721</v>
      </c>
      <c r="E700" s="1" t="n">
        <v>46307</v>
      </c>
      <c r="F700" t="inlineStr">
        <is>
          <t>SÖDERMANLANDS LÄN</t>
        </is>
      </c>
      <c r="G700" t="inlineStr">
        <is>
          <t>NYKÖPING</t>
        </is>
      </c>
      <c r="I700" t="n">
        <v>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58496-2025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45985</v>
      </c>
      <c r="E701" s="1" t="n">
        <v>46307</v>
      </c>
      <c r="F701" t="inlineStr">
        <is>
          <t>SÖDERMANLANDS LÄN</t>
        </is>
      </c>
      <c r="G701" t="inlineStr">
        <is>
          <t>NYKÖPING</t>
        </is>
      </c>
      <c r="I701" t="n">
        <v>9.699999999999999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13967-2026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46098</v>
      </c>
      <c r="E702" s="1" t="n">
        <v>46307</v>
      </c>
      <c r="F702" t="inlineStr">
        <is>
          <t>SÖDERMANLANDS LÄN</t>
        </is>
      </c>
      <c r="G702" t="inlineStr">
        <is>
          <t>NYKÖPING</t>
        </is>
      </c>
      <c r="I702" t="n">
        <v>1.7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25334-2026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46176</v>
      </c>
      <c r="E703" s="1" t="n">
        <v>46307</v>
      </c>
      <c r="F703" t="inlineStr">
        <is>
          <t>SÖDERMANLANDS LÄN</t>
        </is>
      </c>
      <c r="G703" t="inlineStr">
        <is>
          <t>NYKÖPING</t>
        </is>
      </c>
      <c r="I703" t="n">
        <v>2.2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25336-2026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46176</v>
      </c>
      <c r="E704" s="1" t="n">
        <v>46307</v>
      </c>
      <c r="F704" t="inlineStr">
        <is>
          <t>SÖDERMANLANDS LÄN</t>
        </is>
      </c>
      <c r="G704" t="inlineStr">
        <is>
          <t>NYKÖPING</t>
        </is>
      </c>
      <c r="I704" t="n">
        <v>0.5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25403-2026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46176</v>
      </c>
      <c r="E705" s="1" t="n">
        <v>46307</v>
      </c>
      <c r="F705" t="inlineStr">
        <is>
          <t>SÖDERMANLANDS LÄN</t>
        </is>
      </c>
      <c r="G705" t="inlineStr">
        <is>
          <t>NYKÖPING</t>
        </is>
      </c>
      <c r="I705" t="n">
        <v>1.7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3193-2022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44582</v>
      </c>
      <c r="E706" s="1" t="n">
        <v>46307</v>
      </c>
      <c r="F706" t="inlineStr">
        <is>
          <t>SÖDERMANLANDS LÄN</t>
        </is>
      </c>
      <c r="G706" t="inlineStr">
        <is>
          <t>NYKÖPING</t>
        </is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26686-2026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46184</v>
      </c>
      <c r="E707" s="1" t="n">
        <v>46307</v>
      </c>
      <c r="F707" t="inlineStr">
        <is>
          <t>SÖDERMANLANDS LÄN</t>
        </is>
      </c>
      <c r="G707" t="inlineStr">
        <is>
          <t>NYKÖPING</t>
        </is>
      </c>
      <c r="I707" t="n">
        <v>7.9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26687-2026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46184</v>
      </c>
      <c r="E708" s="1" t="n">
        <v>46307</v>
      </c>
      <c r="F708" t="inlineStr">
        <is>
          <t>SÖDERMANLANDS LÄN</t>
        </is>
      </c>
      <c r="G708" t="inlineStr">
        <is>
          <t>NYKÖPING</t>
        </is>
      </c>
      <c r="I708" t="n">
        <v>5.9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26503-2026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46183</v>
      </c>
      <c r="E709" s="1" t="n">
        <v>46307</v>
      </c>
      <c r="F709" t="inlineStr">
        <is>
          <t>SÖDERMANLANDS LÄN</t>
        </is>
      </c>
      <c r="G709" t="inlineStr">
        <is>
          <t>NYKÖPING</t>
        </is>
      </c>
      <c r="I709" t="n">
        <v>7.2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26685-2026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46184</v>
      </c>
      <c r="E710" s="1" t="n">
        <v>46307</v>
      </c>
      <c r="F710" t="inlineStr">
        <is>
          <t>SÖDERMANLANDS LÄN</t>
        </is>
      </c>
      <c r="G710" t="inlineStr">
        <is>
          <t>NYKÖPING</t>
        </is>
      </c>
      <c r="I710" t="n">
        <v>2.3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26224-2026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46182</v>
      </c>
      <c r="E711" s="1" t="n">
        <v>46307</v>
      </c>
      <c r="F711" t="inlineStr">
        <is>
          <t>SÖDERMANLANDS LÄN</t>
        </is>
      </c>
      <c r="G711" t="inlineStr">
        <is>
          <t>NYKÖPING</t>
        </is>
      </c>
      <c r="H711" t="inlineStr">
        <is>
          <t>Sveaskog</t>
        </is>
      </c>
      <c r="I711" t="n">
        <v>3.7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26841-2026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46185</v>
      </c>
      <c r="E712" s="1" t="n">
        <v>46307</v>
      </c>
      <c r="F712" t="inlineStr">
        <is>
          <t>SÖDERMANLANDS LÄN</t>
        </is>
      </c>
      <c r="G712" t="inlineStr">
        <is>
          <t>NYKÖPING</t>
        </is>
      </c>
      <c r="I712" t="n">
        <v>1.2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26848-2026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46185</v>
      </c>
      <c r="E713" s="1" t="n">
        <v>46307</v>
      </c>
      <c r="F713" t="inlineStr">
        <is>
          <t>SÖDERMANLANDS LÄN</t>
        </is>
      </c>
      <c r="G713" t="inlineStr">
        <is>
          <t>NYKÖPING</t>
        </is>
      </c>
      <c r="I713" t="n">
        <v>0.7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26839-2026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46185</v>
      </c>
      <c r="E714" s="1" t="n">
        <v>46307</v>
      </c>
      <c r="F714" t="inlineStr">
        <is>
          <t>SÖDERMANLANDS LÄN</t>
        </is>
      </c>
      <c r="G714" t="inlineStr">
        <is>
          <t>NYKÖPING</t>
        </is>
      </c>
      <c r="I714" t="n">
        <v>2.3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26643-2026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46184</v>
      </c>
      <c r="E715" s="1" t="n">
        <v>46307</v>
      </c>
      <c r="F715" t="inlineStr">
        <is>
          <t>SÖDERMANLANDS LÄN</t>
        </is>
      </c>
      <c r="G715" t="inlineStr">
        <is>
          <t>NYKÖPING</t>
        </is>
      </c>
      <c r="H715" t="inlineStr">
        <is>
          <t>Holmen skog AB</t>
        </is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28137-2026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46195</v>
      </c>
      <c r="E716" s="1" t="n">
        <v>46307</v>
      </c>
      <c r="F716" t="inlineStr">
        <is>
          <t>SÖDERMANLANDS LÄN</t>
        </is>
      </c>
      <c r="G716" t="inlineStr">
        <is>
          <t>NYKÖPING</t>
        </is>
      </c>
      <c r="I716" t="n">
        <v>1.7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24497-2025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45798</v>
      </c>
      <c r="E717" s="1" t="n">
        <v>46307</v>
      </c>
      <c r="F717" t="inlineStr">
        <is>
          <t>SÖDERMANLANDS LÄN</t>
        </is>
      </c>
      <c r="G717" t="inlineStr">
        <is>
          <t>NYKÖPING</t>
        </is>
      </c>
      <c r="H717" t="inlineStr">
        <is>
          <t>Holmen skog AB</t>
        </is>
      </c>
      <c r="I717" t="n">
        <v>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29485-2026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46198</v>
      </c>
      <c r="E718" s="1" t="n">
        <v>46307</v>
      </c>
      <c r="F718" t="inlineStr">
        <is>
          <t>SÖDERMANLANDS LÄN</t>
        </is>
      </c>
      <c r="G718" t="inlineStr">
        <is>
          <t>NYKÖPING</t>
        </is>
      </c>
      <c r="I718" t="n">
        <v>1.3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30212-2026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46206</v>
      </c>
      <c r="E719" s="1" t="n">
        <v>46307</v>
      </c>
      <c r="F719" t="inlineStr">
        <is>
          <t>SÖDERMANLANDS LÄN</t>
        </is>
      </c>
      <c r="G719" t="inlineStr">
        <is>
          <t>NYKÖPING</t>
        </is>
      </c>
      <c r="I719" t="n">
        <v>1.6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30695-2026</t>
        </is>
      </c>
      <c r="B720" t="inlineStr">
        <is>
          <t>avverkningsanmälan</t>
        </is>
      </c>
      <c r="C720" t="inlineStr">
        <is>
          <t>Avverkning för annat ändamål</t>
        </is>
      </c>
      <c r="D720" s="1" t="n">
        <v>46211</v>
      </c>
      <c r="E720" s="1" t="n">
        <v>46307</v>
      </c>
      <c r="F720" t="inlineStr">
        <is>
          <t>SÖDERMANLANDS LÄN</t>
        </is>
      </c>
      <c r="G720" t="inlineStr">
        <is>
          <t>NYKÖPING</t>
        </is>
      </c>
      <c r="I720" t="n">
        <v>1.3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30720-2026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46211</v>
      </c>
      <c r="E721" s="1" t="n">
        <v>46307</v>
      </c>
      <c r="F721" t="inlineStr">
        <is>
          <t>SÖDERMANLANDS LÄN</t>
        </is>
      </c>
      <c r="G721" t="inlineStr">
        <is>
          <t>NYKÖPING</t>
        </is>
      </c>
      <c r="I721" t="n">
        <v>1.2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31469-2026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46222</v>
      </c>
      <c r="E722" s="1" t="n">
        <v>46307</v>
      </c>
      <c r="F722" t="inlineStr">
        <is>
          <t>SÖDERMANLANDS LÄN</t>
        </is>
      </c>
      <c r="G722" t="inlineStr">
        <is>
          <t>NYKÖPING</t>
        </is>
      </c>
      <c r="I722" t="n">
        <v>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31760-2026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46228</v>
      </c>
      <c r="E723" s="1" t="n">
        <v>46307</v>
      </c>
      <c r="F723" t="inlineStr">
        <is>
          <t>SÖDERMANLANDS LÄN</t>
        </is>
      </c>
      <c r="G723" t="inlineStr">
        <is>
          <t>NYKÖPING</t>
        </is>
      </c>
      <c r="I723" t="n">
        <v>2.6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18080-2026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46125</v>
      </c>
      <c r="E724" s="1" t="n">
        <v>46307</v>
      </c>
      <c r="F724" t="inlineStr">
        <is>
          <t>SÖDERMANLANDS LÄN</t>
        </is>
      </c>
      <c r="G724" t="inlineStr">
        <is>
          <t>NYKÖPING</t>
        </is>
      </c>
      <c r="I724" t="n">
        <v>2.4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32295-2026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46237</v>
      </c>
      <c r="E725" s="1" t="n">
        <v>46307</v>
      </c>
      <c r="F725" t="inlineStr">
        <is>
          <t>SÖDERMANLANDS LÄN</t>
        </is>
      </c>
      <c r="G725" t="inlineStr">
        <is>
          <t>NYKÖPING</t>
        </is>
      </c>
      <c r="H725" t="inlineStr">
        <is>
          <t>Sveaskog</t>
        </is>
      </c>
      <c r="I725" t="n">
        <v>5.2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37954-2026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46280</v>
      </c>
      <c r="E726" s="1" t="n">
        <v>46307</v>
      </c>
      <c r="F726" t="inlineStr">
        <is>
          <t>SÖDERMANLANDS LÄN</t>
        </is>
      </c>
      <c r="G726" t="inlineStr">
        <is>
          <t>NYKÖPING</t>
        </is>
      </c>
      <c r="H726" t="inlineStr">
        <is>
          <t>Holmen skog AB</t>
        </is>
      </c>
      <c r="I726" t="n">
        <v>4.3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32120-2026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46234</v>
      </c>
      <c r="E727" s="1" t="n">
        <v>46307</v>
      </c>
      <c r="F727" t="inlineStr">
        <is>
          <t>SÖDERMANLANDS LÄN</t>
        </is>
      </c>
      <c r="G727" t="inlineStr">
        <is>
          <t>NYKÖPING</t>
        </is>
      </c>
      <c r="H727" t="inlineStr">
        <is>
          <t>Holmen skog AB</t>
        </is>
      </c>
      <c r="I727" t="n">
        <v>2.9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32499-2026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46239</v>
      </c>
      <c r="E728" s="1" t="n">
        <v>46307</v>
      </c>
      <c r="F728" t="inlineStr">
        <is>
          <t>SÖDERMANLANDS LÄN</t>
        </is>
      </c>
      <c r="G728" t="inlineStr">
        <is>
          <t>NYKÖPING</t>
        </is>
      </c>
      <c r="H728" t="inlineStr">
        <is>
          <t>Sveaskog</t>
        </is>
      </c>
      <c r="I728" t="n">
        <v>0.8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32584-2026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46240</v>
      </c>
      <c r="E729" s="1" t="n">
        <v>46307</v>
      </c>
      <c r="F729" t="inlineStr">
        <is>
          <t>SÖDERMANLANDS LÄN</t>
        </is>
      </c>
      <c r="G729" t="inlineStr">
        <is>
          <t>NYKÖPING</t>
        </is>
      </c>
      <c r="I729" t="n">
        <v>1.5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38589-2026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46283</v>
      </c>
      <c r="E730" s="1" t="n">
        <v>46307</v>
      </c>
      <c r="F730" t="inlineStr">
        <is>
          <t>SÖDERMANLANDS LÄN</t>
        </is>
      </c>
      <c r="G730" t="inlineStr">
        <is>
          <t>NYKÖPING</t>
        </is>
      </c>
      <c r="I730" t="n">
        <v>1.4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38593-2026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46283</v>
      </c>
      <c r="E731" s="1" t="n">
        <v>46307</v>
      </c>
      <c r="F731" t="inlineStr">
        <is>
          <t>SÖDERMANLANDS LÄN</t>
        </is>
      </c>
      <c r="G731" t="inlineStr">
        <is>
          <t>NYKÖPING</t>
        </is>
      </c>
      <c r="I731" t="n">
        <v>13.9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39040-2026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46287</v>
      </c>
      <c r="E732" s="1" t="n">
        <v>46307</v>
      </c>
      <c r="F732" t="inlineStr">
        <is>
          <t>SÖDERMANLANDS LÄN</t>
        </is>
      </c>
      <c r="G732" t="inlineStr">
        <is>
          <t>NYKÖPING</t>
        </is>
      </c>
      <c r="I732" t="n">
        <v>1.3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33091-2026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46245</v>
      </c>
      <c r="E733" s="1" t="n">
        <v>46307</v>
      </c>
      <c r="F733" t="inlineStr">
        <is>
          <t>SÖDERMANLANDS LÄN</t>
        </is>
      </c>
      <c r="G733" t="inlineStr">
        <is>
          <t>NYKÖPING</t>
        </is>
      </c>
      <c r="H733" t="inlineStr">
        <is>
          <t>Holmen skog AB</t>
        </is>
      </c>
      <c r="I733" t="n">
        <v>1.8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33020-2026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46244</v>
      </c>
      <c r="E734" s="1" t="n">
        <v>46307</v>
      </c>
      <c r="F734" t="inlineStr">
        <is>
          <t>SÖDERMANLANDS LÄN</t>
        </is>
      </c>
      <c r="G734" t="inlineStr">
        <is>
          <t>NYKÖPING</t>
        </is>
      </c>
      <c r="H734" t="inlineStr">
        <is>
          <t>Sveaskog</t>
        </is>
      </c>
      <c r="I734" t="n">
        <v>0.7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33095-2026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46245</v>
      </c>
      <c r="E735" s="1" t="n">
        <v>46307</v>
      </c>
      <c r="F735" t="inlineStr">
        <is>
          <t>SÖDERMANLANDS LÄN</t>
        </is>
      </c>
      <c r="G735" t="inlineStr">
        <is>
          <t>NYKÖPING</t>
        </is>
      </c>
      <c r="H735" t="inlineStr">
        <is>
          <t>Holmen skog AB</t>
        </is>
      </c>
      <c r="I735" t="n">
        <v>0.9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33088-2026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46245</v>
      </c>
      <c r="E736" s="1" t="n">
        <v>46307</v>
      </c>
      <c r="F736" t="inlineStr">
        <is>
          <t>SÖDERMANLANDS LÄN</t>
        </is>
      </c>
      <c r="G736" t="inlineStr">
        <is>
          <t>NYKÖPING</t>
        </is>
      </c>
      <c r="H736" t="inlineStr">
        <is>
          <t>Holmen skog AB</t>
        </is>
      </c>
      <c r="I736" t="n">
        <v>2.6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817-2026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46030</v>
      </c>
      <c r="E737" s="1" t="n">
        <v>46307</v>
      </c>
      <c r="F737" t="inlineStr">
        <is>
          <t>SÖDERMANLANDS LÄN</t>
        </is>
      </c>
      <c r="G737" t="inlineStr">
        <is>
          <t>NYKÖPING</t>
        </is>
      </c>
      <c r="H737" t="inlineStr">
        <is>
          <t>Holmen skog AB</t>
        </is>
      </c>
      <c r="I737" t="n">
        <v>4.5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33366-2026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46247</v>
      </c>
      <c r="E738" s="1" t="n">
        <v>46307</v>
      </c>
      <c r="F738" t="inlineStr">
        <is>
          <t>SÖDERMANLANDS LÄN</t>
        </is>
      </c>
      <c r="G738" t="inlineStr">
        <is>
          <t>NYKÖPING</t>
        </is>
      </c>
      <c r="I738" t="n">
        <v>2.4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39776-2026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46290</v>
      </c>
      <c r="E739" s="1" t="n">
        <v>46307</v>
      </c>
      <c r="F739" t="inlineStr">
        <is>
          <t>SÖDERMANLANDS LÄN</t>
        </is>
      </c>
      <c r="G739" t="inlineStr">
        <is>
          <t>NYKÖPING</t>
        </is>
      </c>
      <c r="H739" t="inlineStr">
        <is>
          <t>Holmen skog AB</t>
        </is>
      </c>
      <c r="I739" t="n">
        <v>2.3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33494-2026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46247</v>
      </c>
      <c r="E740" s="1" t="n">
        <v>46307</v>
      </c>
      <c r="F740" t="inlineStr">
        <is>
          <t>SÖDERMANLANDS LÄN</t>
        </is>
      </c>
      <c r="G740" t="inlineStr">
        <is>
          <t>NYKÖPING</t>
        </is>
      </c>
      <c r="H740" t="inlineStr">
        <is>
          <t>Holmen skog AB</t>
        </is>
      </c>
      <c r="I740" t="n">
        <v>1.8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40160-2026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46293</v>
      </c>
      <c r="E741" s="1" t="n">
        <v>46307</v>
      </c>
      <c r="F741" t="inlineStr">
        <is>
          <t>SÖDERMANLANDS LÄN</t>
        </is>
      </c>
      <c r="G741" t="inlineStr">
        <is>
          <t>NYKÖPING</t>
        </is>
      </c>
      <c r="I741" t="n">
        <v>3.6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40145-2026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46293</v>
      </c>
      <c r="E742" s="1" t="n">
        <v>46307</v>
      </c>
      <c r="F742" t="inlineStr">
        <is>
          <t>SÖDERMANLANDS LÄN</t>
        </is>
      </c>
      <c r="G742" t="inlineStr">
        <is>
          <t>NYKÖPING</t>
        </is>
      </c>
      <c r="I742" t="n">
        <v>1.8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50688-2025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45945</v>
      </c>
      <c r="E743" s="1" t="n">
        <v>46307</v>
      </c>
      <c r="F743" t="inlineStr">
        <is>
          <t>SÖDERMANLANDS LÄN</t>
        </is>
      </c>
      <c r="G743" t="inlineStr">
        <is>
          <t>NYKÖPING</t>
        </is>
      </c>
      <c r="H743" t="inlineStr">
        <is>
          <t>Kyrkan</t>
        </is>
      </c>
      <c r="I743" t="n">
        <v>4.4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40133-2026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46293</v>
      </c>
      <c r="E744" s="1" t="n">
        <v>46307</v>
      </c>
      <c r="F744" t="inlineStr">
        <is>
          <t>SÖDERMANLANDS LÄN</t>
        </is>
      </c>
      <c r="G744" t="inlineStr">
        <is>
          <t>NYKÖPING</t>
        </is>
      </c>
      <c r="H744" t="inlineStr">
        <is>
          <t>Kyrkan</t>
        </is>
      </c>
      <c r="I744" t="n">
        <v>1.8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40126-2026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46293</v>
      </c>
      <c r="E745" s="1" t="n">
        <v>46307</v>
      </c>
      <c r="F745" t="inlineStr">
        <is>
          <t>SÖDERMANLANDS LÄN</t>
        </is>
      </c>
      <c r="G745" t="inlineStr">
        <is>
          <t>NYKÖPING</t>
        </is>
      </c>
      <c r="H745" t="inlineStr">
        <is>
          <t>Kyrkan</t>
        </is>
      </c>
      <c r="I745" t="n">
        <v>0.7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34049-2026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46252</v>
      </c>
      <c r="E746" s="1" t="n">
        <v>46307</v>
      </c>
      <c r="F746" t="inlineStr">
        <is>
          <t>SÖDERMANLANDS LÄN</t>
        </is>
      </c>
      <c r="G746" t="inlineStr">
        <is>
          <t>NYKÖPING</t>
        </is>
      </c>
      <c r="I746" t="n">
        <v>0.5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34161-2026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46253</v>
      </c>
      <c r="E747" s="1" t="n">
        <v>46307</v>
      </c>
      <c r="F747" t="inlineStr">
        <is>
          <t>SÖDERMANLANDS LÄN</t>
        </is>
      </c>
      <c r="G747" t="inlineStr">
        <is>
          <t>NYKÖPING</t>
        </is>
      </c>
      <c r="I747" t="n">
        <v>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34169-2026</t>
        </is>
      </c>
      <c r="B748" t="inlineStr">
        <is>
          <t>avverkningsanmälan</t>
        </is>
      </c>
      <c r="C748" t="inlineStr">
        <is>
          <t>Avverkning för annat ändamål</t>
        </is>
      </c>
      <c r="D748" s="1" t="n">
        <v>46253</v>
      </c>
      <c r="E748" s="1" t="n">
        <v>46307</v>
      </c>
      <c r="F748" t="inlineStr">
        <is>
          <t>SÖDERMANLANDS LÄN</t>
        </is>
      </c>
      <c r="G748" t="inlineStr">
        <is>
          <t>NYKÖPING</t>
        </is>
      </c>
      <c r="H748" t="inlineStr">
        <is>
          <t>Kyrkan</t>
        </is>
      </c>
      <c r="I748" t="n">
        <v>0.3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14384-2026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46100</v>
      </c>
      <c r="E749" s="1" t="n">
        <v>46307</v>
      </c>
      <c r="F749" t="inlineStr">
        <is>
          <t>SÖDERMANLANDS LÄN</t>
        </is>
      </c>
      <c r="G749" t="inlineStr">
        <is>
          <t>NYKÖPING</t>
        </is>
      </c>
      <c r="H749" t="inlineStr">
        <is>
          <t>Holmen skog AB</t>
        </is>
      </c>
      <c r="I749" t="n">
        <v>1.7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58685-2025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45986</v>
      </c>
      <c r="E750" s="1" t="n">
        <v>46307</v>
      </c>
      <c r="F750" t="inlineStr">
        <is>
          <t>SÖDERMANLANDS LÄN</t>
        </is>
      </c>
      <c r="G750" t="inlineStr">
        <is>
          <t>NYKÖPING</t>
        </is>
      </c>
      <c r="I750" t="n">
        <v>0.7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62323-2025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46003</v>
      </c>
      <c r="E751" s="1" t="n">
        <v>46307</v>
      </c>
      <c r="F751" t="inlineStr">
        <is>
          <t>SÖDERMANLANDS LÄN</t>
        </is>
      </c>
      <c r="G751" t="inlineStr">
        <is>
          <t>NYKÖPING</t>
        </is>
      </c>
      <c r="I751" t="n">
        <v>1.2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S 1999-2020</t>
        </is>
      </c>
      <c r="B752" t="inlineStr">
        <is>
          <t>samrådsanmälan</t>
        </is>
      </c>
      <c r="C752" t="inlineStr">
        <is>
          <t>Åtgärd i nyckelbiotop</t>
        </is>
      </c>
      <c r="D752" s="1" t="n">
        <v>44092</v>
      </c>
      <c r="E752" s="1" t="n">
        <v>46307</v>
      </c>
      <c r="F752" t="inlineStr">
        <is>
          <t>SÖDERMANLANDS LÄN</t>
        </is>
      </c>
      <c r="G752" t="inlineStr">
        <is>
          <t>NYKÖPING</t>
        </is>
      </c>
      <c r="H752" t="inlineStr">
        <is>
          <t>Kommuner</t>
        </is>
      </c>
      <c r="I752" t="n">
        <v>0.4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S 1573-2020</t>
        </is>
      </c>
      <c r="B753" t="inlineStr">
        <is>
          <t>samrådsanmälan</t>
        </is>
      </c>
      <c r="C753" t="inlineStr">
        <is>
          <t>Åtgärd i nyckelbiotop</t>
        </is>
      </c>
      <c r="D753" s="1" t="n">
        <v>44013</v>
      </c>
      <c r="E753" s="1" t="n">
        <v>46307</v>
      </c>
      <c r="F753" t="inlineStr">
        <is>
          <t>SÖDERMANLANDS LÄN</t>
        </is>
      </c>
      <c r="G753" t="inlineStr">
        <is>
          <t>NYKÖPING</t>
        </is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S 2311-2022</t>
        </is>
      </c>
      <c r="B754" t="inlineStr">
        <is>
          <t>samrådsanmälan</t>
        </is>
      </c>
      <c r="C754" t="inlineStr">
        <is>
          <t>Åtgärd i nyckelbiotop</t>
        </is>
      </c>
      <c r="D754" s="1" t="n">
        <v>44684</v>
      </c>
      <c r="E754" s="1" t="n">
        <v>46307</v>
      </c>
      <c r="F754" t="inlineStr">
        <is>
          <t>SÖDERMANLANDS LÄN</t>
        </is>
      </c>
      <c r="G754" t="inlineStr">
        <is>
          <t>NYKÖPING</t>
        </is>
      </c>
      <c r="I754" t="n">
        <v>0.3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S 3579-2022</t>
        </is>
      </c>
      <c r="B755" t="inlineStr">
        <is>
          <t>samrådsanmälan</t>
        </is>
      </c>
      <c r="C755" t="inlineStr">
        <is>
          <t>Annan skogsbruksåtgärd</t>
        </is>
      </c>
      <c r="D755" s="1" t="n">
        <v>44735</v>
      </c>
      <c r="E755" s="1" t="n">
        <v>46307</v>
      </c>
      <c r="F755" t="inlineStr">
        <is>
          <t>SÖDERMANLANDS LÄN</t>
        </is>
      </c>
      <c r="G755" t="inlineStr">
        <is>
          <t>NYKÖPING</t>
        </is>
      </c>
      <c r="H755" t="inlineStr">
        <is>
          <t>Sveaskog</t>
        </is>
      </c>
      <c r="I755" t="n">
        <v>3.1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S 3783-2023</t>
        </is>
      </c>
      <c r="B756" t="inlineStr">
        <is>
          <t>samrådsanmälan</t>
        </is>
      </c>
      <c r="C756" t="inlineStr">
        <is>
          <t>Annan skogsbruksåtgärd</t>
        </is>
      </c>
      <c r="D756" s="1" t="n">
        <v>45223</v>
      </c>
      <c r="E756" s="1" t="n">
        <v>46307</v>
      </c>
      <c r="F756" t="inlineStr">
        <is>
          <t>SÖDERMANLANDS LÄN</t>
        </is>
      </c>
      <c r="G756" t="inlineStr">
        <is>
          <t>NYKÖPING</t>
        </is>
      </c>
      <c r="H756" t="inlineStr">
        <is>
          <t>Sveaskog</t>
        </is>
      </c>
      <c r="I756" t="n">
        <v>3.4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S 220-2023</t>
        </is>
      </c>
      <c r="B757" t="inlineStr">
        <is>
          <t>samrådsanmälan</t>
        </is>
      </c>
      <c r="C757" t="inlineStr">
        <is>
          <t>Stubbskörd</t>
        </is>
      </c>
      <c r="D757" s="1" t="n">
        <v>44949</v>
      </c>
      <c r="E757" s="1" t="n">
        <v>46307</v>
      </c>
      <c r="F757" t="inlineStr">
        <is>
          <t>SÖDERMANLANDS LÄN</t>
        </is>
      </c>
      <c r="G757" t="inlineStr">
        <is>
          <t>NYKÖPING</t>
        </is>
      </c>
      <c r="I757" t="n">
        <v>1.9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S 1224-2023</t>
        </is>
      </c>
      <c r="B758" t="inlineStr">
        <is>
          <t>samrådsanmälan</t>
        </is>
      </c>
      <c r="C758" t="inlineStr">
        <is>
          <t>Annan skogsbruksåtgärd</t>
        </is>
      </c>
      <c r="D758" s="1" t="n">
        <v>45029</v>
      </c>
      <c r="E758" s="1" t="n">
        <v>46307</v>
      </c>
      <c r="F758" t="inlineStr">
        <is>
          <t>SÖDERMANLANDS LÄN</t>
        </is>
      </c>
      <c r="G758" t="inlineStr">
        <is>
          <t>NYKÖPING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S 633-2025</t>
        </is>
      </c>
      <c r="B759" t="inlineStr">
        <is>
          <t>samrådsanmälan</t>
        </is>
      </c>
      <c r="C759" t="inlineStr">
        <is>
          <t>Skogsgödsling</t>
        </is>
      </c>
      <c r="D759" s="1" t="n">
        <v>45714</v>
      </c>
      <c r="E759" s="1" t="n">
        <v>46307</v>
      </c>
      <c r="F759" t="inlineStr">
        <is>
          <t>SÖDERMANLANDS LÄN</t>
        </is>
      </c>
      <c r="G759" t="inlineStr">
        <is>
          <t>NYKÖPING</t>
        </is>
      </c>
      <c r="H759" t="inlineStr">
        <is>
          <t>Holmen skog AB</t>
        </is>
      </c>
      <c r="I759" t="n">
        <v>39.6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S 3071-2024</t>
        </is>
      </c>
      <c r="B760" t="inlineStr">
        <is>
          <t>samrådsanmälan</t>
        </is>
      </c>
      <c r="C760" t="inlineStr">
        <is>
          <t>Annan skogsbruksåtgärd</t>
        </is>
      </c>
      <c r="D760" s="1" t="n">
        <v>45517</v>
      </c>
      <c r="E760" s="1" t="n">
        <v>46307</v>
      </c>
      <c r="F760" t="inlineStr">
        <is>
          <t>SÖDERMANLANDS LÄN</t>
        </is>
      </c>
      <c r="G760" t="inlineStr">
        <is>
          <t>NYKÖPING</t>
        </is>
      </c>
      <c r="H760" t="inlineStr">
        <is>
          <t>Sveaskog</t>
        </is>
      </c>
      <c r="I760" t="n">
        <v>1.3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S 2818-2025</t>
        </is>
      </c>
      <c r="B761" t="inlineStr">
        <is>
          <t>samrådsanmälan</t>
        </is>
      </c>
      <c r="C761" t="inlineStr">
        <is>
          <t>Annan skogsbruksåtgärd</t>
        </is>
      </c>
      <c r="D761" s="1" t="n">
        <v>45939</v>
      </c>
      <c r="E761" s="1" t="n">
        <v>46307</v>
      </c>
      <c r="F761" t="inlineStr">
        <is>
          <t>SÖDERMANLANDS LÄN</t>
        </is>
      </c>
      <c r="G761" t="inlineStr">
        <is>
          <t>NYKÖPING</t>
        </is>
      </c>
      <c r="H761" t="inlineStr">
        <is>
          <t>Sveaskog</t>
        </is>
      </c>
      <c r="I761" t="n">
        <v>3.5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S 641-2026</t>
        </is>
      </c>
      <c r="B762" t="inlineStr">
        <is>
          <t>samrådsanmälan</t>
        </is>
      </c>
      <c r="C762" t="inlineStr">
        <is>
          <t>Skogsgödsling</t>
        </is>
      </c>
      <c r="D762" s="1" t="n">
        <v>46090</v>
      </c>
      <c r="E762" s="1" t="n">
        <v>46307</v>
      </c>
      <c r="F762" t="inlineStr">
        <is>
          <t>SÖDERMANLANDS LÄN</t>
        </is>
      </c>
      <c r="G762" t="inlineStr">
        <is>
          <t>NYKÖPING</t>
        </is>
      </c>
      <c r="I762" t="n">
        <v>46.2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>
      <c r="A763" t="inlineStr">
        <is>
          <t>S 248-2026</t>
        </is>
      </c>
      <c r="B763" t="inlineStr">
        <is>
          <t>samrådsanmälan</t>
        </is>
      </c>
      <c r="C763" t="inlineStr">
        <is>
          <t>Annan skogsbruksåtgärd</t>
        </is>
      </c>
      <c r="D763" s="1" t="n">
        <v>46050</v>
      </c>
      <c r="E763" s="1" t="n">
        <v>46307</v>
      </c>
      <c r="F763" t="inlineStr">
        <is>
          <t>SÖDERMANLANDS LÄN</t>
        </is>
      </c>
      <c r="G763" t="inlineStr">
        <is>
          <t>NYKÖPING</t>
        </is>
      </c>
      <c r="I763" t="n">
        <v>1.2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2026-10-12T02:04:30Z</dcterms:created>
  <dcterms:modified xmlns:dcterms="http://purl.org/dc/terms/" xmlns:xsi="http://www.w3.org/2001/XMLSchema-instance" xsi:type="dcterms:W3CDTF">2026-10-12T02:04:31Z</dcterms:modified>
</cp:coreProperties>
</file>