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46253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46253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46253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46253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46253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46253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46253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46253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46253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5855-2024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45335</v>
      </c>
      <c r="E14" s="1" t="n">
        <v>46253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3.3</v>
      </c>
      <c r="J14" t="n">
        <v>3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10</v>
      </c>
      <c r="U14" t="n">
        <v>0</v>
      </c>
      <c r="V14" s="2" t="inlineStr">
        <is>
          <t>Berggräsfjäril
Jungfrulin
Svinrot
Mindre vattensalamander
Fläcknycklar
Revlummer</t>
        </is>
      </c>
      <c r="W14">
        <f>HYPERLINK("https://klasma.github.io/Logging_0480/artfynd/A 5855-2024 artfynd.xlsx", "A 5855-2024")</f>
        <v/>
      </c>
      <c r="X14">
        <f>HYPERLINK("https://klasma.github.io/Logging_0480/kartor/A 5855-2024 karta.png", "A 5855-2024")</f>
        <v/>
      </c>
      <c r="Y14">
        <f>HYPERLINK("https://klasma.github.io/Logging_0480/kartor_geotiff/A 5855-2024 georefererad karta.tif", "A 5855-2024")</f>
        <v/>
      </c>
      <c r="AA14">
        <f>HYPERLINK("https://klasma.github.io/Logging_0480/klagomål/A 5855-2024 FSC-klagomål.docx", "A 5855-2024")</f>
        <v/>
      </c>
      <c r="AB14">
        <f>HYPERLINK("https://klasma.github.io/Logging_0480/klagomålsmail/A 5855-2024 FSC-klagomål mail.docx", "A 5855-2024")</f>
        <v/>
      </c>
      <c r="AC14">
        <f>HYPERLINK("https://klasma.github.io/Logging_0480/tillsyn/A 5855-2024 tillsynsbegäran.docx", "A 5855-2024")</f>
        <v/>
      </c>
      <c r="AD14">
        <f>HYPERLINK("https://klasma.github.io/Logging_0480/tillsynsmail/A 5855-2024 tillsynsbegäran mail.docx", "A 5855-2024")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46253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46253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46253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56099-2024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45624</v>
      </c>
      <c r="E18" s="1" t="n">
        <v>46253</v>
      </c>
      <c r="F18" t="inlineStr">
        <is>
          <t>SÖDERMANLANDS LÄN</t>
        </is>
      </c>
      <c r="G18" t="inlineStr">
        <is>
          <t>NYKÖPING</t>
        </is>
      </c>
      <c r="I18" t="n">
        <v>4.7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Granbarkgnagare
Grovticka
Jättesvampmal
Stekelbock
Stor aspticka
Stubbspretmossa</t>
        </is>
      </c>
      <c r="W18">
        <f>HYPERLINK("https://klasma.github.io/Logging_0480/artfynd/A 56099-2024 artfynd.xlsx", "A 56099-2024")</f>
        <v/>
      </c>
      <c r="X18">
        <f>HYPERLINK("https://klasma.github.io/Logging_0480/kartor/A 56099-2024 karta.png", "A 56099-2024")</f>
        <v/>
      </c>
      <c r="Y18">
        <f>HYPERLINK("https://klasma.github.io/Logging_0480/kartor_geotiff/A 56099-2024 georefererad karta.tif", "A 56099-2024")</f>
        <v/>
      </c>
      <c r="AA18">
        <f>HYPERLINK("https://klasma.github.io/Logging_0480/klagomål/A 56099-2024 FSC-klagomål.docx", "A 56099-2024")</f>
        <v/>
      </c>
      <c r="AB18">
        <f>HYPERLINK("https://klasma.github.io/Logging_0480/klagomålsmail/A 56099-2024 FSC-klagomål mail.docx", "A 56099-2024")</f>
        <v/>
      </c>
      <c r="AC18">
        <f>HYPERLINK("https://klasma.github.io/Logging_0480/tillsyn/A 56099-2024 tillsynsbegäran.docx", "A 56099-2024")</f>
        <v/>
      </c>
      <c r="AD18">
        <f>HYPERLINK("https://klasma.github.io/Logging_0480/tillsynsmail/A 56099-2024 tillsynsbegäran mail.docx", "A 56099-2024")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46253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46253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46253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46253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46253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46253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46253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46253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46253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46253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46253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46253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46253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46253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8663-2022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46253</v>
      </c>
      <c r="F33" t="inlineStr">
        <is>
          <t>SÖDERMANLANDS LÄN</t>
        </is>
      </c>
      <c r="G33" t="inlineStr">
        <is>
          <t>NYKÖPING</t>
        </is>
      </c>
      <c r="I33" t="n">
        <v>6.5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Fjällig taggsvamp s.str.
Orange taggsvamp
Blomkålssvamp
Stubbspretmossa</t>
        </is>
      </c>
      <c r="W33">
        <f>HYPERLINK("https://klasma.github.io/Logging_0480/artfynd/A 8663-2022 artfynd.xlsx", "A 8663-2022")</f>
        <v/>
      </c>
      <c r="X33">
        <f>HYPERLINK("https://klasma.github.io/Logging_0480/kartor/A 8663-2022 karta.png", "A 8663-2022")</f>
        <v/>
      </c>
      <c r="Y33">
        <f>HYPERLINK("https://klasma.github.io/Logging_0480/kartor_geotiff/A 8663-2022 georefererad karta.tif", "A 8663-2022")</f>
        <v/>
      </c>
      <c r="AA33">
        <f>HYPERLINK("https://klasma.github.io/Logging_0480/klagomål/A 8663-2022 FSC-klagomål.docx", "A 8663-2022")</f>
        <v/>
      </c>
      <c r="AB33">
        <f>HYPERLINK("https://klasma.github.io/Logging_0480/klagomålsmail/A 8663-2022 FSC-klagomål mail.docx", "A 8663-2022")</f>
        <v/>
      </c>
      <c r="AC33">
        <f>HYPERLINK("https://klasma.github.io/Logging_0480/tillsyn/A 8663-2022 tillsynsbegäran.docx", "A 8663-2022")</f>
        <v/>
      </c>
      <c r="AD33">
        <f>HYPERLINK("https://klasma.github.io/Logging_0480/tillsynsmail/A 8663-2022 tillsynsbegäran mail.docx", "A 8663-2022")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46253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46253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46253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38203-2022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46253</v>
      </c>
      <c r="F37" t="inlineStr">
        <is>
          <t>SÖDERMANLANDS LÄN</t>
        </is>
      </c>
      <c r="G37" t="inlineStr">
        <is>
          <t>NYKÖPING</t>
        </is>
      </c>
      <c r="I37" t="n">
        <v>1.9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Gulsparv
Kösa
Linmåra/småsnärjmåra</t>
        </is>
      </c>
      <c r="W37">
        <f>HYPERLINK("https://klasma.github.io/Logging_0480/artfynd/A 38203-2022 artfynd.xlsx", "A 38203-2022")</f>
        <v/>
      </c>
      <c r="X37">
        <f>HYPERLINK("https://klasma.github.io/Logging_0480/kartor/A 38203-2022 karta.png", "A 38203-2022")</f>
        <v/>
      </c>
      <c r="Y37">
        <f>HYPERLINK("https://klasma.github.io/Logging_0480/kartor_geotiff/A 38203-2022 georefererad karta.tif", "A 38203-2022")</f>
        <v/>
      </c>
      <c r="AA37">
        <f>HYPERLINK("https://klasma.github.io/Logging_0480/klagomål/A 38203-2022 FSC-klagomål.docx", "A 38203-2022")</f>
        <v/>
      </c>
      <c r="AB37">
        <f>HYPERLINK("https://klasma.github.io/Logging_0480/klagomålsmail/A 38203-2022 FSC-klagomål mail.docx", "A 38203-2022")</f>
        <v/>
      </c>
      <c r="AC37">
        <f>HYPERLINK("https://klasma.github.io/Logging_0480/tillsyn/A 38203-2022 tillsynsbegäran.docx", "A 38203-2022")</f>
        <v/>
      </c>
      <c r="AD37">
        <f>HYPERLINK("https://klasma.github.io/Logging_0480/tillsynsmail/A 38203-2022 tillsynsbegäran mail.docx", "A 38203-2022")</f>
        <v/>
      </c>
      <c r="AE37">
        <f>HYPERLINK("https://klasma.github.io/Logging_0480/fåglar/A 38203-2022 prioriterade fågelarter.docx", "A 38203-2022")</f>
        <v/>
      </c>
    </row>
    <row r="38" ht="15" customHeight="1">
      <c r="A38" t="inlineStr">
        <is>
          <t>A 53573-2022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46253</v>
      </c>
      <c r="F38" t="inlineStr">
        <is>
          <t>SÖDERMANLANDS LÄN</t>
        </is>
      </c>
      <c r="G38" t="inlineStr">
        <is>
          <t>NYKÖPING</t>
        </is>
      </c>
      <c r="H38" t="inlineStr">
        <is>
          <t>Övriga Aktiebolag</t>
        </is>
      </c>
      <c r="I38" t="n">
        <v>9.199999999999999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Dofttaggsvamp
Fjällig taggsvamp s.str.
Sotvaxskivling</t>
        </is>
      </c>
      <c r="W38">
        <f>HYPERLINK("https://klasma.github.io/Logging_0480/artfynd/A 53573-2022 artfynd.xlsx", "A 53573-2022")</f>
        <v/>
      </c>
      <c r="X38">
        <f>HYPERLINK("https://klasma.github.io/Logging_0480/kartor/A 53573-2022 karta.png", "A 53573-2022")</f>
        <v/>
      </c>
      <c r="Y38">
        <f>HYPERLINK("https://klasma.github.io/Logging_0480/kartor_geotiff/A 53573-2022 georefererad karta.tif", "A 53573-2022")</f>
        <v/>
      </c>
      <c r="AA38">
        <f>HYPERLINK("https://klasma.github.io/Logging_0480/klagomål/A 53573-2022 FSC-klagomål.docx", "A 53573-2022")</f>
        <v/>
      </c>
      <c r="AB38">
        <f>HYPERLINK("https://klasma.github.io/Logging_0480/klagomålsmail/A 53573-2022 FSC-klagomål mail.docx", "A 53573-2022")</f>
        <v/>
      </c>
      <c r="AC38">
        <f>HYPERLINK("https://klasma.github.io/Logging_0480/tillsyn/A 53573-2022 tillsynsbegäran.docx", "A 53573-2022")</f>
        <v/>
      </c>
      <c r="AD38">
        <f>HYPERLINK("https://klasma.github.io/Logging_0480/tillsynsmail/A 53573-2022 tillsynsbegäran mail.docx", "A 53573-2022")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46253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46253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58783-2025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46253</v>
      </c>
      <c r="F41" t="inlineStr">
        <is>
          <t>SÖDERMANLANDS LÄN</t>
        </is>
      </c>
      <c r="G41" t="inlineStr">
        <is>
          <t>NYKÖPING</t>
        </is>
      </c>
      <c r="H41" t="inlineStr">
        <is>
          <t>Sveaskog</t>
        </is>
      </c>
      <c r="I41" t="n">
        <v>1.3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Skogshare
Nattskärra
Revlummer</t>
        </is>
      </c>
      <c r="W41">
        <f>HYPERLINK("https://klasma.github.io/Logging_0480/artfynd/A 58783-2025 artfynd.xlsx", "A 58783-2025")</f>
        <v/>
      </c>
      <c r="X41">
        <f>HYPERLINK("https://klasma.github.io/Logging_0480/kartor/A 58783-2025 karta.png", "A 58783-2025")</f>
        <v/>
      </c>
      <c r="Y41">
        <f>HYPERLINK("https://klasma.github.io/Logging_0480/kartor_geotiff/A 58783-2025 georefererad karta.tif", "A 58783-2025")</f>
        <v/>
      </c>
      <c r="AA41">
        <f>HYPERLINK("https://klasma.github.io/Logging_0480/klagomål/A 58783-2025 FSC-klagomål.docx", "A 58783-2025")</f>
        <v/>
      </c>
      <c r="AB41">
        <f>HYPERLINK("https://klasma.github.io/Logging_0480/klagomålsmail/A 58783-2025 FSC-klagomål mail.docx", "A 58783-2025")</f>
        <v/>
      </c>
      <c r="AC41">
        <f>HYPERLINK("https://klasma.github.io/Logging_0480/tillsyn/A 58783-2025 tillsynsbegäran.docx", "A 58783-2025")</f>
        <v/>
      </c>
      <c r="AD41">
        <f>HYPERLINK("https://klasma.github.io/Logging_0480/tillsynsmail/A 58783-2025 tillsynsbegäran mail.docx", "A 58783-2025")</f>
        <v/>
      </c>
      <c r="AE41">
        <f>HYPERLINK("https://klasma.github.io/Logging_0480/fåglar/A 58783-2025 prioriterade fågelarter.docx", "A 58783-2025")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46253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4710-2024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45328</v>
      </c>
      <c r="E43" s="1" t="n">
        <v>46253</v>
      </c>
      <c r="F43" t="inlineStr">
        <is>
          <t>SÖDERMANLANDS LÄN</t>
        </is>
      </c>
      <c r="G43" t="inlineStr">
        <is>
          <t>NYKÖPING</t>
        </is>
      </c>
      <c r="I43" t="n">
        <v>8.699999999999999</v>
      </c>
      <c r="J43" t="n">
        <v>2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Blåsippa
Grönvit nattviol</t>
        </is>
      </c>
      <c r="W43">
        <f>HYPERLINK("https://klasma.github.io/Logging_0480/artfynd/A 4710-2024 artfynd.xlsx", "A 4710-2024")</f>
        <v/>
      </c>
      <c r="X43">
        <f>HYPERLINK("https://klasma.github.io/Logging_0480/kartor/A 4710-2024 karta.png", "A 4710-2024")</f>
        <v/>
      </c>
      <c r="Y43">
        <f>HYPERLINK("https://klasma.github.io/Logging_0480/kartor_geotiff/A 4710-2024 georefererad karta.tif", "A 4710-2024")</f>
        <v/>
      </c>
      <c r="AA43">
        <f>HYPERLINK("https://klasma.github.io/Logging_0480/klagomål/A 4710-2024 FSC-klagomål.docx", "A 4710-2024")</f>
        <v/>
      </c>
      <c r="AB43">
        <f>HYPERLINK("https://klasma.github.io/Logging_0480/klagomålsmail/A 4710-2024 FSC-klagomål mail.docx", "A 4710-2024")</f>
        <v/>
      </c>
      <c r="AC43">
        <f>HYPERLINK("https://klasma.github.io/Logging_0480/tillsyn/A 4710-2024 tillsynsbegäran.docx", "A 4710-2024")</f>
        <v/>
      </c>
      <c r="AD43">
        <f>HYPERLINK("https://klasma.github.io/Logging_0480/tillsynsmail/A 4710-2024 tillsynsbegäran mail.docx", "A 4710-2024")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46253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22417-2023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45070</v>
      </c>
      <c r="E45" s="1" t="n">
        <v>46253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Backstarr
Sjöhjortron
Vanlig snok</t>
        </is>
      </c>
      <c r="W45">
        <f>HYPERLINK("https://klasma.github.io/Logging_0480/artfynd/A 22417-2023 artfynd.xlsx", "A 22417-2023")</f>
        <v/>
      </c>
      <c r="X45">
        <f>HYPERLINK("https://klasma.github.io/Logging_0480/kartor/A 22417-2023 karta.png", "A 22417-2023")</f>
        <v/>
      </c>
      <c r="Y45">
        <f>HYPERLINK("https://klasma.github.io/Logging_0480/kartor_geotiff/A 22417-2023 georefererad karta.tif", "A 22417-2023")</f>
        <v/>
      </c>
      <c r="AA45">
        <f>HYPERLINK("https://klasma.github.io/Logging_0480/klagomål/A 22417-2023 FSC-klagomål.docx", "A 22417-2023")</f>
        <v/>
      </c>
      <c r="AB45">
        <f>HYPERLINK("https://klasma.github.io/Logging_0480/klagomålsmail/A 22417-2023 FSC-klagomål mail.docx", "A 22417-2023")</f>
        <v/>
      </c>
      <c r="AC45">
        <f>HYPERLINK("https://klasma.github.io/Logging_0480/tillsyn/A 22417-2023 tillsynsbegäran.docx", "A 22417-2023")</f>
        <v/>
      </c>
      <c r="AD45">
        <f>HYPERLINK("https://klasma.github.io/Logging_0480/tillsynsmail/A 22417-2023 tillsynsbegäran mail.docx", "A 22417-2023")</f>
        <v/>
      </c>
    </row>
    <row r="46" ht="15" customHeight="1">
      <c r="A46" t="inlineStr">
        <is>
          <t>A 54498-2023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45226</v>
      </c>
      <c r="E46" s="1" t="n">
        <v>46253</v>
      </c>
      <c r="F46" t="inlineStr">
        <is>
          <t>SÖDERMANLANDS LÄN</t>
        </is>
      </c>
      <c r="G46" t="inlineStr">
        <is>
          <t>NYKÖPING</t>
        </is>
      </c>
      <c r="I46" t="n">
        <v>4.7</v>
      </c>
      <c r="J46" t="n">
        <v>3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Brun glada
Trana
Utter</t>
        </is>
      </c>
      <c r="W46">
        <f>HYPERLINK("https://klasma.github.io/Logging_0480/artfynd/A 54498-2023 artfynd.xlsx", "A 54498-2023")</f>
        <v/>
      </c>
      <c r="X46">
        <f>HYPERLINK("https://klasma.github.io/Logging_0480/kartor/A 54498-2023 karta.png", "A 54498-2023")</f>
        <v/>
      </c>
      <c r="Y46">
        <f>HYPERLINK("https://klasma.github.io/Logging_0480/kartor_geotiff/A 54498-2023 georefererad karta.tif", "A 54498-2023")</f>
        <v/>
      </c>
      <c r="AA46">
        <f>HYPERLINK("https://klasma.github.io/Logging_0480/klagomål/A 54498-2023 FSC-klagomål.docx", "A 54498-2023")</f>
        <v/>
      </c>
      <c r="AB46">
        <f>HYPERLINK("https://klasma.github.io/Logging_0480/klagomålsmail/A 54498-2023 FSC-klagomål mail.docx", "A 54498-2023")</f>
        <v/>
      </c>
      <c r="AC46">
        <f>HYPERLINK("https://klasma.github.io/Logging_0480/tillsyn/A 54498-2023 tillsynsbegäran.docx", "A 54498-2023")</f>
        <v/>
      </c>
      <c r="AD46">
        <f>HYPERLINK("https://klasma.github.io/Logging_0480/tillsynsmail/A 54498-2023 tillsynsbegäran mail.docx", "A 54498-2023")</f>
        <v/>
      </c>
      <c r="AE46">
        <f>HYPERLINK("https://klasma.github.io/Logging_0480/fåglar/A 54498-2023 prioriterade fågelarter.docx", "A 54498-2023")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46253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10977-2024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46253</v>
      </c>
      <c r="F48" t="inlineStr">
        <is>
          <t>SÖDERMANLANDS LÄN</t>
        </is>
      </c>
      <c r="G48" t="inlineStr">
        <is>
          <t>NYKÖPING</t>
        </is>
      </c>
      <c r="H48" t="inlineStr">
        <is>
          <t>Kommuner</t>
        </is>
      </c>
      <c r="I48" t="n">
        <v>3.7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Stor aspticka
Vätteros</t>
        </is>
      </c>
      <c r="W48">
        <f>HYPERLINK("https://klasma.github.io/Logging_0480/artfynd/A 10977-2024 artfynd.xlsx", "A 10977-2024")</f>
        <v/>
      </c>
      <c r="X48">
        <f>HYPERLINK("https://klasma.github.io/Logging_0480/kartor/A 10977-2024 karta.png", "A 10977-2024")</f>
        <v/>
      </c>
      <c r="Y48">
        <f>HYPERLINK("https://klasma.github.io/Logging_0480/kartor_geotiff/A 10977-2024 georefererad karta.tif", "A 10977-2024")</f>
        <v/>
      </c>
      <c r="AA48">
        <f>HYPERLINK("https://klasma.github.io/Logging_0480/klagomål/A 10977-2024 FSC-klagomål.docx", "A 10977-2024")</f>
        <v/>
      </c>
      <c r="AB48">
        <f>HYPERLINK("https://klasma.github.io/Logging_0480/klagomålsmail/A 10977-2024 FSC-klagomål mail.docx", "A 10977-2024")</f>
        <v/>
      </c>
      <c r="AC48">
        <f>HYPERLINK("https://klasma.github.io/Logging_0480/tillsyn/A 10977-2024 tillsynsbegäran.docx", "A 10977-2024")</f>
        <v/>
      </c>
      <c r="AD48">
        <f>HYPERLINK("https://klasma.github.io/Logging_0480/tillsynsmail/A 10977-2024 tillsynsbegäran mail.docx", "A 10977-2024")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46253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46253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46253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46253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56725-2025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45978</v>
      </c>
      <c r="E53" s="1" t="n">
        <v>46253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0.6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Vanlig snok
Revlummer</t>
        </is>
      </c>
      <c r="W53">
        <f>HYPERLINK("https://klasma.github.io/Logging_0480/artfynd/A 56725-2025 artfynd.xlsx", "A 56725-2025")</f>
        <v/>
      </c>
      <c r="X53">
        <f>HYPERLINK("https://klasma.github.io/Logging_0480/kartor/A 56725-2025 karta.png", "A 56725-2025")</f>
        <v/>
      </c>
      <c r="Y53">
        <f>HYPERLINK("https://klasma.github.io/Logging_0480/kartor_geotiff/A 56725-2025 georefererad karta.tif", "A 56725-2025")</f>
        <v/>
      </c>
      <c r="AA53">
        <f>HYPERLINK("https://klasma.github.io/Logging_0480/klagomål/A 56725-2025 FSC-klagomål.docx", "A 56725-2025")</f>
        <v/>
      </c>
      <c r="AB53">
        <f>HYPERLINK("https://klasma.github.io/Logging_0480/klagomålsmail/A 56725-2025 FSC-klagomål mail.docx", "A 56725-2025")</f>
        <v/>
      </c>
      <c r="AC53">
        <f>HYPERLINK("https://klasma.github.io/Logging_0480/tillsyn/A 56725-2025 tillsynsbegäran.docx", "A 56725-2025")</f>
        <v/>
      </c>
      <c r="AD53">
        <f>HYPERLINK("https://klasma.github.io/Logging_0480/tillsynsmail/A 56725-2025 tillsynsbegäran mail.docx", "A 56725-2025")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46253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29766-2022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44755</v>
      </c>
      <c r="E55" s="1" t="n">
        <v>46253</v>
      </c>
      <c r="F55" t="inlineStr">
        <is>
          <t>SÖDERMANLANDS LÄN</t>
        </is>
      </c>
      <c r="G55" t="inlineStr">
        <is>
          <t>NYKÖPING</t>
        </is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Broskvaxing
Kungsfågel</t>
        </is>
      </c>
      <c r="W55">
        <f>HYPERLINK("https://klasma.github.io/Logging_0480/artfynd/A 29766-2022 artfynd.xlsx", "A 29766-2022")</f>
        <v/>
      </c>
      <c r="X55">
        <f>HYPERLINK("https://klasma.github.io/Logging_0480/kartor/A 29766-2022 karta.png", "A 29766-2022")</f>
        <v/>
      </c>
      <c r="Y55">
        <f>HYPERLINK("https://klasma.github.io/Logging_0480/kartor_geotiff/A 29766-2022 georefererad karta.tif", "A 29766-2022")</f>
        <v/>
      </c>
      <c r="AA55">
        <f>HYPERLINK("https://klasma.github.io/Logging_0480/klagomål/A 29766-2022 FSC-klagomål.docx", "A 29766-2022")</f>
        <v/>
      </c>
      <c r="AB55">
        <f>HYPERLINK("https://klasma.github.io/Logging_0480/klagomålsmail/A 29766-2022 FSC-klagomål mail.docx", "A 29766-2022")</f>
        <v/>
      </c>
      <c r="AC55">
        <f>HYPERLINK("https://klasma.github.io/Logging_0480/tillsyn/A 29766-2022 tillsynsbegäran.docx", "A 29766-2022")</f>
        <v/>
      </c>
      <c r="AD55">
        <f>HYPERLINK("https://klasma.github.io/Logging_0480/tillsynsmail/A 29766-2022 tillsynsbegäran mail.docx", "A 29766-2022")</f>
        <v/>
      </c>
    </row>
    <row r="56" ht="15" customHeight="1">
      <c r="A56" t="inlineStr">
        <is>
          <t>A 48153-2023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45205</v>
      </c>
      <c r="E56" s="1" t="n">
        <v>46253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2.7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Nötkråka
Havsörn</t>
        </is>
      </c>
      <c r="W56">
        <f>HYPERLINK("https://klasma.github.io/Logging_0480/artfynd/A 48153-2023 artfynd.xlsx", "A 48153-2023")</f>
        <v/>
      </c>
      <c r="X56">
        <f>HYPERLINK("https://klasma.github.io/Logging_0480/kartor/A 48153-2023 karta.png", "A 48153-2023")</f>
        <v/>
      </c>
      <c r="Y56">
        <f>HYPERLINK("https://klasma.github.io/Logging_0480/kartor_geotiff/A 48153-2023 georefererad karta.tif", "A 48153-2023")</f>
        <v/>
      </c>
      <c r="AA56">
        <f>HYPERLINK("https://klasma.github.io/Logging_0480/klagomål/A 48153-2023 FSC-klagomål.docx", "A 48153-2023")</f>
        <v/>
      </c>
      <c r="AB56">
        <f>HYPERLINK("https://klasma.github.io/Logging_0480/klagomålsmail/A 48153-2023 FSC-klagomål mail.docx", "A 48153-2023")</f>
        <v/>
      </c>
      <c r="AC56">
        <f>HYPERLINK("https://klasma.github.io/Logging_0480/tillsyn/A 48153-2023 tillsynsbegäran.docx", "A 48153-2023")</f>
        <v/>
      </c>
      <c r="AD56">
        <f>HYPERLINK("https://klasma.github.io/Logging_0480/tillsynsmail/A 48153-2023 tillsynsbegäran mail.docx", "A 48153-2023")</f>
        <v/>
      </c>
      <c r="AE56">
        <f>HYPERLINK("https://klasma.github.io/Logging_0480/fåglar/A 48153-2023 prioriterade fågelarter.docx", "A 48153-2023")</f>
        <v/>
      </c>
    </row>
    <row r="57" ht="15" customHeight="1">
      <c r="A57" t="inlineStr">
        <is>
          <t>A 55945-2025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45973</v>
      </c>
      <c r="E57" s="1" t="n">
        <v>46253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Blanksvart spiklav
Motaggsvamp</t>
        </is>
      </c>
      <c r="W57">
        <f>HYPERLINK("https://klasma.github.io/Logging_0480/artfynd/A 55945-2025 artfynd.xlsx", "A 55945-2025")</f>
        <v/>
      </c>
      <c r="X57">
        <f>HYPERLINK("https://klasma.github.io/Logging_0480/kartor/A 55945-2025 karta.png", "A 55945-2025")</f>
        <v/>
      </c>
      <c r="Y57">
        <f>HYPERLINK("https://klasma.github.io/Logging_0480/kartor_geotiff/A 55945-2025 georefererad karta.tif", "A 55945-2025")</f>
        <v/>
      </c>
      <c r="AA57">
        <f>HYPERLINK("https://klasma.github.io/Logging_0480/klagomål/A 55945-2025 FSC-klagomål.docx", "A 55945-2025")</f>
        <v/>
      </c>
      <c r="AB57">
        <f>HYPERLINK("https://klasma.github.io/Logging_0480/klagomålsmail/A 55945-2025 FSC-klagomål mail.docx", "A 55945-2025")</f>
        <v/>
      </c>
      <c r="AC57">
        <f>HYPERLINK("https://klasma.github.io/Logging_0480/tillsyn/A 55945-2025 tillsynsbegäran.docx", "A 55945-2025")</f>
        <v/>
      </c>
      <c r="AD57">
        <f>HYPERLINK("https://klasma.github.io/Logging_0480/tillsynsmail/A 55945-2025 tillsynsbegäran mail.docx", "A 55945-2025")</f>
        <v/>
      </c>
    </row>
    <row r="58" ht="15" customHeight="1">
      <c r="A58" t="inlineStr">
        <is>
          <t>A 58167-2025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45982</v>
      </c>
      <c r="E58" s="1" t="n">
        <v>46253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Grönpyrola
Mattlummer</t>
        </is>
      </c>
      <c r="W58">
        <f>HYPERLINK("https://klasma.github.io/Logging_0480/artfynd/A 58167-2025 artfynd.xlsx", "A 58167-2025")</f>
        <v/>
      </c>
      <c r="X58">
        <f>HYPERLINK("https://klasma.github.io/Logging_0480/kartor/A 58167-2025 karta.png", "A 58167-2025")</f>
        <v/>
      </c>
      <c r="Y58">
        <f>HYPERLINK("https://klasma.github.io/Logging_0480/kartor_geotiff/A 58167-2025 georefererad karta.tif", "A 58167-2025")</f>
        <v/>
      </c>
      <c r="AA58">
        <f>HYPERLINK("https://klasma.github.io/Logging_0480/klagomål/A 58167-2025 FSC-klagomål.docx", "A 58167-2025")</f>
        <v/>
      </c>
      <c r="AB58">
        <f>HYPERLINK("https://klasma.github.io/Logging_0480/klagomålsmail/A 58167-2025 FSC-klagomål mail.docx", "A 58167-2025")</f>
        <v/>
      </c>
      <c r="AC58">
        <f>HYPERLINK("https://klasma.github.io/Logging_0480/tillsyn/A 58167-2025 tillsynsbegäran.docx", "A 58167-2025")</f>
        <v/>
      </c>
      <c r="AD58">
        <f>HYPERLINK("https://klasma.github.io/Logging_0480/tillsynsmail/A 58167-2025 tillsynsbegäran mail.docx", "A 58167-2025")</f>
        <v/>
      </c>
    </row>
    <row r="59" ht="15" customHeight="1">
      <c r="A59" t="inlineStr">
        <is>
          <t>A 1037-2026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46253</v>
      </c>
      <c r="F59" t="inlineStr">
        <is>
          <t>SÖDERMANLANDS LÄN</t>
        </is>
      </c>
      <c r="G59" t="inlineStr">
        <is>
          <t>NYKÖPING</t>
        </is>
      </c>
      <c r="I59" t="n">
        <v>11.6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Talltita
Spillkråka</t>
        </is>
      </c>
      <c r="W59">
        <f>HYPERLINK("https://klasma.github.io/Logging_0480/artfynd/A 1037-2026 artfynd.xlsx", "A 1037-2026")</f>
        <v/>
      </c>
      <c r="X59">
        <f>HYPERLINK("https://klasma.github.io/Logging_0480/kartor/A 1037-2026 karta.png", "A 1037-2026")</f>
        <v/>
      </c>
      <c r="Y59">
        <f>HYPERLINK("https://klasma.github.io/Logging_0480/kartor_geotiff/A 1037-2026 georefererad karta.tif", "A 1037-2026")</f>
        <v/>
      </c>
      <c r="AA59">
        <f>HYPERLINK("https://klasma.github.io/Logging_0480/klagomål/A 1037-2026 FSC-klagomål.docx", "A 1037-2026")</f>
        <v/>
      </c>
      <c r="AB59">
        <f>HYPERLINK("https://klasma.github.io/Logging_0480/klagomålsmail/A 1037-2026 FSC-klagomål mail.docx", "A 1037-2026")</f>
        <v/>
      </c>
      <c r="AC59">
        <f>HYPERLINK("https://klasma.github.io/Logging_0480/tillsyn/A 1037-2026 tillsynsbegäran.docx", "A 1037-2026")</f>
        <v/>
      </c>
      <c r="AD59">
        <f>HYPERLINK("https://klasma.github.io/Logging_0480/tillsynsmail/A 1037-2026 tillsynsbegäran mail.docx", "A 1037-2026")</f>
        <v/>
      </c>
      <c r="AE59">
        <f>HYPERLINK("https://klasma.github.io/Logging_0480/fåglar/A 1037-2026 prioriterade fågelarter.docx", "A 1037-2026")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46253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5865-2024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45335</v>
      </c>
      <c r="E61" s="1" t="n">
        <v>46253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Entita
Fläcknycklar</t>
        </is>
      </c>
      <c r="W61">
        <f>HYPERLINK("https://klasma.github.io/Logging_0480/artfynd/A 5865-2024 artfynd.xlsx", "A 5865-2024")</f>
        <v/>
      </c>
      <c r="X61">
        <f>HYPERLINK("https://klasma.github.io/Logging_0480/kartor/A 5865-2024 karta.png", "A 5865-2024")</f>
        <v/>
      </c>
      <c r="Y61">
        <f>HYPERLINK("https://klasma.github.io/Logging_0480/kartor_geotiff/A 5865-2024 georefererad karta.tif", "A 5865-2024")</f>
        <v/>
      </c>
      <c r="AA61">
        <f>HYPERLINK("https://klasma.github.io/Logging_0480/klagomål/A 5865-2024 FSC-klagomål.docx", "A 5865-2024")</f>
        <v/>
      </c>
      <c r="AB61">
        <f>HYPERLINK("https://klasma.github.io/Logging_0480/klagomålsmail/A 5865-2024 FSC-klagomål mail.docx", "A 5865-2024")</f>
        <v/>
      </c>
      <c r="AC61">
        <f>HYPERLINK("https://klasma.github.io/Logging_0480/tillsyn/A 5865-2024 tillsynsbegäran.docx", "A 5865-2024")</f>
        <v/>
      </c>
      <c r="AD61">
        <f>HYPERLINK("https://klasma.github.io/Logging_0480/tillsynsmail/A 5865-2024 tillsynsbegäran mail.docx", "A 5865-2024")</f>
        <v/>
      </c>
      <c r="AE61">
        <f>HYPERLINK("https://klasma.github.io/Logging_0480/fåglar/A 5865-2024 prioriterade fågelarter.docx", "A 5865-2024")</f>
        <v/>
      </c>
    </row>
    <row r="62" ht="15" customHeight="1">
      <c r="A62" t="inlineStr">
        <is>
          <t>A 34310-2022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46253</v>
      </c>
      <c r="F62" t="inlineStr">
        <is>
          <t>SÖDERMANLANDS LÄN</t>
        </is>
      </c>
      <c r="G62" t="inlineStr">
        <is>
          <t>NYKÖPING</t>
        </is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7</v>
      </c>
      <c r="U62" t="n">
        <v>0</v>
      </c>
      <c r="V62" s="2" t="inlineStr">
        <is>
          <t>Bombmurkla
Grönpyrola</t>
        </is>
      </c>
      <c r="W62">
        <f>HYPERLINK("https://klasma.github.io/Logging_0480/artfynd/A 34310-2022 artfynd.xlsx", "A 34310-2022")</f>
        <v/>
      </c>
      <c r="X62">
        <f>HYPERLINK("https://klasma.github.io/Logging_0480/kartor/A 34310-2022 karta.png", "A 34310-2022")</f>
        <v/>
      </c>
      <c r="Y62">
        <f>HYPERLINK("https://klasma.github.io/Logging_0480/kartor_geotiff/A 34310-2022 georefererad karta.tif", "A 34310-2022")</f>
        <v/>
      </c>
      <c r="AA62">
        <f>HYPERLINK("https://klasma.github.io/Logging_0480/klagomål/A 34310-2022 FSC-klagomål.docx", "A 34310-2022")</f>
        <v/>
      </c>
      <c r="AB62">
        <f>HYPERLINK("https://klasma.github.io/Logging_0480/klagomålsmail/A 34310-2022 FSC-klagomål mail.docx", "A 34310-2022")</f>
        <v/>
      </c>
      <c r="AC62">
        <f>HYPERLINK("https://klasma.github.io/Logging_0480/tillsyn/A 34310-2022 tillsynsbegäran.docx", "A 34310-2022")</f>
        <v/>
      </c>
      <c r="AD62">
        <f>HYPERLINK("https://klasma.github.io/Logging_0480/tillsynsmail/A 34310-2022 tillsynsbegäran mail.docx", "A 34310-2022")</f>
        <v/>
      </c>
    </row>
    <row r="63" ht="15" customHeight="1">
      <c r="A63" t="inlineStr">
        <is>
          <t>A 16078-2023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45027</v>
      </c>
      <c r="E63" s="1" t="n">
        <v>46253</v>
      </c>
      <c r="F63" t="inlineStr">
        <is>
          <t>SÖDERMANLANDS LÄN</t>
        </is>
      </c>
      <c r="G63" t="inlineStr">
        <is>
          <t>NYKÖPING</t>
        </is>
      </c>
      <c r="I63" t="n">
        <v>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Rödlånke
Fläcknycklar</t>
        </is>
      </c>
      <c r="W63">
        <f>HYPERLINK("https://klasma.github.io/Logging_0480/artfynd/A 16078-2023 artfynd.xlsx", "A 16078-2023")</f>
        <v/>
      </c>
      <c r="X63">
        <f>HYPERLINK("https://klasma.github.io/Logging_0480/kartor/A 16078-2023 karta.png", "A 16078-2023")</f>
        <v/>
      </c>
      <c r="Y63">
        <f>HYPERLINK("https://klasma.github.io/Logging_0480/kartor_geotiff/A 16078-2023 georefererad karta.tif", "A 16078-2023")</f>
        <v/>
      </c>
      <c r="AA63">
        <f>HYPERLINK("https://klasma.github.io/Logging_0480/klagomål/A 16078-2023 FSC-klagomål.docx", "A 16078-2023")</f>
        <v/>
      </c>
      <c r="AB63">
        <f>HYPERLINK("https://klasma.github.io/Logging_0480/klagomålsmail/A 16078-2023 FSC-klagomål mail.docx", "A 16078-2023")</f>
        <v/>
      </c>
      <c r="AC63">
        <f>HYPERLINK("https://klasma.github.io/Logging_0480/tillsyn/A 16078-2023 tillsynsbegäran.docx", "A 16078-2023")</f>
        <v/>
      </c>
      <c r="AD63">
        <f>HYPERLINK("https://klasma.github.io/Logging_0480/tillsynsmail/A 16078-2023 tillsynsbegäran mail.docx", "A 16078-2023")</f>
        <v/>
      </c>
    </row>
    <row r="64" ht="15" customHeight="1">
      <c r="A64" t="inlineStr">
        <is>
          <t>A 55497-2021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44475</v>
      </c>
      <c r="E64" s="1" t="n">
        <v>46253</v>
      </c>
      <c r="F64" t="inlineStr">
        <is>
          <t>SÖDERMANLANDS LÄN</t>
        </is>
      </c>
      <c r="G64" t="inlineStr">
        <is>
          <t>NYKÖPING</t>
        </is>
      </c>
      <c r="I64" t="n">
        <v>7.7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Älg
Nattskärra</t>
        </is>
      </c>
      <c r="W64">
        <f>HYPERLINK("https://klasma.github.io/Logging_0480/artfynd/A 55497-2021 artfynd.xlsx", "A 55497-2021")</f>
        <v/>
      </c>
      <c r="X64">
        <f>HYPERLINK("https://klasma.github.io/Logging_0480/kartor/A 55497-2021 karta.png", "A 55497-2021")</f>
        <v/>
      </c>
      <c r="Y64">
        <f>HYPERLINK("https://klasma.github.io/Logging_0480/kartor_geotiff/A 55497-2021 georefererad karta.tif", "A 55497-2021")</f>
        <v/>
      </c>
      <c r="AA64">
        <f>HYPERLINK("https://klasma.github.io/Logging_0480/klagomål/A 55497-2021 FSC-klagomål.docx", "A 55497-2021")</f>
        <v/>
      </c>
      <c r="AB64">
        <f>HYPERLINK("https://klasma.github.io/Logging_0480/klagomålsmail/A 55497-2021 FSC-klagomål mail.docx", "A 55497-2021")</f>
        <v/>
      </c>
      <c r="AC64">
        <f>HYPERLINK("https://klasma.github.io/Logging_0480/tillsyn/A 55497-2021 tillsynsbegäran.docx", "A 55497-2021")</f>
        <v/>
      </c>
      <c r="AD64">
        <f>HYPERLINK("https://klasma.github.io/Logging_0480/tillsynsmail/A 55497-2021 tillsynsbegäran mail.docx", "A 55497-2021")</f>
        <v/>
      </c>
      <c r="AE64">
        <f>HYPERLINK("https://klasma.github.io/Logging_0480/fåglar/A 55497-2021 prioriterade fågelarter.docx", "A 55497-2021")</f>
        <v/>
      </c>
    </row>
    <row r="65" ht="15" customHeight="1">
      <c r="A65" t="inlineStr">
        <is>
          <t>A 60460-2022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44911</v>
      </c>
      <c r="E65" s="1" t="n">
        <v>46253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1.7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Barkticka
Blåsippa</t>
        </is>
      </c>
      <c r="W65">
        <f>HYPERLINK("https://klasma.github.io/Logging_0480/artfynd/A 60460-2022 artfynd.xlsx", "A 60460-2022")</f>
        <v/>
      </c>
      <c r="X65">
        <f>HYPERLINK("https://klasma.github.io/Logging_0480/kartor/A 60460-2022 karta.png", "A 60460-2022")</f>
        <v/>
      </c>
      <c r="Y65">
        <f>HYPERLINK("https://klasma.github.io/Logging_0480/kartor_geotiff/A 60460-2022 georefererad karta.tif", "A 60460-2022")</f>
        <v/>
      </c>
      <c r="AA65">
        <f>HYPERLINK("https://klasma.github.io/Logging_0480/klagomål/A 60460-2022 FSC-klagomål.docx", "A 60460-2022")</f>
        <v/>
      </c>
      <c r="AB65">
        <f>HYPERLINK("https://klasma.github.io/Logging_0480/klagomålsmail/A 60460-2022 FSC-klagomål mail.docx", "A 60460-2022")</f>
        <v/>
      </c>
      <c r="AC65">
        <f>HYPERLINK("https://klasma.github.io/Logging_0480/tillsyn/A 60460-2022 tillsynsbegäran.docx", "A 60460-2022")</f>
        <v/>
      </c>
      <c r="AD65">
        <f>HYPERLINK("https://klasma.github.io/Logging_0480/tillsynsmail/A 60460-2022 tillsynsbegäran mail.docx", "A 60460-2022")</f>
        <v/>
      </c>
    </row>
    <row r="66" ht="15" customHeight="1">
      <c r="A66" t="inlineStr">
        <is>
          <t>A 56560-2022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46253</v>
      </c>
      <c r="F66" t="inlineStr">
        <is>
          <t>SÖDERMANLANDS LÄN</t>
        </is>
      </c>
      <c r="G66" t="inlineStr">
        <is>
          <t>NYKÖPING</t>
        </is>
      </c>
      <c r="H66" t="inlineStr">
        <is>
          <t>Övriga Aktiebolag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Fjällvråk
Kråka</t>
        </is>
      </c>
      <c r="W66">
        <f>HYPERLINK("https://klasma.github.io/Logging_0480/artfynd/A 56560-2022 artfynd.xlsx", "A 56560-2022")</f>
        <v/>
      </c>
      <c r="X66">
        <f>HYPERLINK("https://klasma.github.io/Logging_0480/kartor/A 56560-2022 karta.png", "A 56560-2022")</f>
        <v/>
      </c>
      <c r="Y66">
        <f>HYPERLINK("https://klasma.github.io/Logging_0480/kartor_geotiff/A 56560-2022 georefererad karta.tif", "A 56560-2022")</f>
        <v/>
      </c>
      <c r="AA66">
        <f>HYPERLINK("https://klasma.github.io/Logging_0480/klagomål/A 56560-2022 FSC-klagomål.docx", "A 56560-2022")</f>
        <v/>
      </c>
      <c r="AB66">
        <f>HYPERLINK("https://klasma.github.io/Logging_0480/klagomålsmail/A 56560-2022 FSC-klagomål mail.docx", "A 56560-2022")</f>
        <v/>
      </c>
      <c r="AC66">
        <f>HYPERLINK("https://klasma.github.io/Logging_0480/tillsyn/A 56560-2022 tillsynsbegäran.docx", "A 56560-2022")</f>
        <v/>
      </c>
      <c r="AD66">
        <f>HYPERLINK("https://klasma.github.io/Logging_0480/tillsynsmail/A 56560-2022 tillsynsbegäran mail.docx", "A 56560-2022")</f>
        <v/>
      </c>
      <c r="AE66">
        <f>HYPERLINK("https://klasma.github.io/Logging_0480/fåglar/A 56560-2022 prioriterade fågelarter.docx", "A 56560-2022")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46253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46253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46253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46253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46253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46253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46253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46253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46253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46253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46253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46253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46253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28704-2025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46253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Tallticka</t>
        </is>
      </c>
      <c r="W80">
        <f>HYPERLINK("https://klasma.github.io/Logging_0480/artfynd/A 28704-2025 artfynd.xlsx", "A 28704-2025")</f>
        <v/>
      </c>
      <c r="X80">
        <f>HYPERLINK("https://klasma.github.io/Logging_0480/kartor/A 28704-2025 karta.png", "A 28704-2025")</f>
        <v/>
      </c>
      <c r="Y80">
        <f>HYPERLINK("https://klasma.github.io/Logging_0480/kartor_geotiff/A 28704-2025 georefererad karta.tif", "A 28704-2025")</f>
        <v/>
      </c>
      <c r="AA80">
        <f>HYPERLINK("https://klasma.github.io/Logging_0480/klagomål/A 28704-2025 FSC-klagomål.docx", "A 28704-2025")</f>
        <v/>
      </c>
      <c r="AB80">
        <f>HYPERLINK("https://klasma.github.io/Logging_0480/klagomålsmail/A 28704-2025 FSC-klagomål mail.docx", "A 28704-2025")</f>
        <v/>
      </c>
      <c r="AC80">
        <f>HYPERLINK("https://klasma.github.io/Logging_0480/tillsyn/A 28704-2025 tillsynsbegäran.docx", "A 28704-2025")</f>
        <v/>
      </c>
      <c r="AD80">
        <f>HYPERLINK("https://klasma.github.io/Logging_0480/tillsynsmail/A 28704-2025 tillsynsbegäran mail.docx", "A 28704-2025")</f>
        <v/>
      </c>
    </row>
    <row r="81" ht="15" customHeight="1">
      <c r="A81" t="inlineStr">
        <is>
          <t>A 4305-2026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46253</v>
      </c>
      <c r="F81" t="inlineStr">
        <is>
          <t>SÖDERMANLANDS LÄN</t>
        </is>
      </c>
      <c r="G81" t="inlineStr">
        <is>
          <t>NYKÖPING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HYPERLINK("https://klasma.github.io/Logging_0480/artfynd/A 4305-2026 artfynd.xlsx", "A 4305-2026")</f>
        <v/>
      </c>
      <c r="X81">
        <f>HYPERLINK("https://klasma.github.io/Logging_0480/kartor/A 4305-2026 karta.png", "A 4305-2026")</f>
        <v/>
      </c>
      <c r="Y81">
        <f>HYPERLINK("https://klasma.github.io/Logging_0480/kartor_geotiff/A 4305-2026 georefererad karta.tif", "A 4305-2026")</f>
        <v/>
      </c>
      <c r="AA81">
        <f>HYPERLINK("https://klasma.github.io/Logging_0480/klagomål/A 4305-2026 FSC-klagomål.docx", "A 4305-2026")</f>
        <v/>
      </c>
      <c r="AB81">
        <f>HYPERLINK("https://klasma.github.io/Logging_0480/klagomålsmail/A 4305-2026 FSC-klagomål mail.docx", "A 4305-2026")</f>
        <v/>
      </c>
      <c r="AC81">
        <f>HYPERLINK("https://klasma.github.io/Logging_0480/tillsyn/A 4305-2026 tillsynsbegäran.docx", "A 4305-2026")</f>
        <v/>
      </c>
      <c r="AD81">
        <f>HYPERLINK("https://klasma.github.io/Logging_0480/tillsynsmail/A 4305-2026 tillsynsbegäran mail.docx", "A 4305-2026")</f>
        <v/>
      </c>
    </row>
    <row r="82" ht="15" customHeight="1">
      <c r="A82" t="inlineStr">
        <is>
          <t>A 10886-2026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46253</v>
      </c>
      <c r="F82" t="inlineStr">
        <is>
          <t>SÖDERMANLANDS LÄN</t>
        </is>
      </c>
      <c r="G82" t="inlineStr">
        <is>
          <t>NYKÖPING</t>
        </is>
      </c>
      <c r="I82" t="n">
        <v>2.5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HYPERLINK("https://klasma.github.io/Logging_0480/artfynd/A 10886-2026 artfynd.xlsx", "A 10886-2026")</f>
        <v/>
      </c>
      <c r="X82">
        <f>HYPERLINK("https://klasma.github.io/Logging_0480/kartor/A 10886-2026 karta.png", "A 10886-2026")</f>
        <v/>
      </c>
      <c r="Y82">
        <f>HYPERLINK("https://klasma.github.io/Logging_0480/kartor_geotiff/A 10886-2026 georefererad karta.tif", "A 10886-2026")</f>
        <v/>
      </c>
      <c r="AA82">
        <f>HYPERLINK("https://klasma.github.io/Logging_0480/klagomål/A 10886-2026 FSC-klagomål.docx", "A 10886-2026")</f>
        <v/>
      </c>
      <c r="AB82">
        <f>HYPERLINK("https://klasma.github.io/Logging_0480/klagomålsmail/A 10886-2026 FSC-klagomål mail.docx", "A 10886-2026")</f>
        <v/>
      </c>
      <c r="AC82">
        <f>HYPERLINK("https://klasma.github.io/Logging_0480/tillsyn/A 10886-2026 tillsynsbegäran.docx", "A 10886-2026")</f>
        <v/>
      </c>
      <c r="AD82">
        <f>HYPERLINK("https://klasma.github.io/Logging_0480/tillsynsmail/A 10886-2026 tillsynsbegäran mail.docx", "A 10886-2026")</f>
        <v/>
      </c>
    </row>
    <row r="83" ht="15" customHeight="1">
      <c r="A83" t="inlineStr">
        <is>
          <t>A 35122-2023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45145</v>
      </c>
      <c r="E83" s="1" t="n">
        <v>46253</v>
      </c>
      <c r="F83" t="inlineStr">
        <is>
          <t>SÖDERMANLANDS LÄN</t>
        </is>
      </c>
      <c r="G83" t="inlineStr">
        <is>
          <t>NYKÖPING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HYPERLINK("https://klasma.github.io/Logging_0480/artfynd/A 35122-2023 artfynd.xlsx", "A 35122-2023")</f>
        <v/>
      </c>
      <c r="X83">
        <f>HYPERLINK("https://klasma.github.io/Logging_0480/kartor/A 35122-2023 karta.png", "A 35122-2023")</f>
        <v/>
      </c>
      <c r="Y83">
        <f>HYPERLINK("https://klasma.github.io/Logging_0480/kartor_geotiff/A 35122-2023 georefererad karta.tif", "A 35122-2023")</f>
        <v/>
      </c>
      <c r="AA83">
        <f>HYPERLINK("https://klasma.github.io/Logging_0480/klagomål/A 35122-2023 FSC-klagomål.docx", "A 35122-2023")</f>
        <v/>
      </c>
      <c r="AB83">
        <f>HYPERLINK("https://klasma.github.io/Logging_0480/klagomålsmail/A 35122-2023 FSC-klagomål mail.docx", "A 35122-2023")</f>
        <v/>
      </c>
      <c r="AC83">
        <f>HYPERLINK("https://klasma.github.io/Logging_0480/tillsyn/A 35122-2023 tillsynsbegäran.docx", "A 35122-2023")</f>
        <v/>
      </c>
      <c r="AD83">
        <f>HYPERLINK("https://klasma.github.io/Logging_0480/tillsynsmail/A 35122-2023 tillsynsbegäran mail.docx", "A 35122-2023")</f>
        <v/>
      </c>
    </row>
    <row r="84" ht="15" customHeight="1">
      <c r="A84" t="inlineStr">
        <is>
          <t>A 45122-2025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45919</v>
      </c>
      <c r="E84" s="1" t="n">
        <v>46253</v>
      </c>
      <c r="F84" t="inlineStr">
        <is>
          <t>SÖDERMANLANDS LÄN</t>
        </is>
      </c>
      <c r="G84" t="inlineStr">
        <is>
          <t>NYKÖPING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HYPERLINK("https://klasma.github.io/Logging_0480/artfynd/A 45122-2025 artfynd.xlsx", "A 45122-2025")</f>
        <v/>
      </c>
      <c r="X84">
        <f>HYPERLINK("https://klasma.github.io/Logging_0480/kartor/A 45122-2025 karta.png", "A 45122-2025")</f>
        <v/>
      </c>
      <c r="Y84">
        <f>HYPERLINK("https://klasma.github.io/Logging_0480/kartor_geotiff/A 45122-2025 georefererad karta.tif", "A 45122-2025")</f>
        <v/>
      </c>
      <c r="AA84">
        <f>HYPERLINK("https://klasma.github.io/Logging_0480/klagomål/A 45122-2025 FSC-klagomål.docx", "A 45122-2025")</f>
        <v/>
      </c>
      <c r="AB84">
        <f>HYPERLINK("https://klasma.github.io/Logging_0480/klagomålsmail/A 45122-2025 FSC-klagomål mail.docx", "A 45122-2025")</f>
        <v/>
      </c>
      <c r="AC84">
        <f>HYPERLINK("https://klasma.github.io/Logging_0480/tillsyn/A 45122-2025 tillsynsbegäran.docx", "A 45122-2025")</f>
        <v/>
      </c>
      <c r="AD84">
        <f>HYPERLINK("https://klasma.github.io/Logging_0480/tillsynsmail/A 45122-2025 tillsynsbegäran mail.docx", "A 45122-2025")</f>
        <v/>
      </c>
      <c r="AE84">
        <f>HYPERLINK("https://klasma.github.io/Logging_0480/fåglar/A 45122-2025 prioriterade fågelarter.docx", "A 45122-2025")</f>
        <v/>
      </c>
    </row>
    <row r="85" ht="15" customHeight="1">
      <c r="A85" t="inlineStr">
        <is>
          <t>A 7270-2025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45702</v>
      </c>
      <c r="E85" s="1" t="n">
        <v>46253</v>
      </c>
      <c r="F85" t="inlineStr">
        <is>
          <t>SÖDERMANLANDS LÄN</t>
        </is>
      </c>
      <c r="G85" t="inlineStr">
        <is>
          <t>NYKÖPING</t>
        </is>
      </c>
      <c r="H85" t="inlineStr">
        <is>
          <t>Övriga Aktiebolag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HYPERLINK("https://klasma.github.io/Logging_0480/artfynd/A 7270-2025 artfynd.xlsx", "A 7270-2025")</f>
        <v/>
      </c>
      <c r="X85">
        <f>HYPERLINK("https://klasma.github.io/Logging_0480/kartor/A 7270-2025 karta.png", "A 7270-2025")</f>
        <v/>
      </c>
      <c r="Y85">
        <f>HYPERLINK("https://klasma.github.io/Logging_0480/kartor_geotiff/A 7270-2025 georefererad karta.tif", "A 7270-2025")</f>
        <v/>
      </c>
      <c r="AA85">
        <f>HYPERLINK("https://klasma.github.io/Logging_0480/klagomål/A 7270-2025 FSC-klagomål.docx", "A 7270-2025")</f>
        <v/>
      </c>
      <c r="AB85">
        <f>HYPERLINK("https://klasma.github.io/Logging_0480/klagomålsmail/A 7270-2025 FSC-klagomål mail.docx", "A 7270-2025")</f>
        <v/>
      </c>
      <c r="AC85">
        <f>HYPERLINK("https://klasma.github.io/Logging_0480/tillsyn/A 7270-2025 tillsynsbegäran.docx", "A 7270-2025")</f>
        <v/>
      </c>
      <c r="AD85">
        <f>HYPERLINK("https://klasma.github.io/Logging_0480/tillsynsmail/A 7270-2025 tillsynsbegäran mail.docx", "A 7270-2025")</f>
        <v/>
      </c>
      <c r="AE85">
        <f>HYPERLINK("https://klasma.github.io/Logging_0480/fåglar/A 7270-2025 prioriterade fågelarter.docx", "A 7270-2025")</f>
        <v/>
      </c>
    </row>
    <row r="86" ht="15" customHeight="1">
      <c r="A86" t="inlineStr">
        <is>
          <t>A 50014-2025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46253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4.9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Sexfläckig bastardsvärmare</t>
        </is>
      </c>
      <c r="W86">
        <f>HYPERLINK("https://klasma.github.io/Logging_0480/artfynd/A 50014-2025 artfynd.xlsx", "A 50014-2025")</f>
        <v/>
      </c>
      <c r="X86">
        <f>HYPERLINK("https://klasma.github.io/Logging_0480/kartor/A 50014-2025 karta.png", "A 50014-2025")</f>
        <v/>
      </c>
      <c r="Y86">
        <f>HYPERLINK("https://klasma.github.io/Logging_0480/kartor_geotiff/A 50014-2025 georefererad karta.tif", "A 50014-2025")</f>
        <v/>
      </c>
      <c r="AA86">
        <f>HYPERLINK("https://klasma.github.io/Logging_0480/klagomål/A 50014-2025 FSC-klagomål.docx", "A 50014-2025")</f>
        <v/>
      </c>
      <c r="AB86">
        <f>HYPERLINK("https://klasma.github.io/Logging_0480/klagomålsmail/A 50014-2025 FSC-klagomål mail.docx", "A 50014-2025")</f>
        <v/>
      </c>
      <c r="AC86">
        <f>HYPERLINK("https://klasma.github.io/Logging_0480/tillsyn/A 50014-2025 tillsynsbegäran.docx", "A 50014-2025")</f>
        <v/>
      </c>
      <c r="AD86">
        <f>HYPERLINK("https://klasma.github.io/Logging_0480/tillsynsmail/A 50014-2025 tillsynsbegäran mail.docx", "A 50014-2025")</f>
        <v/>
      </c>
    </row>
    <row r="87" ht="15" customHeight="1">
      <c r="A87" t="inlineStr">
        <is>
          <t>A 35318-2024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46253</v>
      </c>
      <c r="F87" t="inlineStr">
        <is>
          <t>SÖDERMANLANDS LÄN</t>
        </is>
      </c>
      <c r="G87" t="inlineStr">
        <is>
          <t>NYKÖPING</t>
        </is>
      </c>
      <c r="I87" t="n">
        <v>7.6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Gullviva</t>
        </is>
      </c>
      <c r="W87">
        <f>HYPERLINK("https://klasma.github.io/Logging_0480/artfynd/A 35318-2024 artfynd.xlsx", "A 35318-2024")</f>
        <v/>
      </c>
      <c r="X87">
        <f>HYPERLINK("https://klasma.github.io/Logging_0480/kartor/A 35318-2024 karta.png", "A 35318-2024")</f>
        <v/>
      </c>
      <c r="Y87">
        <f>HYPERLINK("https://klasma.github.io/Logging_0480/kartor_geotiff/A 35318-2024 georefererad karta.tif", "A 35318-2024")</f>
        <v/>
      </c>
      <c r="AA87">
        <f>HYPERLINK("https://klasma.github.io/Logging_0480/klagomål/A 35318-2024 FSC-klagomål.docx", "A 35318-2024")</f>
        <v/>
      </c>
      <c r="AB87">
        <f>HYPERLINK("https://klasma.github.io/Logging_0480/klagomålsmail/A 35318-2024 FSC-klagomål mail.docx", "A 35318-2024")</f>
        <v/>
      </c>
      <c r="AC87">
        <f>HYPERLINK("https://klasma.github.io/Logging_0480/tillsyn/A 35318-2024 tillsynsbegäran.docx", "A 35318-2024")</f>
        <v/>
      </c>
      <c r="AD87">
        <f>HYPERLINK("https://klasma.github.io/Logging_0480/tillsynsmail/A 35318-2024 tillsynsbegäran mail.docx", "A 35318-2024")</f>
        <v/>
      </c>
    </row>
    <row r="88" ht="15" customHeight="1">
      <c r="A88" t="inlineStr">
        <is>
          <t>A 50871-2025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46253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2.1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HYPERLINK("https://klasma.github.io/Logging_0480/artfynd/A 50871-2025 artfynd.xlsx", "A 50871-2025")</f>
        <v/>
      </c>
      <c r="X88">
        <f>HYPERLINK("https://klasma.github.io/Logging_0480/kartor/A 50871-2025 karta.png", "A 50871-2025")</f>
        <v/>
      </c>
      <c r="Y88">
        <f>HYPERLINK("https://klasma.github.io/Logging_0480/kartor_geotiff/A 50871-2025 georefererad karta.tif", "A 50871-2025")</f>
        <v/>
      </c>
      <c r="AA88">
        <f>HYPERLINK("https://klasma.github.io/Logging_0480/klagomål/A 50871-2025 FSC-klagomål.docx", "A 50871-2025")</f>
        <v/>
      </c>
      <c r="AB88">
        <f>HYPERLINK("https://klasma.github.io/Logging_0480/klagomålsmail/A 50871-2025 FSC-klagomål mail.docx", "A 50871-2025")</f>
        <v/>
      </c>
      <c r="AC88">
        <f>HYPERLINK("https://klasma.github.io/Logging_0480/tillsyn/A 50871-2025 tillsynsbegäran.docx", "A 50871-2025")</f>
        <v/>
      </c>
      <c r="AD88">
        <f>HYPERLINK("https://klasma.github.io/Logging_0480/tillsynsmail/A 50871-2025 tillsynsbegäran mail.docx", "A 50871-2025")</f>
        <v/>
      </c>
      <c r="AE88">
        <f>HYPERLINK("https://klasma.github.io/Logging_0480/fåglar/A 50871-2025 prioriterade fågelarter.docx", "A 50871-2025")</f>
        <v/>
      </c>
    </row>
    <row r="89" ht="15" customHeight="1">
      <c r="A89" t="inlineStr">
        <is>
          <t>A 52384-2025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46253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Törnskata</t>
        </is>
      </c>
      <c r="W89">
        <f>HYPERLINK("https://klasma.github.io/Logging_0480/artfynd/A 52384-2025 artfynd.xlsx", "A 52384-2025")</f>
        <v/>
      </c>
      <c r="X89">
        <f>HYPERLINK("https://klasma.github.io/Logging_0480/kartor/A 52384-2025 karta.png", "A 52384-2025")</f>
        <v/>
      </c>
      <c r="Y89">
        <f>HYPERLINK("https://klasma.github.io/Logging_0480/kartor_geotiff/A 52384-2025 georefererad karta.tif", "A 52384-2025")</f>
        <v/>
      </c>
      <c r="AA89">
        <f>HYPERLINK("https://klasma.github.io/Logging_0480/klagomål/A 52384-2025 FSC-klagomål.docx", "A 52384-2025")</f>
        <v/>
      </c>
      <c r="AB89">
        <f>HYPERLINK("https://klasma.github.io/Logging_0480/klagomålsmail/A 52384-2025 FSC-klagomål mail.docx", "A 52384-2025")</f>
        <v/>
      </c>
      <c r="AC89">
        <f>HYPERLINK("https://klasma.github.io/Logging_0480/tillsyn/A 52384-2025 tillsynsbegäran.docx", "A 52384-2025")</f>
        <v/>
      </c>
      <c r="AD89">
        <f>HYPERLINK("https://klasma.github.io/Logging_0480/tillsynsmail/A 52384-2025 tillsynsbegäran mail.docx", "A 52384-2025")</f>
        <v/>
      </c>
      <c r="AE89">
        <f>HYPERLINK("https://klasma.github.io/Logging_0480/fåglar/A 52384-2025 prioriterade fågelarter.docx", "A 52384-2025")</f>
        <v/>
      </c>
    </row>
    <row r="90" ht="15" customHeight="1">
      <c r="A90" t="inlineStr">
        <is>
          <t>A 47095-2021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44446</v>
      </c>
      <c r="E90" s="1" t="n">
        <v>46253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1.4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Kricka</t>
        </is>
      </c>
      <c r="W90">
        <f>HYPERLINK("https://klasma.github.io/Logging_0480/artfynd/A 47095-2021 artfynd.xlsx", "A 47095-2021")</f>
        <v/>
      </c>
      <c r="X90">
        <f>HYPERLINK("https://klasma.github.io/Logging_0480/kartor/A 47095-2021 karta.png", "A 47095-2021")</f>
        <v/>
      </c>
      <c r="Y90">
        <f>HYPERLINK("https://klasma.github.io/Logging_0480/kartor_geotiff/A 47095-2021 georefererad karta.tif", "A 47095-2021")</f>
        <v/>
      </c>
      <c r="AA90">
        <f>HYPERLINK("https://klasma.github.io/Logging_0480/klagomål/A 47095-2021 FSC-klagomål.docx", "A 47095-2021")</f>
        <v/>
      </c>
      <c r="AB90">
        <f>HYPERLINK("https://klasma.github.io/Logging_0480/klagomålsmail/A 47095-2021 FSC-klagomål mail.docx", "A 47095-2021")</f>
        <v/>
      </c>
      <c r="AC90">
        <f>HYPERLINK("https://klasma.github.io/Logging_0480/tillsyn/A 47095-2021 tillsynsbegäran.docx", "A 47095-2021")</f>
        <v/>
      </c>
      <c r="AD90">
        <f>HYPERLINK("https://klasma.github.io/Logging_0480/tillsynsmail/A 47095-2021 tillsynsbegäran mail.docx", "A 47095-2021")</f>
        <v/>
      </c>
      <c r="AE90">
        <f>HYPERLINK("https://klasma.github.io/Logging_0480/fåglar/A 47095-2021 prioriterade fågelarter.docx", "A 47095-2021")</f>
        <v/>
      </c>
    </row>
    <row r="91" ht="15" customHeight="1">
      <c r="A91" t="inlineStr">
        <is>
          <t>A 5509-2023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46253</v>
      </c>
      <c r="F91" t="inlineStr">
        <is>
          <t>SÖDERMANLANDS LÄN</t>
        </is>
      </c>
      <c r="G91" t="inlineStr">
        <is>
          <t>NYKÖPING</t>
        </is>
      </c>
      <c r="I91" t="n">
        <v>1.2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HYPERLINK("https://klasma.github.io/Logging_0480/artfynd/A 5509-2023 artfynd.xlsx", "A 5509-2023")</f>
        <v/>
      </c>
      <c r="X91">
        <f>HYPERLINK("https://klasma.github.io/Logging_0480/kartor/A 5509-2023 karta.png", "A 5509-2023")</f>
        <v/>
      </c>
      <c r="Y91">
        <f>HYPERLINK("https://klasma.github.io/Logging_0480/kartor_geotiff/A 5509-2023 georefererad karta.tif", "A 5509-2023")</f>
        <v/>
      </c>
      <c r="AA91">
        <f>HYPERLINK("https://klasma.github.io/Logging_0480/klagomål/A 5509-2023 FSC-klagomål.docx", "A 5509-2023")</f>
        <v/>
      </c>
      <c r="AB91">
        <f>HYPERLINK("https://klasma.github.io/Logging_0480/klagomålsmail/A 5509-2023 FSC-klagomål mail.docx", "A 5509-2023")</f>
        <v/>
      </c>
      <c r="AC91">
        <f>HYPERLINK("https://klasma.github.io/Logging_0480/tillsyn/A 5509-2023 tillsynsbegäran.docx", "A 5509-2023")</f>
        <v/>
      </c>
      <c r="AD91">
        <f>HYPERLINK("https://klasma.github.io/Logging_0480/tillsynsmail/A 5509-2023 tillsynsbegäran mail.docx", "A 5509-2023")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46253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59905-2025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46253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11.7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HYPERLINK("https://klasma.github.io/Logging_0480/artfynd/A 59905-2025 artfynd.xlsx", "A 59905-2025")</f>
        <v/>
      </c>
      <c r="X93">
        <f>HYPERLINK("https://klasma.github.io/Logging_0480/kartor/A 59905-2025 karta.png", "A 59905-2025")</f>
        <v/>
      </c>
      <c r="Y93">
        <f>HYPERLINK("https://klasma.github.io/Logging_0480/kartor_geotiff/A 59905-2025 georefererad karta.tif", "A 59905-2025")</f>
        <v/>
      </c>
      <c r="AA93">
        <f>HYPERLINK("https://klasma.github.io/Logging_0480/klagomål/A 59905-2025 FSC-klagomål.docx", "A 59905-2025")</f>
        <v/>
      </c>
      <c r="AB93">
        <f>HYPERLINK("https://klasma.github.io/Logging_0480/klagomålsmail/A 59905-2025 FSC-klagomål mail.docx", "A 59905-2025")</f>
        <v/>
      </c>
      <c r="AC93">
        <f>HYPERLINK("https://klasma.github.io/Logging_0480/tillsyn/A 59905-2025 tillsynsbegäran.docx", "A 59905-2025")</f>
        <v/>
      </c>
      <c r="AD93">
        <f>HYPERLINK("https://klasma.github.io/Logging_0480/tillsynsmail/A 59905-2025 tillsynsbegäran mail.docx", "A 59905-2025")</f>
        <v/>
      </c>
    </row>
    <row r="94" ht="15" customHeight="1">
      <c r="A94" t="inlineStr">
        <is>
          <t>A 5385-2026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46253</v>
      </c>
      <c r="F94" t="inlineStr">
        <is>
          <t>SÖDERMANLANDS LÄN</t>
        </is>
      </c>
      <c r="G94" t="inlineStr">
        <is>
          <t>NYKÖPING</t>
        </is>
      </c>
      <c r="I94" t="n">
        <v>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HYPERLINK("https://klasma.github.io/Logging_0480/artfynd/A 5385-2026 artfynd.xlsx", "A 5385-2026")</f>
        <v/>
      </c>
      <c r="X94">
        <f>HYPERLINK("https://klasma.github.io/Logging_0480/kartor/A 5385-2026 karta.png", "A 5385-2026")</f>
        <v/>
      </c>
      <c r="Y94">
        <f>HYPERLINK("https://klasma.github.io/Logging_0480/kartor_geotiff/A 5385-2026 georefererad karta.tif", "A 5385-2026")</f>
        <v/>
      </c>
      <c r="AA94">
        <f>HYPERLINK("https://klasma.github.io/Logging_0480/klagomål/A 5385-2026 FSC-klagomål.docx", "A 5385-2026")</f>
        <v/>
      </c>
      <c r="AB94">
        <f>HYPERLINK("https://klasma.github.io/Logging_0480/klagomålsmail/A 5385-2026 FSC-klagomål mail.docx", "A 5385-2026")</f>
        <v/>
      </c>
      <c r="AC94">
        <f>HYPERLINK("https://klasma.github.io/Logging_0480/tillsyn/A 5385-2026 tillsynsbegäran.docx", "A 5385-2026")</f>
        <v/>
      </c>
      <c r="AD94">
        <f>HYPERLINK("https://klasma.github.io/Logging_0480/tillsynsmail/A 5385-2026 tillsynsbegäran mail.docx", "A 5385-2026")</f>
        <v/>
      </c>
      <c r="AE94">
        <f>HYPERLINK("https://klasma.github.io/Logging_0480/fåglar/A 5385-2026 prioriterade fågelarter.docx", "A 5385-2026")</f>
        <v/>
      </c>
    </row>
    <row r="95" ht="15" customHeight="1">
      <c r="A95" t="inlineStr">
        <is>
          <t>A 21129-2024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46253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Liljekonvalj</t>
        </is>
      </c>
      <c r="W95">
        <f>HYPERLINK("https://klasma.github.io/Logging_0480/artfynd/A 21129-2024 artfynd.xlsx", "A 21129-2024")</f>
        <v/>
      </c>
      <c r="X95">
        <f>HYPERLINK("https://klasma.github.io/Logging_0480/kartor/A 21129-2024 karta.png", "A 21129-2024")</f>
        <v/>
      </c>
      <c r="Y95">
        <f>HYPERLINK("https://klasma.github.io/Logging_0480/kartor_geotiff/A 21129-2024 georefererad karta.tif", "A 21129-2024")</f>
        <v/>
      </c>
      <c r="AA95">
        <f>HYPERLINK("https://klasma.github.io/Logging_0480/klagomål/A 21129-2024 FSC-klagomål.docx", "A 21129-2024")</f>
        <v/>
      </c>
      <c r="AB95">
        <f>HYPERLINK("https://klasma.github.io/Logging_0480/klagomålsmail/A 21129-2024 FSC-klagomål mail.docx", "A 21129-2024")</f>
        <v/>
      </c>
      <c r="AC95">
        <f>HYPERLINK("https://klasma.github.io/Logging_0480/tillsyn/A 21129-2024 tillsynsbegäran.docx", "A 21129-2024")</f>
        <v/>
      </c>
      <c r="AD95">
        <f>HYPERLINK("https://klasma.github.io/Logging_0480/tillsynsmail/A 21129-2024 tillsynsbegäran mail.docx", "A 21129-2024")</f>
        <v/>
      </c>
    </row>
    <row r="96" ht="15" customHeight="1">
      <c r="A96" t="inlineStr">
        <is>
          <t>A 21021-2026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46145</v>
      </c>
      <c r="E96" s="1" t="n">
        <v>46253</v>
      </c>
      <c r="F96" t="inlineStr">
        <is>
          <t>SÖDERMANLANDS LÄN</t>
        </is>
      </c>
      <c r="G96" t="inlineStr">
        <is>
          <t>NYKÖPING</t>
        </is>
      </c>
      <c r="I96" t="n">
        <v>3.4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21021-2026 artfynd.xlsx", "A 21021-2026")</f>
        <v/>
      </c>
      <c r="X96">
        <f>HYPERLINK("https://klasma.github.io/Logging_0480/kartor/A 21021-2026 karta.png", "A 21021-2026")</f>
        <v/>
      </c>
      <c r="Y96">
        <f>HYPERLINK("https://klasma.github.io/Logging_0480/kartor_geotiff/A 21021-2026 georefererad karta.tif", "A 21021-2026")</f>
        <v/>
      </c>
      <c r="AA96">
        <f>HYPERLINK("https://klasma.github.io/Logging_0480/klagomål/A 21021-2026 FSC-klagomål.docx", "A 21021-2026")</f>
        <v/>
      </c>
      <c r="AB96">
        <f>HYPERLINK("https://klasma.github.io/Logging_0480/klagomålsmail/A 21021-2026 FSC-klagomål mail.docx", "A 21021-2026")</f>
        <v/>
      </c>
      <c r="AC96">
        <f>HYPERLINK("https://klasma.github.io/Logging_0480/tillsyn/A 21021-2026 tillsynsbegäran.docx", "A 21021-2026")</f>
        <v/>
      </c>
      <c r="AD96">
        <f>HYPERLINK("https://klasma.github.io/Logging_0480/tillsynsmail/A 21021-2026 tillsynsbegäran mail.docx", "A 21021-2026")</f>
        <v/>
      </c>
    </row>
    <row r="97" ht="15" customHeight="1">
      <c r="A97" t="inlineStr">
        <is>
          <t>A 63423-2025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46253</v>
      </c>
      <c r="F97" t="inlineStr">
        <is>
          <t>SÖDERMANLANDS LÄN</t>
        </is>
      </c>
      <c r="G97" t="inlineStr">
        <is>
          <t>NYKÖPING</t>
        </is>
      </c>
      <c r="I97" t="n">
        <v>7.4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HYPERLINK("https://klasma.github.io/Logging_0480/artfynd/A 63423-2025 artfynd.xlsx", "A 63423-2025")</f>
        <v/>
      </c>
      <c r="X97">
        <f>HYPERLINK("https://klasma.github.io/Logging_0480/kartor/A 63423-2025 karta.png", "A 63423-2025")</f>
        <v/>
      </c>
      <c r="Y97">
        <f>HYPERLINK("https://klasma.github.io/Logging_0480/kartor_geotiff/A 63423-2025 georefererad karta.tif", "A 63423-2025")</f>
        <v/>
      </c>
      <c r="AA97">
        <f>HYPERLINK("https://klasma.github.io/Logging_0480/klagomål/A 63423-2025 FSC-klagomål.docx", "A 63423-2025")</f>
        <v/>
      </c>
      <c r="AB97">
        <f>HYPERLINK("https://klasma.github.io/Logging_0480/klagomålsmail/A 63423-2025 FSC-klagomål mail.docx", "A 63423-2025")</f>
        <v/>
      </c>
      <c r="AC97">
        <f>HYPERLINK("https://klasma.github.io/Logging_0480/tillsyn/A 63423-2025 tillsynsbegäran.docx", "A 63423-2025")</f>
        <v/>
      </c>
      <c r="AD97">
        <f>HYPERLINK("https://klasma.github.io/Logging_0480/tillsynsmail/A 63423-2025 tillsynsbegäran mail.docx", "A 63423-2025")</f>
        <v/>
      </c>
    </row>
    <row r="98" ht="15" customHeight="1">
      <c r="A98" t="inlineStr">
        <is>
          <t>A 22495-2026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46253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Vedticka</t>
        </is>
      </c>
      <c r="W98">
        <f>HYPERLINK("https://klasma.github.io/Logging_0480/artfynd/A 22495-2026 artfynd.xlsx", "A 22495-2026")</f>
        <v/>
      </c>
      <c r="X98">
        <f>HYPERLINK("https://klasma.github.io/Logging_0480/kartor/A 22495-2026 karta.png", "A 22495-2026")</f>
        <v/>
      </c>
      <c r="Y98">
        <f>HYPERLINK("https://klasma.github.io/Logging_0480/kartor_geotiff/A 22495-2026 georefererad karta.tif", "A 22495-2026")</f>
        <v/>
      </c>
      <c r="AA98">
        <f>HYPERLINK("https://klasma.github.io/Logging_0480/klagomål/A 22495-2026 FSC-klagomål.docx", "A 22495-2026")</f>
        <v/>
      </c>
      <c r="AB98">
        <f>HYPERLINK("https://klasma.github.io/Logging_0480/klagomålsmail/A 22495-2026 FSC-klagomål mail.docx", "A 22495-2026")</f>
        <v/>
      </c>
      <c r="AC98">
        <f>HYPERLINK("https://klasma.github.io/Logging_0480/tillsyn/A 22495-2026 tillsynsbegäran.docx", "A 22495-2026")</f>
        <v/>
      </c>
      <c r="AD98">
        <f>HYPERLINK("https://klasma.github.io/Logging_0480/tillsynsmail/A 22495-2026 tillsynsbegäran mail.docx", "A 22495-2026")</f>
        <v/>
      </c>
    </row>
    <row r="99" ht="15" customHeight="1">
      <c r="A99" t="inlineStr">
        <is>
          <t>A 20415-2024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46253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Gulsparv</t>
        </is>
      </c>
      <c r="W99">
        <f>HYPERLINK("https://klasma.github.io/Logging_0480/artfynd/A 20415-2024 artfynd.xlsx", "A 20415-2024")</f>
        <v/>
      </c>
      <c r="X99">
        <f>HYPERLINK("https://klasma.github.io/Logging_0480/kartor/A 20415-2024 karta.png", "A 20415-2024")</f>
        <v/>
      </c>
      <c r="Y99">
        <f>HYPERLINK("https://klasma.github.io/Logging_0480/kartor_geotiff/A 20415-2024 georefererad karta.tif", "A 20415-2024")</f>
        <v/>
      </c>
      <c r="AA99">
        <f>HYPERLINK("https://klasma.github.io/Logging_0480/klagomål/A 20415-2024 FSC-klagomål.docx", "A 20415-2024")</f>
        <v/>
      </c>
      <c r="AB99">
        <f>HYPERLINK("https://klasma.github.io/Logging_0480/klagomålsmail/A 20415-2024 FSC-klagomål mail.docx", "A 20415-2024")</f>
        <v/>
      </c>
      <c r="AC99">
        <f>HYPERLINK("https://klasma.github.io/Logging_0480/tillsyn/A 20415-2024 tillsynsbegäran.docx", "A 20415-2024")</f>
        <v/>
      </c>
      <c r="AD99">
        <f>HYPERLINK("https://klasma.github.io/Logging_0480/tillsynsmail/A 20415-2024 tillsynsbegäran mail.docx", "A 20415-2024")</f>
        <v/>
      </c>
      <c r="AE99">
        <f>HYPERLINK("https://klasma.github.io/Logging_0480/fåglar/A 20415-2024 prioriterade fågelarter.docx", "A 20415-2024")</f>
        <v/>
      </c>
    </row>
    <row r="100" ht="15" customHeight="1">
      <c r="A100" t="inlineStr">
        <is>
          <t>A 50554-2023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45210</v>
      </c>
      <c r="E100" s="1" t="n">
        <v>46253</v>
      </c>
      <c r="F100" t="inlineStr">
        <is>
          <t>SÖDERMANLANDS LÄN</t>
        </is>
      </c>
      <c r="G100" t="inlineStr">
        <is>
          <t>NYKÖPING</t>
        </is>
      </c>
      <c r="I100" t="n">
        <v>10.9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Grönpyrola</t>
        </is>
      </c>
      <c r="W100">
        <f>HYPERLINK("https://klasma.github.io/Logging_0480/artfynd/A 50554-2023 artfynd.xlsx", "A 50554-2023")</f>
        <v/>
      </c>
      <c r="X100">
        <f>HYPERLINK("https://klasma.github.io/Logging_0480/kartor/A 50554-2023 karta.png", "A 50554-2023")</f>
        <v/>
      </c>
      <c r="Y100">
        <f>HYPERLINK("https://klasma.github.io/Logging_0480/kartor_geotiff/A 50554-2023 georefererad karta.tif", "A 50554-2023")</f>
        <v/>
      </c>
      <c r="AA100">
        <f>HYPERLINK("https://klasma.github.io/Logging_0480/klagomål/A 50554-2023 FSC-klagomål.docx", "A 50554-2023")</f>
        <v/>
      </c>
      <c r="AB100">
        <f>HYPERLINK("https://klasma.github.io/Logging_0480/klagomålsmail/A 50554-2023 FSC-klagomål mail.docx", "A 50554-2023")</f>
        <v/>
      </c>
      <c r="AC100">
        <f>HYPERLINK("https://klasma.github.io/Logging_0480/tillsyn/A 50554-2023 tillsynsbegäran.docx", "A 50554-2023")</f>
        <v/>
      </c>
      <c r="AD100">
        <f>HYPERLINK("https://klasma.github.io/Logging_0480/tillsynsmail/A 50554-2023 tillsynsbegäran mail.docx", "A 50554-2023")</f>
        <v/>
      </c>
    </row>
    <row r="101" ht="15" customHeight="1">
      <c r="A101" t="inlineStr">
        <is>
          <t>A 2837-2025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45677</v>
      </c>
      <c r="E101" s="1" t="n">
        <v>46253</v>
      </c>
      <c r="F101" t="inlineStr">
        <is>
          <t>SÖDERMANLANDS LÄN</t>
        </is>
      </c>
      <c r="G101" t="inlineStr">
        <is>
          <t>NYKÖPING</t>
        </is>
      </c>
      <c r="I101" t="n">
        <v>5.2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4</v>
      </c>
      <c r="U101" t="n">
        <v>0</v>
      </c>
      <c r="V101" s="2" t="inlineStr">
        <is>
          <t>Hasselticka</t>
        </is>
      </c>
      <c r="W101">
        <f>HYPERLINK("https://klasma.github.io/Logging_0480/artfynd/A 2837-2025 artfynd.xlsx", "A 2837-2025")</f>
        <v/>
      </c>
      <c r="X101">
        <f>HYPERLINK("https://klasma.github.io/Logging_0480/kartor/A 2837-2025 karta.png", "A 2837-2025")</f>
        <v/>
      </c>
      <c r="Y101">
        <f>HYPERLINK("https://klasma.github.io/Logging_0480/kartor_geotiff/A 2837-2025 georefererad karta.tif", "A 2837-2025")</f>
        <v/>
      </c>
      <c r="AA101">
        <f>HYPERLINK("https://klasma.github.io/Logging_0480/klagomål/A 2837-2025 FSC-klagomål.docx", "A 2837-2025")</f>
        <v/>
      </c>
      <c r="AB101">
        <f>HYPERLINK("https://klasma.github.io/Logging_0480/klagomålsmail/A 2837-2025 FSC-klagomål mail.docx", "A 2837-2025")</f>
        <v/>
      </c>
      <c r="AC101">
        <f>HYPERLINK("https://klasma.github.io/Logging_0480/tillsyn/A 2837-2025 tillsynsbegäran.docx", "A 2837-2025")</f>
        <v/>
      </c>
      <c r="AD101">
        <f>HYPERLINK("https://klasma.github.io/Logging_0480/tillsynsmail/A 2837-2025 tillsynsbegäran mail.docx", "A 2837-2025")</f>
        <v/>
      </c>
    </row>
    <row r="102" ht="15" customHeight="1">
      <c r="A102" t="inlineStr">
        <is>
          <t>A 9973-2022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46253</v>
      </c>
      <c r="F102" t="inlineStr">
        <is>
          <t>SÖDERMANLANDS LÄN</t>
        </is>
      </c>
      <c r="G102" t="inlineStr">
        <is>
          <t>NYKÖPING</t>
        </is>
      </c>
      <c r="I102" t="n">
        <v>18.3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Grön sköldmossa</t>
        </is>
      </c>
      <c r="W102">
        <f>HYPERLINK("https://klasma.github.io/Logging_0480/artfynd/A 9973-2022 artfynd.xlsx", "A 9973-2022")</f>
        <v/>
      </c>
      <c r="X102">
        <f>HYPERLINK("https://klasma.github.io/Logging_0480/kartor/A 9973-2022 karta.png", "A 9973-2022")</f>
        <v/>
      </c>
      <c r="Y102">
        <f>HYPERLINK("https://klasma.github.io/Logging_0480/kartor_geotiff/A 9973-2022 georefererad karta.tif", "A 9973-2022")</f>
        <v/>
      </c>
      <c r="AA102">
        <f>HYPERLINK("https://klasma.github.io/Logging_0480/klagomål/A 9973-2022 FSC-klagomål.docx", "A 9973-2022")</f>
        <v/>
      </c>
      <c r="AB102">
        <f>HYPERLINK("https://klasma.github.io/Logging_0480/klagomålsmail/A 9973-2022 FSC-klagomål mail.docx", "A 9973-2022")</f>
        <v/>
      </c>
      <c r="AC102">
        <f>HYPERLINK("https://klasma.github.io/Logging_0480/tillsyn/A 9973-2022 tillsynsbegäran.docx", "A 9973-2022")</f>
        <v/>
      </c>
      <c r="AD102">
        <f>HYPERLINK("https://klasma.github.io/Logging_0480/tillsynsmail/A 9973-2022 tillsynsbegäran mail.docx", "A 9973-2022")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46253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31998-2026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46253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12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HYPERLINK("https://klasma.github.io/Logging_0480/artfynd/A 31998-2026 artfynd.xlsx", "A 31998-2026")</f>
        <v/>
      </c>
      <c r="X104">
        <f>HYPERLINK("https://klasma.github.io/Logging_0480/kartor/A 31998-2026 karta.png", "A 31998-2026")</f>
        <v/>
      </c>
      <c r="Y104">
        <f>HYPERLINK("https://klasma.github.io/Logging_0480/kartor_geotiff/A 31998-2026 georefererad karta.tif", "A 31998-2026")</f>
        <v/>
      </c>
      <c r="AA104">
        <f>HYPERLINK("https://klasma.github.io/Logging_0480/klagomål/A 31998-2026 FSC-klagomål.docx", "A 31998-2026")</f>
        <v/>
      </c>
      <c r="AB104">
        <f>HYPERLINK("https://klasma.github.io/Logging_0480/klagomålsmail/A 31998-2026 FSC-klagomål mail.docx", "A 31998-2026")</f>
        <v/>
      </c>
      <c r="AC104">
        <f>HYPERLINK("https://klasma.github.io/Logging_0480/tillsyn/A 31998-2026 tillsynsbegäran.docx", "A 31998-2026")</f>
        <v/>
      </c>
      <c r="AD104">
        <f>HYPERLINK("https://klasma.github.io/Logging_0480/tillsynsmail/A 31998-2026 tillsynsbegäran mail.docx", "A 31998-2026")</f>
        <v/>
      </c>
    </row>
    <row r="105" ht="15" customHeight="1">
      <c r="A105" t="inlineStr">
        <is>
          <t>A 32627-2026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46240</v>
      </c>
      <c r="E105" s="1" t="n">
        <v>46253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2.4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HYPERLINK("https://klasma.github.io/Logging_0480/artfynd/A 32627-2026 artfynd.xlsx", "A 32627-2026")</f>
        <v/>
      </c>
      <c r="X105">
        <f>HYPERLINK("https://klasma.github.io/Logging_0480/kartor/A 32627-2026 karta.png", "A 32627-2026")</f>
        <v/>
      </c>
      <c r="Y105">
        <f>HYPERLINK("https://klasma.github.io/Logging_0480/kartor_geotiff/A 32627-2026 georefererad karta.tif", "A 32627-2026")</f>
        <v/>
      </c>
      <c r="AA105">
        <f>HYPERLINK("https://klasma.github.io/Logging_0480/klagomål/A 32627-2026 FSC-klagomål.docx", "A 32627-2026")</f>
        <v/>
      </c>
      <c r="AB105">
        <f>HYPERLINK("https://klasma.github.io/Logging_0480/klagomålsmail/A 32627-2026 FSC-klagomål mail.docx", "A 32627-2026")</f>
        <v/>
      </c>
      <c r="AC105">
        <f>HYPERLINK("https://klasma.github.io/Logging_0480/tillsyn/A 32627-2026 tillsynsbegäran.docx", "A 32627-2026")</f>
        <v/>
      </c>
      <c r="AD105">
        <f>HYPERLINK("https://klasma.github.io/Logging_0480/tillsynsmail/A 32627-2026 tillsynsbegäran mail.docx", "A 32627-2026")</f>
        <v/>
      </c>
    </row>
    <row r="106" ht="15" customHeight="1">
      <c r="A106" t="inlineStr">
        <is>
          <t>A 4903-2022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46253</v>
      </c>
      <c r="F106" t="inlineStr">
        <is>
          <t>SÖDERMANLANDS LÄN</t>
        </is>
      </c>
      <c r="G106" t="inlineStr">
        <is>
          <t>NYKÖPING</t>
        </is>
      </c>
      <c r="I106" t="n">
        <v>2.7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HYPERLINK("https://klasma.github.io/Logging_0480/artfynd/A 4903-2022 artfynd.xlsx", "A 4903-2022")</f>
        <v/>
      </c>
      <c r="X106">
        <f>HYPERLINK("https://klasma.github.io/Logging_0480/kartor/A 4903-2022 karta.png", "A 4903-2022")</f>
        <v/>
      </c>
      <c r="Y106">
        <f>HYPERLINK("https://klasma.github.io/Logging_0480/kartor_geotiff/A 4903-2022 georefererad karta.tif", "A 4903-2022")</f>
        <v/>
      </c>
      <c r="Z106">
        <f>HYPERLINK("https://klasma.github.io/Logging_0480/knärot/A 4903-2022 karta knärot.png", "A 4903-2022")</f>
        <v/>
      </c>
      <c r="AA106">
        <f>HYPERLINK("https://klasma.github.io/Logging_0480/klagomål/A 4903-2022 FSC-klagomål.docx", "A 4903-2022")</f>
        <v/>
      </c>
      <c r="AB106">
        <f>HYPERLINK("https://klasma.github.io/Logging_0480/klagomålsmail/A 4903-2022 FSC-klagomål mail.docx", "A 4903-2022")</f>
        <v/>
      </c>
      <c r="AC106">
        <f>HYPERLINK("https://klasma.github.io/Logging_0480/tillsyn/A 4903-2022 tillsynsbegäran.docx", "A 4903-2022")</f>
        <v/>
      </c>
      <c r="AD106">
        <f>HYPERLINK("https://klasma.github.io/Logging_0480/tillsynsmail/A 4903-2022 tillsynsbegäran mail.docx", "A 4903-2022")</f>
        <v/>
      </c>
    </row>
    <row r="107" ht="15" customHeight="1">
      <c r="A107" t="inlineStr">
        <is>
          <t>A 52684-2021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44466</v>
      </c>
      <c r="E107" s="1" t="n">
        <v>46253</v>
      </c>
      <c r="F107" t="inlineStr">
        <is>
          <t>SÖDERMANLANDS LÄN</t>
        </is>
      </c>
      <c r="G107" t="inlineStr">
        <is>
          <t>NYKÖPING</t>
        </is>
      </c>
      <c r="I107" t="n">
        <v>1.3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Kråka</t>
        </is>
      </c>
      <c r="W107">
        <f>HYPERLINK("https://klasma.github.io/Logging_0480/artfynd/A 52684-2021 artfynd.xlsx", "A 52684-2021")</f>
        <v/>
      </c>
      <c r="X107">
        <f>HYPERLINK("https://klasma.github.io/Logging_0480/kartor/A 52684-2021 karta.png", "A 52684-2021")</f>
        <v/>
      </c>
      <c r="Y107">
        <f>HYPERLINK("https://klasma.github.io/Logging_0480/kartor_geotiff/A 52684-2021 georefererad karta.tif", "A 52684-2021")</f>
        <v/>
      </c>
      <c r="AA107">
        <f>HYPERLINK("https://klasma.github.io/Logging_0480/klagomål/A 52684-2021 FSC-klagomål.docx", "A 52684-2021")</f>
        <v/>
      </c>
      <c r="AB107">
        <f>HYPERLINK("https://klasma.github.io/Logging_0480/klagomålsmail/A 52684-2021 FSC-klagomål mail.docx", "A 52684-2021")</f>
        <v/>
      </c>
      <c r="AC107">
        <f>HYPERLINK("https://klasma.github.io/Logging_0480/tillsyn/A 52684-2021 tillsynsbegäran.docx", "A 52684-2021")</f>
        <v/>
      </c>
      <c r="AD107">
        <f>HYPERLINK("https://klasma.github.io/Logging_0480/tillsynsmail/A 52684-2021 tillsynsbegäran mail.docx", "A 52684-2021")</f>
        <v/>
      </c>
    </row>
    <row r="108" ht="15" customHeight="1">
      <c r="A108" t="inlineStr">
        <is>
          <t>A 65889-2021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46253</v>
      </c>
      <c r="F108" t="inlineStr">
        <is>
          <t>SÖDERMANLANDS LÄN</t>
        </is>
      </c>
      <c r="G108" t="inlineStr">
        <is>
          <t>NYKÖPING</t>
        </is>
      </c>
      <c r="I108" t="n">
        <v>4.8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Backstarr</t>
        </is>
      </c>
      <c r="W108">
        <f>HYPERLINK("https://klasma.github.io/Logging_0480/artfynd/A 65889-2021 artfynd.xlsx", "A 65889-2021")</f>
        <v/>
      </c>
      <c r="X108">
        <f>HYPERLINK("https://klasma.github.io/Logging_0480/kartor/A 65889-2021 karta.png", "A 65889-2021")</f>
        <v/>
      </c>
      <c r="Y108">
        <f>HYPERLINK("https://klasma.github.io/Logging_0480/kartor_geotiff/A 65889-2021 georefererad karta.tif", "A 65889-2021")</f>
        <v/>
      </c>
      <c r="AA108">
        <f>HYPERLINK("https://klasma.github.io/Logging_0480/klagomål/A 65889-2021 FSC-klagomål.docx", "A 65889-2021")</f>
        <v/>
      </c>
      <c r="AB108">
        <f>HYPERLINK("https://klasma.github.io/Logging_0480/klagomålsmail/A 65889-2021 FSC-klagomål mail.docx", "A 65889-2021")</f>
        <v/>
      </c>
      <c r="AC108">
        <f>HYPERLINK("https://klasma.github.io/Logging_0480/tillsyn/A 65889-2021 tillsynsbegäran.docx", "A 65889-2021")</f>
        <v/>
      </c>
      <c r="AD108">
        <f>HYPERLINK("https://klasma.github.io/Logging_0480/tillsynsmail/A 65889-2021 tillsynsbegäran mail.docx", "A 65889-2021")</f>
        <v/>
      </c>
    </row>
    <row r="109" ht="15" customHeight="1">
      <c r="A109" t="inlineStr">
        <is>
          <t>A 13724-2024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45390</v>
      </c>
      <c r="E109" s="1" t="n">
        <v>46253</v>
      </c>
      <c r="F109" t="inlineStr">
        <is>
          <t>SÖDERMANLANDS LÄN</t>
        </is>
      </c>
      <c r="G109" t="inlineStr">
        <is>
          <t>NYKÖPING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Dropptaggsvamp</t>
        </is>
      </c>
      <c r="W109">
        <f>HYPERLINK("https://klasma.github.io/Logging_0480/artfynd/A 13724-2024 artfynd.xlsx", "A 13724-2024")</f>
        <v/>
      </c>
      <c r="X109">
        <f>HYPERLINK("https://klasma.github.io/Logging_0480/kartor/A 13724-2024 karta.png", "A 13724-2024")</f>
        <v/>
      </c>
      <c r="Y109">
        <f>HYPERLINK("https://klasma.github.io/Logging_0480/kartor_geotiff/A 13724-2024 georefererad karta.tif", "A 13724-2024")</f>
        <v/>
      </c>
      <c r="AA109">
        <f>HYPERLINK("https://klasma.github.io/Logging_0480/klagomål/A 13724-2024 FSC-klagomål.docx", "A 13724-2024")</f>
        <v/>
      </c>
      <c r="AB109">
        <f>HYPERLINK("https://klasma.github.io/Logging_0480/klagomålsmail/A 13724-2024 FSC-klagomål mail.docx", "A 13724-2024")</f>
        <v/>
      </c>
      <c r="AC109">
        <f>HYPERLINK("https://klasma.github.io/Logging_0480/tillsyn/A 13724-2024 tillsynsbegäran.docx", "A 13724-2024")</f>
        <v/>
      </c>
      <c r="AD109">
        <f>HYPERLINK("https://klasma.github.io/Logging_0480/tillsynsmail/A 13724-2024 tillsynsbegäran mail.docx", "A 13724-2024")</f>
        <v/>
      </c>
    </row>
    <row r="110" ht="15" customHeight="1">
      <c r="A110" t="inlineStr">
        <is>
          <t>A 2829-2025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46253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Allmännings- och besparingsskogar</t>
        </is>
      </c>
      <c r="I110" t="n">
        <v>12.1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Nattskärra</t>
        </is>
      </c>
      <c r="W110">
        <f>HYPERLINK("https://klasma.github.io/Logging_0480/artfynd/A 2829-2025 artfynd.xlsx", "A 2829-2025")</f>
        <v/>
      </c>
      <c r="X110">
        <f>HYPERLINK("https://klasma.github.io/Logging_0480/kartor/A 2829-2025 karta.png", "A 2829-2025")</f>
        <v/>
      </c>
      <c r="Y110">
        <f>HYPERLINK("https://klasma.github.io/Logging_0480/kartor_geotiff/A 2829-2025 georefererad karta.tif", "A 2829-2025")</f>
        <v/>
      </c>
      <c r="AA110">
        <f>HYPERLINK("https://klasma.github.io/Logging_0480/klagomål/A 2829-2025 FSC-klagomål.docx", "A 2829-2025")</f>
        <v/>
      </c>
      <c r="AB110">
        <f>HYPERLINK("https://klasma.github.io/Logging_0480/klagomålsmail/A 2829-2025 FSC-klagomål mail.docx", "A 2829-2025")</f>
        <v/>
      </c>
      <c r="AC110">
        <f>HYPERLINK("https://klasma.github.io/Logging_0480/tillsyn/A 2829-2025 tillsynsbegäran.docx", "A 2829-2025")</f>
        <v/>
      </c>
      <c r="AD110">
        <f>HYPERLINK("https://klasma.github.io/Logging_0480/tillsynsmail/A 2829-2025 tillsynsbegäran mail.docx", "A 2829-2025")</f>
        <v/>
      </c>
      <c r="AE110">
        <f>HYPERLINK("https://klasma.github.io/Logging_0480/fåglar/A 2829-2025 prioriterade fågelarter.docx", "A 2829-2025")</f>
        <v/>
      </c>
    </row>
    <row r="111" ht="15" customHeight="1">
      <c r="A111" t="inlineStr">
        <is>
          <t>A 20425-2024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45435</v>
      </c>
      <c r="E111" s="1" t="n">
        <v>46253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Kommuner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Skogsalm</t>
        </is>
      </c>
      <c r="W111">
        <f>HYPERLINK("https://klasma.github.io/Logging_0480/artfynd/A 20425-2024 artfynd.xlsx", "A 20425-2024")</f>
        <v/>
      </c>
      <c r="X111">
        <f>HYPERLINK("https://klasma.github.io/Logging_0480/kartor/A 20425-2024 karta.png", "A 20425-2024")</f>
        <v/>
      </c>
      <c r="Y111">
        <f>HYPERLINK("https://klasma.github.io/Logging_0480/kartor_geotiff/A 20425-2024 georefererad karta.tif", "A 20425-2024")</f>
        <v/>
      </c>
      <c r="AA111">
        <f>HYPERLINK("https://klasma.github.io/Logging_0480/klagomål/A 20425-2024 FSC-klagomål.docx", "A 20425-2024")</f>
        <v/>
      </c>
      <c r="AB111">
        <f>HYPERLINK("https://klasma.github.io/Logging_0480/klagomålsmail/A 20425-2024 FSC-klagomål mail.docx", "A 20425-2024")</f>
        <v/>
      </c>
      <c r="AC111">
        <f>HYPERLINK("https://klasma.github.io/Logging_0480/tillsyn/A 20425-2024 tillsynsbegäran.docx", "A 20425-2024")</f>
        <v/>
      </c>
      <c r="AD111">
        <f>HYPERLINK("https://klasma.github.io/Logging_0480/tillsynsmail/A 20425-2024 tillsynsbegäran mail.docx", "A 20425-2024")</f>
        <v/>
      </c>
    </row>
    <row r="112" ht="15" customHeight="1">
      <c r="A112" t="inlineStr">
        <is>
          <t>A 20325-2023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46253</v>
      </c>
      <c r="F112" t="inlineStr">
        <is>
          <t>SÖDERMANLANDS LÄN</t>
        </is>
      </c>
      <c r="G112" t="inlineStr">
        <is>
          <t>NYKÖPING</t>
        </is>
      </c>
      <c r="I112" t="n">
        <v>0.2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Kamjordstjärna</t>
        </is>
      </c>
      <c r="W112">
        <f>HYPERLINK("https://klasma.github.io/Logging_0480/artfynd/A 20325-2023 artfynd.xlsx", "A 20325-2023")</f>
        <v/>
      </c>
      <c r="X112">
        <f>HYPERLINK("https://klasma.github.io/Logging_0480/kartor/A 20325-2023 karta.png", "A 20325-2023")</f>
        <v/>
      </c>
      <c r="Y112">
        <f>HYPERLINK("https://klasma.github.io/Logging_0480/kartor_geotiff/A 20325-2023 georefererad karta.tif", "A 20325-2023")</f>
        <v/>
      </c>
      <c r="AA112">
        <f>HYPERLINK("https://klasma.github.io/Logging_0480/klagomål/A 20325-2023 FSC-klagomål.docx", "A 20325-2023")</f>
        <v/>
      </c>
      <c r="AB112">
        <f>HYPERLINK("https://klasma.github.io/Logging_0480/klagomålsmail/A 20325-2023 FSC-klagomål mail.docx", "A 20325-2023")</f>
        <v/>
      </c>
      <c r="AC112">
        <f>HYPERLINK("https://klasma.github.io/Logging_0480/tillsyn/A 20325-2023 tillsynsbegäran.docx", "A 20325-2023")</f>
        <v/>
      </c>
      <c r="AD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59329-2023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45252</v>
      </c>
      <c r="E113" s="1" t="n">
        <v>46253</v>
      </c>
      <c r="F113" t="inlineStr">
        <is>
          <t>SÖDERMANLANDS LÄN</t>
        </is>
      </c>
      <c r="G113" t="inlineStr">
        <is>
          <t>NYKÖPING</t>
        </is>
      </c>
      <c r="I113" t="n">
        <v>22.1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HYPERLINK("https://klasma.github.io/Logging_0480/artfynd/A 59329-2023 artfynd.xlsx", "A 59329-2023")</f>
        <v/>
      </c>
      <c r="X113">
        <f>HYPERLINK("https://klasma.github.io/Logging_0480/kartor/A 59329-2023 karta.png", "A 59329-2023")</f>
        <v/>
      </c>
      <c r="Y113">
        <f>HYPERLINK("https://klasma.github.io/Logging_0480/kartor_geotiff/A 59329-2023 georefererad karta.tif", "A 59329-2023")</f>
        <v/>
      </c>
      <c r="AA113">
        <f>HYPERLINK("https://klasma.github.io/Logging_0480/klagomål/A 59329-2023 FSC-klagomål.docx", "A 59329-2023")</f>
        <v/>
      </c>
      <c r="AB113">
        <f>HYPERLINK("https://klasma.github.io/Logging_0480/klagomålsmail/A 59329-2023 FSC-klagomål mail.docx", "A 59329-2023")</f>
        <v/>
      </c>
      <c r="AC113">
        <f>HYPERLINK("https://klasma.github.io/Logging_0480/tillsyn/A 59329-2023 tillsynsbegäran.docx", "A 59329-2023")</f>
        <v/>
      </c>
      <c r="AD113">
        <f>HYPERLINK("https://klasma.github.io/Logging_0480/tillsynsmail/A 59329-2023 tillsynsbegäran mail.docx", "A 59329-2023")</f>
        <v/>
      </c>
    </row>
    <row r="114" ht="15" customHeight="1">
      <c r="A114" t="inlineStr">
        <is>
          <t>A 1105-2023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46253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1.1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Skuggblåslav</t>
        </is>
      </c>
      <c r="W114">
        <f>HYPERLINK("https://klasma.github.io/Logging_0480/artfynd/A 1105-2023 artfynd.xlsx", "A 1105-2023")</f>
        <v/>
      </c>
      <c r="X114">
        <f>HYPERLINK("https://klasma.github.io/Logging_0480/kartor/A 1105-2023 karta.png", "A 1105-2023")</f>
        <v/>
      </c>
      <c r="Y114">
        <f>HYPERLINK("https://klasma.github.io/Logging_0480/kartor_geotiff/A 1105-2023 georefererad karta.tif", "A 1105-2023")</f>
        <v/>
      </c>
      <c r="AA114">
        <f>HYPERLINK("https://klasma.github.io/Logging_0480/klagomål/A 1105-2023 FSC-klagomål.docx", "A 1105-2023")</f>
        <v/>
      </c>
      <c r="AB114">
        <f>HYPERLINK("https://klasma.github.io/Logging_0480/klagomålsmail/A 1105-2023 FSC-klagomål mail.docx", "A 1105-2023")</f>
        <v/>
      </c>
      <c r="AC114">
        <f>HYPERLINK("https://klasma.github.io/Logging_0480/tillsyn/A 1105-2023 tillsynsbegäran.docx", "A 1105-2023")</f>
        <v/>
      </c>
      <c r="AD114">
        <f>HYPERLINK("https://klasma.github.io/Logging_0480/tillsynsmail/A 1105-2023 tillsynsbegäran mail.docx", "A 1105-2023")</f>
        <v/>
      </c>
    </row>
    <row r="115" ht="15" customHeight="1">
      <c r="A115" t="inlineStr">
        <is>
          <t>A 51258-2024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46253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Sveaskog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Grönpyrola</t>
        </is>
      </c>
      <c r="W115">
        <f>HYPERLINK("https://klasma.github.io/Logging_0480/artfynd/A 51258-2024 artfynd.xlsx", "A 51258-2024")</f>
        <v/>
      </c>
      <c r="X115">
        <f>HYPERLINK("https://klasma.github.io/Logging_0480/kartor/A 51258-2024 karta.png", "A 51258-2024")</f>
        <v/>
      </c>
      <c r="Y115">
        <f>HYPERLINK("https://klasma.github.io/Logging_0480/kartor_geotiff/A 51258-2024 georefererad karta.tif", "A 51258-2024")</f>
        <v/>
      </c>
      <c r="AA115">
        <f>HYPERLINK("https://klasma.github.io/Logging_0480/klagomål/A 51258-2024 FSC-klagomål.docx", "A 51258-2024")</f>
        <v/>
      </c>
      <c r="AB115">
        <f>HYPERLINK("https://klasma.github.io/Logging_0480/klagomålsmail/A 51258-2024 FSC-klagomål mail.docx", "A 51258-2024")</f>
        <v/>
      </c>
      <c r="AC115">
        <f>HYPERLINK("https://klasma.github.io/Logging_0480/tillsyn/A 51258-2024 tillsynsbegäran.docx", "A 51258-2024")</f>
        <v/>
      </c>
      <c r="AD115">
        <f>HYPERLINK("https://klasma.github.io/Logging_0480/tillsynsmail/A 51258-2024 tillsynsbegäran mail.docx", "A 51258-2024")</f>
        <v/>
      </c>
    </row>
    <row r="116" ht="15" customHeight="1">
      <c r="A116" t="inlineStr">
        <is>
          <t>A 56080-2024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46253</v>
      </c>
      <c r="F116" t="inlineStr">
        <is>
          <t>SÖDERMANLANDS LÄN</t>
        </is>
      </c>
      <c r="G116" t="inlineStr">
        <is>
          <t>NYKÖPING</t>
        </is>
      </c>
      <c r="I116" t="n">
        <v>5.5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Ärtsångare</t>
        </is>
      </c>
      <c r="W116">
        <f>HYPERLINK("https://klasma.github.io/Logging_0480/artfynd/A 56080-2024 artfynd.xlsx", "A 56080-2024")</f>
        <v/>
      </c>
      <c r="X116">
        <f>HYPERLINK("https://klasma.github.io/Logging_0480/kartor/A 56080-2024 karta.png", "A 56080-2024")</f>
        <v/>
      </c>
      <c r="Y116">
        <f>HYPERLINK("https://klasma.github.io/Logging_0480/kartor_geotiff/A 56080-2024 georefererad karta.tif", "A 56080-2024")</f>
        <v/>
      </c>
      <c r="AA116">
        <f>HYPERLINK("https://klasma.github.io/Logging_0480/klagomål/A 56080-2024 FSC-klagomål.docx", "A 56080-2024")</f>
        <v/>
      </c>
      <c r="AB116">
        <f>HYPERLINK("https://klasma.github.io/Logging_0480/klagomålsmail/A 56080-2024 FSC-klagomål mail.docx", "A 56080-2024")</f>
        <v/>
      </c>
      <c r="AC116">
        <f>HYPERLINK("https://klasma.github.io/Logging_0480/tillsyn/A 56080-2024 tillsynsbegäran.docx", "A 56080-2024")</f>
        <v/>
      </c>
      <c r="AD116">
        <f>HYPERLINK("https://klasma.github.io/Logging_0480/tillsynsmail/A 56080-2024 tillsynsbegäran mail.docx", "A 56080-2024")</f>
        <v/>
      </c>
    </row>
    <row r="117" ht="15" customHeight="1">
      <c r="A117" t="inlineStr">
        <is>
          <t>S 447-2021</t>
        </is>
      </c>
      <c r="B117" t="inlineStr">
        <is>
          <t>samrådsanmälan</t>
        </is>
      </c>
      <c r="C117" t="inlineStr">
        <is>
          <t>Åtgärd i nyckelbiotop</t>
        </is>
      </c>
      <c r="D117" s="1" t="n">
        <v>44260</v>
      </c>
      <c r="E117" s="1" t="n">
        <v>46253</v>
      </c>
      <c r="F117" t="inlineStr">
        <is>
          <t>SÖDERMANLANDS LÄN</t>
        </is>
      </c>
      <c r="G117" t="inlineStr">
        <is>
          <t>NYKÖPING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HYPERLINK("https://klasma.github.io/Logging_0480/artfynd/S 447-2021 artfynd.xlsx", "S 447-2021")</f>
        <v/>
      </c>
      <c r="X117">
        <f>HYPERLINK("https://klasma.github.io/Logging_0480/kartor/S 447-2021 karta.png", "S 447-2021")</f>
        <v/>
      </c>
      <c r="Y117">
        <f>HYPERLINK("https://klasma.github.io/Logging_0480/kartor_geotiff/S 447-2021 georefererad karta.tif", "S 447-2021")</f>
        <v/>
      </c>
      <c r="AA117">
        <f>HYPERLINK("https://klasma.github.io/Logging_0480/klagomål/S 447-2021 FSC-klagomål.docx", "S 447-2021")</f>
        <v/>
      </c>
      <c r="AB117">
        <f>HYPERLINK("https://klasma.github.io/Logging_0480/klagomålsmail/S 447-2021 FSC-klagomål mail.docx", "S 447-2021")</f>
        <v/>
      </c>
      <c r="AC117">
        <f>HYPERLINK("https://klasma.github.io/Logging_0480/tillsyn/S 447-2021 tillsynsbegäran.docx", "S 447-2021")</f>
        <v/>
      </c>
      <c r="AD117">
        <f>HYPERLINK("https://klasma.github.io/Logging_0480/tillsynsmail/S 447-2021 tillsynsbegäran mail.docx", "S 447-2021")</f>
        <v/>
      </c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46253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44870</v>
      </c>
      <c r="E119" s="1" t="n">
        <v>46253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46253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46253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46253</v>
      </c>
      <c r="F122" t="inlineStr">
        <is>
          <t>SÖDERMANLANDS LÄN</t>
        </is>
      </c>
      <c r="G122" t="inlineStr">
        <is>
          <t>NYKÖPING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46253</v>
      </c>
      <c r="F123" t="inlineStr">
        <is>
          <t>SÖDERMANLANDS LÄN</t>
        </is>
      </c>
      <c r="G123" t="inlineStr">
        <is>
          <t>NYKÖPING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59776-2021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46253</v>
      </c>
      <c r="F124" t="inlineStr">
        <is>
          <t>SÖDERMANLANDS LÄN</t>
        </is>
      </c>
      <c r="G124" t="inlineStr">
        <is>
          <t>NYKÖPING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64162-2021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44510</v>
      </c>
      <c r="E125" s="1" t="n">
        <v>46253</v>
      </c>
      <c r="F125" t="inlineStr">
        <is>
          <t>SÖDERMANLANDS LÄN</t>
        </is>
      </c>
      <c r="G125" t="inlineStr">
        <is>
          <t>NYKÖPING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44466</v>
      </c>
      <c r="E126" s="1" t="n">
        <v>46253</v>
      </c>
      <c r="F126" t="inlineStr">
        <is>
          <t>SÖDERMANLANDS LÄN</t>
        </is>
      </c>
      <c r="G126" t="inlineStr">
        <is>
          <t>NYKÖPING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46253</v>
      </c>
      <c r="F127" t="inlineStr">
        <is>
          <t>SÖDERMANLANDS LÄN</t>
        </is>
      </c>
      <c r="G127" t="inlineStr">
        <is>
          <t>NYKÖPING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46253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46253</v>
      </c>
      <c r="F129" t="inlineStr">
        <is>
          <t>SÖDERMANLANDS LÄN</t>
        </is>
      </c>
      <c r="G129" t="inlineStr">
        <is>
          <t>NYKÖPING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44733</v>
      </c>
      <c r="E130" s="1" t="n">
        <v>46253</v>
      </c>
      <c r="F130" t="inlineStr">
        <is>
          <t>SÖDERMANLANDS LÄN</t>
        </is>
      </c>
      <c r="G130" t="inlineStr">
        <is>
          <t>NYKÖPING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44774</v>
      </c>
      <c r="E131" s="1" t="n">
        <v>46253</v>
      </c>
      <c r="F131" t="inlineStr">
        <is>
          <t>SÖDERMANLANDS LÄN</t>
        </is>
      </c>
      <c r="G131" t="inlineStr">
        <is>
          <t>NYKÖPING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46253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46253</v>
      </c>
      <c r="F133" t="inlineStr">
        <is>
          <t>SÖDERMANLANDS LÄN</t>
        </is>
      </c>
      <c r="G133" t="inlineStr">
        <is>
          <t>NYKÖPING</t>
        </is>
      </c>
      <c r="I133" t="n">
        <v>14.6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44652</v>
      </c>
      <c r="E134" s="1" t="n">
        <v>46253</v>
      </c>
      <c r="F134" t="inlineStr">
        <is>
          <t>SÖDERMANLANDS LÄN</t>
        </is>
      </c>
      <c r="G134" t="inlineStr">
        <is>
          <t>NYKÖPING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46253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46253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46253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46253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46253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46253</v>
      </c>
      <c r="F140" t="inlineStr">
        <is>
          <t>SÖDERMANLANDS LÄN</t>
        </is>
      </c>
      <c r="G140" t="inlineStr">
        <is>
          <t>NYKÖPING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46253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46253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44431</v>
      </c>
      <c r="E143" s="1" t="n">
        <v>46253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44705</v>
      </c>
      <c r="E144" s="1" t="n">
        <v>46253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46253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44430</v>
      </c>
      <c r="E146" s="1" t="n">
        <v>46253</v>
      </c>
      <c r="F146" t="inlineStr">
        <is>
          <t>SÖDERMANLANDS LÄN</t>
        </is>
      </c>
      <c r="G146" t="inlineStr">
        <is>
          <t>NYKÖPING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46253</v>
      </c>
      <c r="F147" t="inlineStr">
        <is>
          <t>SÖDERMANLANDS LÄN</t>
        </is>
      </c>
      <c r="G147" t="inlineStr">
        <is>
          <t>NYKÖPING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8783-2022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46253</v>
      </c>
      <c r="F148" t="inlineStr">
        <is>
          <t>SÖDERMANLANDS LÄN</t>
        </is>
      </c>
      <c r="G148" t="inlineStr">
        <is>
          <t>NYKÖPING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46253</v>
      </c>
      <c r="F149" t="inlineStr">
        <is>
          <t>SÖDERMANLANDS LÄN</t>
        </is>
      </c>
      <c r="G149" t="inlineStr">
        <is>
          <t>NYKÖPING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46253</v>
      </c>
      <c r="F150" t="inlineStr">
        <is>
          <t>SÖDERMANLANDS LÄN</t>
        </is>
      </c>
      <c r="G150" t="inlineStr">
        <is>
          <t>NYKÖPING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46253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46253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46253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46253</v>
      </c>
      <c r="F154" t="inlineStr">
        <is>
          <t>SÖDERMANLANDS LÄN</t>
        </is>
      </c>
      <c r="G154" t="inlineStr">
        <is>
          <t>NYKÖPING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46253</v>
      </c>
      <c r="F155" t="inlineStr">
        <is>
          <t>SÖDERMANLANDS LÄN</t>
        </is>
      </c>
      <c r="G155" t="inlineStr">
        <is>
          <t>NYKÖPING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46253</v>
      </c>
      <c r="F156" t="inlineStr">
        <is>
          <t>SÖDERMANLANDS LÄN</t>
        </is>
      </c>
      <c r="G156" t="inlineStr">
        <is>
          <t>NYKÖPING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46253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46253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46253</v>
      </c>
      <c r="F159" t="inlineStr">
        <is>
          <t>SÖDERMANLANDS LÄN</t>
        </is>
      </c>
      <c r="G159" t="inlineStr">
        <is>
          <t>NYKÖPING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46253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46253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44427</v>
      </c>
      <c r="E162" s="1" t="n">
        <v>46253</v>
      </c>
      <c r="F162" t="inlineStr">
        <is>
          <t>SÖDERMANLANDS LÄN</t>
        </is>
      </c>
      <c r="G162" t="inlineStr">
        <is>
          <t>NYKÖPING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44454</v>
      </c>
      <c r="E163" s="1" t="n">
        <v>46253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46838-2021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44446</v>
      </c>
      <c r="E164" s="1" t="n">
        <v>46253</v>
      </c>
      <c r="F164" t="inlineStr">
        <is>
          <t>SÖDERMANLANDS LÄN</t>
        </is>
      </c>
      <c r="G164" t="inlineStr">
        <is>
          <t>NYKÖPING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44767</v>
      </c>
      <c r="E165" s="1" t="n">
        <v>46253</v>
      </c>
      <c r="F165" t="inlineStr">
        <is>
          <t>SÖDERMANLANDS LÄN</t>
        </is>
      </c>
      <c r="G165" t="inlineStr">
        <is>
          <t>NYKÖPING</t>
        </is>
      </c>
      <c r="H165" t="inlineStr">
        <is>
          <t>Holmen skog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15466-2022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44662</v>
      </c>
      <c r="E166" s="1" t="n">
        <v>46253</v>
      </c>
      <c r="F166" t="inlineStr">
        <is>
          <t>SÖDERMANLANDS LÄN</t>
        </is>
      </c>
      <c r="G166" t="inlineStr">
        <is>
          <t>NYKÖPING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46253</v>
      </c>
      <c r="F167" t="inlineStr">
        <is>
          <t>SÖDERMANLANDS LÄN</t>
        </is>
      </c>
      <c r="G167" t="inlineStr">
        <is>
          <t>NYKÖPING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41139-2022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46253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46253</v>
      </c>
      <c r="F169" t="inlineStr">
        <is>
          <t>SÖDERMANLANDS LÄN</t>
        </is>
      </c>
      <c r="G169" t="inlineStr">
        <is>
          <t>NYKÖPING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28503-2022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46253</v>
      </c>
      <c r="F170" t="inlineStr">
        <is>
          <t>SÖDERMANLANDS LÄN</t>
        </is>
      </c>
      <c r="G170" t="inlineStr">
        <is>
          <t>NYKÖPING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46253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44783</v>
      </c>
      <c r="E172" s="1" t="n">
        <v>46253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44733</v>
      </c>
      <c r="E173" s="1" t="n">
        <v>46253</v>
      </c>
      <c r="F173" t="inlineStr">
        <is>
          <t>SÖDERMANLANDS LÄN</t>
        </is>
      </c>
      <c r="G173" t="inlineStr">
        <is>
          <t>NYKÖPING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44733</v>
      </c>
      <c r="E174" s="1" t="n">
        <v>46253</v>
      </c>
      <c r="F174" t="inlineStr">
        <is>
          <t>SÖDERMANLANDS LÄN</t>
        </is>
      </c>
      <c r="G174" t="inlineStr">
        <is>
          <t>NYKÖPING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46253</v>
      </c>
      <c r="F175" t="inlineStr">
        <is>
          <t>SÖDERMANLANDS LÄN</t>
        </is>
      </c>
      <c r="G175" t="inlineStr">
        <is>
          <t>NYKÖPING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44733</v>
      </c>
      <c r="E176" s="1" t="n">
        <v>46253</v>
      </c>
      <c r="F176" t="inlineStr">
        <is>
          <t>SÖDERMANLANDS LÄN</t>
        </is>
      </c>
      <c r="G176" t="inlineStr">
        <is>
          <t>NYKÖPING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44613</v>
      </c>
      <c r="E177" s="1" t="n">
        <v>46253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44614</v>
      </c>
      <c r="E178" s="1" t="n">
        <v>46253</v>
      </c>
      <c r="F178" t="inlineStr">
        <is>
          <t>SÖDERMANLANDS LÄN</t>
        </is>
      </c>
      <c r="G178" t="inlineStr">
        <is>
          <t>NYKÖPING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46253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44440</v>
      </c>
      <c r="E180" s="1" t="n">
        <v>46253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46253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46253</v>
      </c>
      <c r="F182" t="inlineStr">
        <is>
          <t>SÖDERMANLANDS LÄN</t>
        </is>
      </c>
      <c r="G182" t="inlineStr">
        <is>
          <t>NYKÖPING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70791-2021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44536</v>
      </c>
      <c r="E183" s="1" t="n">
        <v>46253</v>
      </c>
      <c r="F183" t="inlineStr">
        <is>
          <t>SÖDERMANLANDS LÄN</t>
        </is>
      </c>
      <c r="G183" t="inlineStr">
        <is>
          <t>NYKÖPING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46253</v>
      </c>
      <c r="F184" t="inlineStr">
        <is>
          <t>SÖDERMANLANDS LÄN</t>
        </is>
      </c>
      <c r="G184" t="inlineStr">
        <is>
          <t>NYKÖPING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17541-2022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44679</v>
      </c>
      <c r="E185" s="1" t="n">
        <v>46253</v>
      </c>
      <c r="F185" t="inlineStr">
        <is>
          <t>SÖDERMANLANDS LÄN</t>
        </is>
      </c>
      <c r="G185" t="inlineStr">
        <is>
          <t>NYKÖPING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46253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44853</v>
      </c>
      <c r="E187" s="1" t="n">
        <v>46253</v>
      </c>
      <c r="F187" t="inlineStr">
        <is>
          <t>SÖDERMANLANDS LÄN</t>
        </is>
      </c>
      <c r="G187" t="inlineStr">
        <is>
          <t>NYKÖPING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46253</v>
      </c>
      <c r="F188" t="inlineStr">
        <is>
          <t>SÖDERMANLANDS LÄN</t>
        </is>
      </c>
      <c r="G188" t="inlineStr">
        <is>
          <t>NYKÖPING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46253</v>
      </c>
      <c r="F189" t="inlineStr">
        <is>
          <t>SÖDERMANLANDS LÄN</t>
        </is>
      </c>
      <c r="G189" t="inlineStr">
        <is>
          <t>NYKÖPING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46253</v>
      </c>
      <c r="F190" t="inlineStr">
        <is>
          <t>SÖDERMANLANDS LÄN</t>
        </is>
      </c>
      <c r="G190" t="inlineStr">
        <is>
          <t>NYKÖPING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71175-2021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44539</v>
      </c>
      <c r="E191" s="1" t="n">
        <v>46253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46253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Allmännings- och besparingsskogar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44652</v>
      </c>
      <c r="E193" s="1" t="n">
        <v>46253</v>
      </c>
      <c r="F193" t="inlineStr">
        <is>
          <t>SÖDERMANLANDS LÄN</t>
        </is>
      </c>
      <c r="G193" t="inlineStr">
        <is>
          <t>NYKÖPING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66860-2021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46253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46253</v>
      </c>
      <c r="F195" t="inlineStr">
        <is>
          <t>SÖDERMANLANDS LÄN</t>
        </is>
      </c>
      <c r="G195" t="inlineStr">
        <is>
          <t>NYKÖPING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66939-2021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46253</v>
      </c>
      <c r="F196" t="inlineStr">
        <is>
          <t>SÖDERMANLANDS LÄN</t>
        </is>
      </c>
      <c r="G196" t="inlineStr">
        <is>
          <t>NYKÖPING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46253</v>
      </c>
      <c r="F197" t="inlineStr">
        <is>
          <t>SÖDERMANLANDS LÄN</t>
        </is>
      </c>
      <c r="G197" t="inlineStr">
        <is>
          <t>NYKÖPING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69598-2021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46253</v>
      </c>
      <c r="F198" t="inlineStr">
        <is>
          <t>SÖDERMANLANDS LÄN</t>
        </is>
      </c>
      <c r="G198" t="inlineStr">
        <is>
          <t>NYKÖPING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69252-2021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46253</v>
      </c>
      <c r="F199" t="inlineStr">
        <is>
          <t>SÖDERMANLANDS LÄN</t>
        </is>
      </c>
      <c r="G199" t="inlineStr">
        <is>
          <t>NYKÖPING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44440</v>
      </c>
      <c r="E200" s="1" t="n">
        <v>46253</v>
      </c>
      <c r="F200" t="inlineStr">
        <is>
          <t>SÖDERMANLANDS LÄN</t>
        </is>
      </c>
      <c r="G200" t="inlineStr">
        <is>
          <t>NYKÖPING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71103-2021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44537</v>
      </c>
      <c r="E201" s="1" t="n">
        <v>46253</v>
      </c>
      <c r="F201" t="inlineStr">
        <is>
          <t>SÖDERMANLANDS LÄN</t>
        </is>
      </c>
      <c r="G201" t="inlineStr">
        <is>
          <t>NYKÖPING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23107-2022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44719</v>
      </c>
      <c r="E202" s="1" t="n">
        <v>46253</v>
      </c>
      <c r="F202" t="inlineStr">
        <is>
          <t>SÖDERMANLANDS LÄN</t>
        </is>
      </c>
      <c r="G202" t="inlineStr">
        <is>
          <t>NYKÖPING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46253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44813</v>
      </c>
      <c r="E204" s="1" t="n">
        <v>46253</v>
      </c>
      <c r="F204" t="inlineStr">
        <is>
          <t>SÖDERMANLANDS LÄN</t>
        </is>
      </c>
      <c r="G204" t="inlineStr">
        <is>
          <t>NYKÖPING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67825-2021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46253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52535-2021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44466</v>
      </c>
      <c r="E206" s="1" t="n">
        <v>46253</v>
      </c>
      <c r="F206" t="inlineStr">
        <is>
          <t>SÖDERMANLANDS LÄN</t>
        </is>
      </c>
      <c r="G206" t="inlineStr">
        <is>
          <t>NYKÖPING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44709</v>
      </c>
      <c r="E207" s="1" t="n">
        <v>46253</v>
      </c>
      <c r="F207" t="inlineStr">
        <is>
          <t>SÖDERMANLANDS LÄN</t>
        </is>
      </c>
      <c r="G207" t="inlineStr">
        <is>
          <t>NYKÖPING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44709</v>
      </c>
      <c r="E208" s="1" t="n">
        <v>46253</v>
      </c>
      <c r="F208" t="inlineStr">
        <is>
          <t>SÖDERMANLANDS LÄN</t>
        </is>
      </c>
      <c r="G208" t="inlineStr">
        <is>
          <t>NYKÖPING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71107-2021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46253</v>
      </c>
      <c r="F209" t="inlineStr">
        <is>
          <t>SÖDERMANLANDS LÄN</t>
        </is>
      </c>
      <c r="G209" t="inlineStr">
        <is>
          <t>NYKÖPING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44729</v>
      </c>
      <c r="E210" s="1" t="n">
        <v>46253</v>
      </c>
      <c r="F210" t="inlineStr">
        <is>
          <t>SÖDERMANLANDS LÄN</t>
        </is>
      </c>
      <c r="G210" t="inlineStr">
        <is>
          <t>NYKÖPING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44713</v>
      </c>
      <c r="E211" s="1" t="n">
        <v>46253</v>
      </c>
      <c r="F211" t="inlineStr">
        <is>
          <t>SÖDERMANLANDS LÄN</t>
        </is>
      </c>
      <c r="G211" t="inlineStr">
        <is>
          <t>NYKÖPING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55272-2021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44475</v>
      </c>
      <c r="E212" s="1" t="n">
        <v>46253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46828-2021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44446</v>
      </c>
      <c r="E213" s="1" t="n">
        <v>46253</v>
      </c>
      <c r="F213" t="inlineStr">
        <is>
          <t>SÖDERMANLANDS LÄN</t>
        </is>
      </c>
      <c r="G213" t="inlineStr">
        <is>
          <t>NYKÖPING</t>
        </is>
      </c>
      <c r="I213" t="n">
        <v>30.2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44627</v>
      </c>
      <c r="E214" s="1" t="n">
        <v>46253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63006-2021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44505</v>
      </c>
      <c r="E215" s="1" t="n">
        <v>46253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46253</v>
      </c>
      <c r="F216" t="inlineStr">
        <is>
          <t>SÖDERMANLANDS LÄN</t>
        </is>
      </c>
      <c r="G216" t="inlineStr">
        <is>
          <t>NYKÖPING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46253</v>
      </c>
      <c r="F217" t="inlineStr">
        <is>
          <t>SÖDERMANLANDS LÄN</t>
        </is>
      </c>
      <c r="G217" t="inlineStr">
        <is>
          <t>NYKÖPING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45008</v>
      </c>
      <c r="E218" s="1" t="n">
        <v>46253</v>
      </c>
      <c r="F218" t="inlineStr">
        <is>
          <t>SÖDERMANLANDS LÄN</t>
        </is>
      </c>
      <c r="G218" t="inlineStr">
        <is>
          <t>NYKÖPING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46253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50158-2022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44865</v>
      </c>
      <c r="E220" s="1" t="n">
        <v>46253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Holmen skog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46253</v>
      </c>
      <c r="F221" t="inlineStr">
        <is>
          <t>SÖDERMANLANDS LÄN</t>
        </is>
      </c>
      <c r="G221" t="inlineStr">
        <is>
          <t>NYKÖPING</t>
        </is>
      </c>
      <c r="I221" t="n">
        <v>10.9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45343</v>
      </c>
      <c r="E222" s="1" t="n">
        <v>46253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49223-2022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44858</v>
      </c>
      <c r="E223" s="1" t="n">
        <v>46253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Övriga statliga verk och myndigheter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44881</v>
      </c>
      <c r="E224" s="1" t="n">
        <v>46253</v>
      </c>
      <c r="F224" t="inlineStr">
        <is>
          <t>SÖDERMANLANDS LÄN</t>
        </is>
      </c>
      <c r="G224" t="inlineStr">
        <is>
          <t>NYKÖPING</t>
        </is>
      </c>
      <c r="I224" t="n">
        <v>16.2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42249-2022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44830</v>
      </c>
      <c r="E225" s="1" t="n">
        <v>46253</v>
      </c>
      <c r="F225" t="inlineStr">
        <is>
          <t>SÖDERMANLANDS LÄN</t>
        </is>
      </c>
      <c r="G225" t="inlineStr">
        <is>
          <t>NYKÖPING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45378</v>
      </c>
      <c r="E226" s="1" t="n">
        <v>46253</v>
      </c>
      <c r="F226" t="inlineStr">
        <is>
          <t>SÖDERMANLANDS LÄN</t>
        </is>
      </c>
      <c r="G226" t="inlineStr">
        <is>
          <t>NYKÖPING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46253</v>
      </c>
      <c r="F227" t="inlineStr">
        <is>
          <t>SÖDERMANLANDS LÄN</t>
        </is>
      </c>
      <c r="G227" t="inlineStr">
        <is>
          <t>NYKÖPING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41137-2022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46253</v>
      </c>
      <c r="F228" t="inlineStr">
        <is>
          <t>SÖDERMANLANDS LÄN</t>
        </is>
      </c>
      <c r="G228" t="inlineStr">
        <is>
          <t>NYKÖPING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45441</v>
      </c>
      <c r="E229" s="1" t="n">
        <v>46253</v>
      </c>
      <c r="F229" t="inlineStr">
        <is>
          <t>SÖDERMANLANDS LÄN</t>
        </is>
      </c>
      <c r="G229" t="inlineStr">
        <is>
          <t>NYKÖPING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14930-2024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45398</v>
      </c>
      <c r="E230" s="1" t="n">
        <v>46253</v>
      </c>
      <c r="F230" t="inlineStr">
        <is>
          <t>SÖDERMANLANDS LÄN</t>
        </is>
      </c>
      <c r="G230" t="inlineStr">
        <is>
          <t>NYKÖPING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44846</v>
      </c>
      <c r="E231" s="1" t="n">
        <v>46253</v>
      </c>
      <c r="F231" t="inlineStr">
        <is>
          <t>SÖDERMANLANDS LÄN</t>
        </is>
      </c>
      <c r="G231" t="inlineStr">
        <is>
          <t>NYKÖPING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45224</v>
      </c>
      <c r="E232" s="1" t="n">
        <v>46253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45224</v>
      </c>
      <c r="E233" s="1" t="n">
        <v>46253</v>
      </c>
      <c r="F233" t="inlineStr">
        <is>
          <t>SÖDERMANLANDS LÄN</t>
        </is>
      </c>
      <c r="G233" t="inlineStr">
        <is>
          <t>NYKÖPING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65172-2023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45288</v>
      </c>
      <c r="E234" s="1" t="n">
        <v>46253</v>
      </c>
      <c r="F234" t="inlineStr">
        <is>
          <t>SÖDERMANLANDS LÄN</t>
        </is>
      </c>
      <c r="G234" t="inlineStr">
        <is>
          <t>NYKÖPING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44433</v>
      </c>
      <c r="E235" s="1" t="n">
        <v>46253</v>
      </c>
      <c r="F235" t="inlineStr">
        <is>
          <t>SÖDERMANLANDS LÄN</t>
        </is>
      </c>
      <c r="G235" t="inlineStr">
        <is>
          <t>NYKÖPING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46253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65923-2021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44517</v>
      </c>
      <c r="E237" s="1" t="n">
        <v>46253</v>
      </c>
      <c r="F237" t="inlineStr">
        <is>
          <t>SÖDERMANLANDS LÄN</t>
        </is>
      </c>
      <c r="G237" t="inlineStr">
        <is>
          <t>NYKÖPING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46253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42971-2021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44430</v>
      </c>
      <c r="E239" s="1" t="n">
        <v>46253</v>
      </c>
      <c r="F239" t="inlineStr">
        <is>
          <t>SÖDERMANLANDS LÄN</t>
        </is>
      </c>
      <c r="G239" t="inlineStr">
        <is>
          <t>NYKÖPING</t>
        </is>
      </c>
      <c r="I239" t="n">
        <v>9.4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46253</v>
      </c>
      <c r="F240" t="inlineStr">
        <is>
          <t>SÖDERMANLANDS LÄN</t>
        </is>
      </c>
      <c r="G240" t="inlineStr">
        <is>
          <t>NYKÖPING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45258</v>
      </c>
      <c r="E241" s="1" t="n">
        <v>46253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46253</v>
      </c>
      <c r="F242" t="inlineStr">
        <is>
          <t>SÖDERMANLANDS LÄN</t>
        </is>
      </c>
      <c r="G242" t="inlineStr">
        <is>
          <t>NYKÖPING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48709-2022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44859</v>
      </c>
      <c r="E243" s="1" t="n">
        <v>46253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45359</v>
      </c>
      <c r="E244" s="1" t="n">
        <v>46253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44812</v>
      </c>
      <c r="E245" s="1" t="n">
        <v>46253</v>
      </c>
      <c r="F245" t="inlineStr">
        <is>
          <t>SÖDERMANLANDS LÄN</t>
        </is>
      </c>
      <c r="G245" t="inlineStr">
        <is>
          <t>NYKÖPING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44837</v>
      </c>
      <c r="E246" s="1" t="n">
        <v>46253</v>
      </c>
      <c r="F246" t="inlineStr">
        <is>
          <t>SÖDERMANLANDS LÄN</t>
        </is>
      </c>
      <c r="G246" t="inlineStr">
        <is>
          <t>NYKÖPING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46253</v>
      </c>
      <c r="F247" t="inlineStr">
        <is>
          <t>SÖDERMANLANDS LÄN</t>
        </is>
      </c>
      <c r="G247" t="inlineStr">
        <is>
          <t>NYKÖPING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45518</v>
      </c>
      <c r="E248" s="1" t="n">
        <v>46253</v>
      </c>
      <c r="F248" t="inlineStr">
        <is>
          <t>SÖDERMANLANDS LÄN</t>
        </is>
      </c>
      <c r="G248" t="inlineStr">
        <is>
          <t>NYKÖPING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48819-2021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44452</v>
      </c>
      <c r="E249" s="1" t="n">
        <v>46253</v>
      </c>
      <c r="F249" t="inlineStr">
        <is>
          <t>SÖDERMANLANDS LÄN</t>
        </is>
      </c>
      <c r="G249" t="inlineStr">
        <is>
          <t>NYKÖPING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55983-2021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44477</v>
      </c>
      <c r="E250" s="1" t="n">
        <v>46253</v>
      </c>
      <c r="F250" t="inlineStr">
        <is>
          <t>SÖDERMANLANDS LÄN</t>
        </is>
      </c>
      <c r="G250" t="inlineStr">
        <is>
          <t>NYKÖPING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44938</v>
      </c>
      <c r="E251" s="1" t="n">
        <v>46253</v>
      </c>
      <c r="F251" t="inlineStr">
        <is>
          <t>SÖDERMANLANDS LÄN</t>
        </is>
      </c>
      <c r="G251" t="inlineStr">
        <is>
          <t>NYKÖPING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59733-2021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44494</v>
      </c>
      <c r="E252" s="1" t="n">
        <v>46253</v>
      </c>
      <c r="F252" t="inlineStr">
        <is>
          <t>SÖDERMANLANDS LÄN</t>
        </is>
      </c>
      <c r="G252" t="inlineStr">
        <is>
          <t>NYKÖPING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46253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Sveaskog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68401-2021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46253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16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70749-2021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44536</v>
      </c>
      <c r="E255" s="1" t="n">
        <v>46253</v>
      </c>
      <c r="F255" t="inlineStr">
        <is>
          <t>SÖDERMANLANDS LÄN</t>
        </is>
      </c>
      <c r="G255" t="inlineStr">
        <is>
          <t>NYKÖPING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46253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Sveaskog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44936</v>
      </c>
      <c r="E257" s="1" t="n">
        <v>46253</v>
      </c>
      <c r="F257" t="inlineStr">
        <is>
          <t>SÖDERMANLANDS LÄN</t>
        </is>
      </c>
      <c r="G257" t="inlineStr">
        <is>
          <t>NYKÖPING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44978</v>
      </c>
      <c r="E258" s="1" t="n">
        <v>46253</v>
      </c>
      <c r="F258" t="inlineStr">
        <is>
          <t>SÖDERMANLANDS LÄN</t>
        </is>
      </c>
      <c r="G258" t="inlineStr">
        <is>
          <t>NYKÖPING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46253</v>
      </c>
      <c r="F259" t="inlineStr">
        <is>
          <t>SÖDERMANLANDS LÄN</t>
        </is>
      </c>
      <c r="G259" t="inlineStr">
        <is>
          <t>NYKÖPING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45352</v>
      </c>
      <c r="E260" s="1" t="n">
        <v>46253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45352</v>
      </c>
      <c r="E261" s="1" t="n">
        <v>46253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Kommuner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56268-2022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44890</v>
      </c>
      <c r="E262" s="1" t="n">
        <v>46253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Övriga Aktiebolag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46253</v>
      </c>
      <c r="F263" t="inlineStr">
        <is>
          <t>SÖDERMANLANDS LÄN</t>
        </is>
      </c>
      <c r="G263" t="inlineStr">
        <is>
          <t>NYKÖPING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43359-2021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44432</v>
      </c>
      <c r="E264" s="1" t="n">
        <v>46253</v>
      </c>
      <c r="F264" t="inlineStr">
        <is>
          <t>SÖDERMANLANDS LÄN</t>
        </is>
      </c>
      <c r="G264" t="inlineStr">
        <is>
          <t>NYKÖPING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14257-2024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45393</v>
      </c>
      <c r="E265" s="1" t="n">
        <v>46253</v>
      </c>
      <c r="F265" t="inlineStr">
        <is>
          <t>SÖDERMANLANDS LÄN</t>
        </is>
      </c>
      <c r="G265" t="inlineStr">
        <is>
          <t>NYKÖPING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61007-2021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44497</v>
      </c>
      <c r="E266" s="1" t="n">
        <v>46253</v>
      </c>
      <c r="F266" t="inlineStr">
        <is>
          <t>SÖDERMANLANDS LÄN</t>
        </is>
      </c>
      <c r="G266" t="inlineStr">
        <is>
          <t>NYKÖPING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46253</v>
      </c>
      <c r="F267" t="inlineStr">
        <is>
          <t>SÖDERMANLANDS LÄN</t>
        </is>
      </c>
      <c r="G267" t="inlineStr">
        <is>
          <t>NYKÖPING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44992</v>
      </c>
      <c r="E268" s="1" t="n">
        <v>46253</v>
      </c>
      <c r="F268" t="inlineStr">
        <is>
          <t>SÖDERMANLANDS LÄN</t>
        </is>
      </c>
      <c r="G268" t="inlineStr">
        <is>
          <t>NYKÖPING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68041-2021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44525</v>
      </c>
      <c r="E269" s="1" t="n">
        <v>46253</v>
      </c>
      <c r="F269" t="inlineStr">
        <is>
          <t>SÖDERMANLANDS LÄN</t>
        </is>
      </c>
      <c r="G269" t="inlineStr">
        <is>
          <t>NYKÖPING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45044</v>
      </c>
      <c r="E270" s="1" t="n">
        <v>46253</v>
      </c>
      <c r="F270" t="inlineStr">
        <is>
          <t>SÖDERMANLANDS LÄN</t>
        </is>
      </c>
      <c r="G270" t="inlineStr">
        <is>
          <t>NYKÖPING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68024-2021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44525</v>
      </c>
      <c r="E271" s="1" t="n">
        <v>46253</v>
      </c>
      <c r="F271" t="inlineStr">
        <is>
          <t>SÖDERMANLANDS LÄN</t>
        </is>
      </c>
      <c r="G271" t="inlineStr">
        <is>
          <t>NYKÖPING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68030-2021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44525</v>
      </c>
      <c r="E272" s="1" t="n">
        <v>46253</v>
      </c>
      <c r="F272" t="inlineStr">
        <is>
          <t>SÖDERMANLANDS LÄN</t>
        </is>
      </c>
      <c r="G272" t="inlineStr">
        <is>
          <t>NYKÖPING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45056</v>
      </c>
      <c r="E273" s="1" t="n">
        <v>46253</v>
      </c>
      <c r="F273" t="inlineStr">
        <is>
          <t>SÖDERMANLANDS LÄN</t>
        </is>
      </c>
      <c r="G273" t="inlineStr">
        <is>
          <t>NYKÖPING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45537</v>
      </c>
      <c r="E274" s="1" t="n">
        <v>46253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Kommuner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46253</v>
      </c>
      <c r="F275" t="inlineStr">
        <is>
          <t>SÖDERMANLANDS LÄN</t>
        </is>
      </c>
      <c r="G275" t="inlineStr">
        <is>
          <t>NYKÖPING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45856-2021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44433</v>
      </c>
      <c r="E276" s="1" t="n">
        <v>46253</v>
      </c>
      <c r="F276" t="inlineStr">
        <is>
          <t>SÖDERMANLANDS LÄN</t>
        </is>
      </c>
      <c r="G276" t="inlineStr">
        <is>
          <t>NYKÖPING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46253</v>
      </c>
      <c r="F277" t="inlineStr">
        <is>
          <t>SÖDERMANLANDS LÄN</t>
        </is>
      </c>
      <c r="G277" t="inlineStr">
        <is>
          <t>NYKÖPING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45005</v>
      </c>
      <c r="E278" s="1" t="n">
        <v>46253</v>
      </c>
      <c r="F278" t="inlineStr">
        <is>
          <t>SÖDERMANLANDS LÄN</t>
        </is>
      </c>
      <c r="G278" t="inlineStr">
        <is>
          <t>NYKÖPING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12844-2025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45733</v>
      </c>
      <c r="E279" s="1" t="n">
        <v>46253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46253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44938</v>
      </c>
      <c r="E281" s="1" t="n">
        <v>46253</v>
      </c>
      <c r="F281" t="inlineStr">
        <is>
          <t>SÖDERMANLANDS LÄN</t>
        </is>
      </c>
      <c r="G281" t="inlineStr">
        <is>
          <t>NYKÖPING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45817</v>
      </c>
      <c r="E282" s="1" t="n">
        <v>46253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45817</v>
      </c>
      <c r="E283" s="1" t="n">
        <v>46253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46253</v>
      </c>
      <c r="F284" t="inlineStr">
        <is>
          <t>SÖDERMANLANDS LÄN</t>
        </is>
      </c>
      <c r="G284" t="inlineStr">
        <is>
          <t>NYKÖPING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46253</v>
      </c>
      <c r="F285" t="inlineStr">
        <is>
          <t>SÖDERMANLANDS LÄN</t>
        </is>
      </c>
      <c r="G285" t="inlineStr">
        <is>
          <t>NYKÖPING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46253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9842-2022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44620</v>
      </c>
      <c r="E287" s="1" t="n">
        <v>46253</v>
      </c>
      <c r="F287" t="inlineStr">
        <is>
          <t>SÖDERMANLANDS LÄN</t>
        </is>
      </c>
      <c r="G287" t="inlineStr">
        <is>
          <t>NYKÖPING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46253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46041</v>
      </c>
      <c r="E289" s="1" t="n">
        <v>46253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10955-2024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45370</v>
      </c>
      <c r="E290" s="1" t="n">
        <v>46253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Kommuner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45546</v>
      </c>
      <c r="E291" s="1" t="n">
        <v>46253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59159-2022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46253</v>
      </c>
      <c r="F292" t="inlineStr">
        <is>
          <t>SÖDERMANLANDS LÄN</t>
        </is>
      </c>
      <c r="G292" t="inlineStr">
        <is>
          <t>NYKÖPING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45261</v>
      </c>
      <c r="E293" s="1" t="n">
        <v>46253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45743</v>
      </c>
      <c r="E294" s="1" t="n">
        <v>46253</v>
      </c>
      <c r="F294" t="inlineStr">
        <is>
          <t>SÖDERMANLANDS LÄN</t>
        </is>
      </c>
      <c r="G294" t="inlineStr">
        <is>
          <t>NYKÖPING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71115-2021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44537</v>
      </c>
      <c r="E295" s="1" t="n">
        <v>46253</v>
      </c>
      <c r="F295" t="inlineStr">
        <is>
          <t>SÖDERMANLANDS LÄN</t>
        </is>
      </c>
      <c r="G295" t="inlineStr">
        <is>
          <t>NYKÖPING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44957</v>
      </c>
      <c r="E296" s="1" t="n">
        <v>46253</v>
      </c>
      <c r="F296" t="inlineStr">
        <is>
          <t>SÖDERMANLANDS LÄN</t>
        </is>
      </c>
      <c r="G296" t="inlineStr">
        <is>
          <t>NYKÖPING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44911</v>
      </c>
      <c r="E297" s="1" t="n">
        <v>46253</v>
      </c>
      <c r="F297" t="inlineStr">
        <is>
          <t>SÖDERMANLANDS LÄN</t>
        </is>
      </c>
      <c r="G297" t="inlineStr">
        <is>
          <t>NYKÖPING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46050</v>
      </c>
      <c r="E298" s="1" t="n">
        <v>46253</v>
      </c>
      <c r="F298" t="inlineStr">
        <is>
          <t>SÖDERMANLANDS LÄN</t>
        </is>
      </c>
      <c r="G298" t="inlineStr">
        <is>
          <t>NYKÖPING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46253</v>
      </c>
      <c r="F299" t="inlineStr">
        <is>
          <t>SÖDERMANLANDS LÄN</t>
        </is>
      </c>
      <c r="G299" t="inlineStr">
        <is>
          <t>NYKÖPING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46253</v>
      </c>
      <c r="F300" t="inlineStr">
        <is>
          <t>SÖDERMANLANDS LÄN</t>
        </is>
      </c>
      <c r="G300" t="inlineStr">
        <is>
          <t>NYKÖPING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46253</v>
      </c>
      <c r="F301" t="inlineStr">
        <is>
          <t>SÖDERMANLANDS LÄN</t>
        </is>
      </c>
      <c r="G301" t="inlineStr">
        <is>
          <t>NYKÖPING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45051</v>
      </c>
      <c r="E302" s="1" t="n">
        <v>46253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2668-2023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44944</v>
      </c>
      <c r="E303" s="1" t="n">
        <v>46253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Sveaskog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46253</v>
      </c>
      <c r="F304" t="inlineStr">
        <is>
          <t>SÖDERMANLANDS LÄN</t>
        </is>
      </c>
      <c r="G304" t="inlineStr">
        <is>
          <t>NYKÖPING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46253</v>
      </c>
      <c r="F305" t="inlineStr">
        <is>
          <t>SÖDERMANLANDS LÄN</t>
        </is>
      </c>
      <c r="G305" t="inlineStr">
        <is>
          <t>NYKÖPING</t>
        </is>
      </c>
      <c r="I305" t="n">
        <v>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46253</v>
      </c>
      <c r="F306" t="inlineStr">
        <is>
          <t>SÖDERMANLANDS LÄN</t>
        </is>
      </c>
      <c r="G306" t="inlineStr">
        <is>
          <t>NYKÖPING</t>
        </is>
      </c>
      <c r="I306" t="n">
        <v>6.9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45702</v>
      </c>
      <c r="E307" s="1" t="n">
        <v>46253</v>
      </c>
      <c r="F307" t="inlineStr">
        <is>
          <t>SÖDERMANLANDS LÄN</t>
        </is>
      </c>
      <c r="G307" t="inlineStr">
        <is>
          <t>NYKÖPING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55312-2021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44475</v>
      </c>
      <c r="E308" s="1" t="n">
        <v>46253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46253</v>
      </c>
      <c r="F309" t="inlineStr">
        <is>
          <t>SÖDERMANLANDS LÄN</t>
        </is>
      </c>
      <c r="G309" t="inlineStr">
        <is>
          <t>NYKÖPING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31034-2025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45831</v>
      </c>
      <c r="E310" s="1" t="n">
        <v>46253</v>
      </c>
      <c r="F310" t="inlineStr">
        <is>
          <t>SÖDERMANLANDS LÄN</t>
        </is>
      </c>
      <c r="G310" t="inlineStr">
        <is>
          <t>NYKÖPING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46253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45854</v>
      </c>
      <c r="E312" s="1" t="n">
        <v>46253</v>
      </c>
      <c r="F312" t="inlineStr">
        <is>
          <t>SÖDERMANLANDS LÄN</t>
        </is>
      </c>
      <c r="G312" t="inlineStr">
        <is>
          <t>NYKÖPING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46253</v>
      </c>
      <c r="F313" t="inlineStr">
        <is>
          <t>SÖDERMANLANDS LÄN</t>
        </is>
      </c>
      <c r="G313" t="inlineStr">
        <is>
          <t>NYKÖPING</t>
        </is>
      </c>
      <c r="I313" t="n">
        <v>15.2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32837-2022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44784</v>
      </c>
      <c r="E314" s="1" t="n">
        <v>46253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Kommuner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45218</v>
      </c>
      <c r="E315" s="1" t="n">
        <v>46253</v>
      </c>
      <c r="F315" t="inlineStr">
        <is>
          <t>SÖDERMANLANDS LÄN</t>
        </is>
      </c>
      <c r="G315" t="inlineStr">
        <is>
          <t>NYKÖPING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45072</v>
      </c>
      <c r="E316" s="1" t="n">
        <v>46253</v>
      </c>
      <c r="F316" t="inlineStr">
        <is>
          <t>SÖDERMANLANDS LÄN</t>
        </is>
      </c>
      <c r="G316" t="inlineStr">
        <is>
          <t>NYKÖPING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46253</v>
      </c>
      <c r="F317" t="inlineStr">
        <is>
          <t>SÖDERMANLANDS LÄN</t>
        </is>
      </c>
      <c r="G317" t="inlineStr">
        <is>
          <t>NYKÖPING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46253</v>
      </c>
      <c r="F318" t="inlineStr">
        <is>
          <t>SÖDERMANLANDS LÄN</t>
        </is>
      </c>
      <c r="G318" t="inlineStr">
        <is>
          <t>NYKÖPING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44992</v>
      </c>
      <c r="E319" s="1" t="n">
        <v>46253</v>
      </c>
      <c r="F319" t="inlineStr">
        <is>
          <t>SÖDERMANLANDS LÄN</t>
        </is>
      </c>
      <c r="G319" t="inlineStr">
        <is>
          <t>NYKÖPING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46253</v>
      </c>
      <c r="F320" t="inlineStr">
        <is>
          <t>SÖDERMANLANDS LÄN</t>
        </is>
      </c>
      <c r="G320" t="inlineStr">
        <is>
          <t>NYKÖPING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31923-2025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45834</v>
      </c>
      <c r="E321" s="1" t="n">
        <v>46253</v>
      </c>
      <c r="F321" t="inlineStr">
        <is>
          <t>SÖDERMANLANDS LÄN</t>
        </is>
      </c>
      <c r="G321" t="inlineStr">
        <is>
          <t>NYKÖPING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46253</v>
      </c>
      <c r="F322" t="inlineStr">
        <is>
          <t>SÖDERMANLANDS LÄN</t>
        </is>
      </c>
      <c r="G322" t="inlineStr">
        <is>
          <t>NYKÖPING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46253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45603</v>
      </c>
      <c r="E324" s="1" t="n">
        <v>46253</v>
      </c>
      <c r="F324" t="inlineStr">
        <is>
          <t>SÖDERMANLANDS LÄN</t>
        </is>
      </c>
      <c r="G324" t="inlineStr">
        <is>
          <t>NYKÖPING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46253</v>
      </c>
      <c r="F325" t="inlineStr">
        <is>
          <t>SÖDERMANLANDS LÄN</t>
        </is>
      </c>
      <c r="G325" t="inlineStr">
        <is>
          <t>NYKÖPING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31922-2025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45834</v>
      </c>
      <c r="E326" s="1" t="n">
        <v>46253</v>
      </c>
      <c r="F326" t="inlineStr">
        <is>
          <t>SÖDERMANLANDS LÄN</t>
        </is>
      </c>
      <c r="G326" t="inlineStr">
        <is>
          <t>NYKÖPING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45834</v>
      </c>
      <c r="E327" s="1" t="n">
        <v>46253</v>
      </c>
      <c r="F327" t="inlineStr">
        <is>
          <t>SÖDERMANLANDS LÄN</t>
        </is>
      </c>
      <c r="G327" t="inlineStr">
        <is>
          <t>NYKÖPING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58857-2021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44489</v>
      </c>
      <c r="E328" s="1" t="n">
        <v>46253</v>
      </c>
      <c r="F328" t="inlineStr">
        <is>
          <t>SÖDERMANLANDS LÄN</t>
        </is>
      </c>
      <c r="G328" t="inlineStr">
        <is>
          <t>NYKÖPING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9434-2026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46253</v>
      </c>
      <c r="F329" t="inlineStr">
        <is>
          <t>SÖDERMANLANDS LÄN</t>
        </is>
      </c>
      <c r="G329" t="inlineStr">
        <is>
          <t>NYKÖPING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46253</v>
      </c>
      <c r="F330" t="inlineStr">
        <is>
          <t>SÖDERMANLANDS LÄN</t>
        </is>
      </c>
      <c r="G330" t="inlineStr">
        <is>
          <t>NYKÖPING</t>
        </is>
      </c>
      <c r="I330" t="n">
        <v>10.3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46253</v>
      </c>
      <c r="F331" t="inlineStr">
        <is>
          <t>SÖDERMANLANDS LÄN</t>
        </is>
      </c>
      <c r="G331" t="inlineStr">
        <is>
          <t>NYKÖPING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44990</v>
      </c>
      <c r="E332" s="1" t="n">
        <v>46253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Allmännings- och besparingsskogar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46253</v>
      </c>
      <c r="F333" t="inlineStr">
        <is>
          <t>SÖDERMANLANDS LÄN</t>
        </is>
      </c>
      <c r="G333" t="inlineStr">
        <is>
          <t>NYKÖPING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45712</v>
      </c>
      <c r="E334" s="1" t="n">
        <v>46253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46253</v>
      </c>
      <c r="F335" t="inlineStr">
        <is>
          <t>SÖDERMANLANDS LÄN</t>
        </is>
      </c>
      <c r="G335" t="inlineStr">
        <is>
          <t>NYKÖPING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46253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16072-2023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45027</v>
      </c>
      <c r="E337" s="1" t="n">
        <v>46253</v>
      </c>
      <c r="F337" t="inlineStr">
        <is>
          <t>SÖDERMANLANDS LÄN</t>
        </is>
      </c>
      <c r="G337" t="inlineStr">
        <is>
          <t>NYKÖPING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27975-2022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44744</v>
      </c>
      <c r="E338" s="1" t="n">
        <v>46253</v>
      </c>
      <c r="F338" t="inlineStr">
        <is>
          <t>SÖDERMANLANDS LÄN</t>
        </is>
      </c>
      <c r="G338" t="inlineStr">
        <is>
          <t>NYKÖPING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46253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44893</v>
      </c>
      <c r="E340" s="1" t="n">
        <v>46253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Övriga Aktiebolag</t>
        </is>
      </c>
      <c r="I340" t="n">
        <v>10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46253</v>
      </c>
      <c r="F341" t="inlineStr">
        <is>
          <t>SÖDERMANLANDS LÄN</t>
        </is>
      </c>
      <c r="G341" t="inlineStr">
        <is>
          <t>NYKÖPING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45365</v>
      </c>
      <c r="E342" s="1" t="n">
        <v>46253</v>
      </c>
      <c r="F342" t="inlineStr">
        <is>
          <t>SÖDERMANLANDS LÄN</t>
        </is>
      </c>
      <c r="G342" t="inlineStr">
        <is>
          <t>NYKÖPING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46253</v>
      </c>
      <c r="F343" t="inlineStr">
        <is>
          <t>SÖDERMANLANDS LÄN</t>
        </is>
      </c>
      <c r="G343" t="inlineStr">
        <is>
          <t>NYKÖPING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46253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51689-2021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44462</v>
      </c>
      <c r="E345" s="1" t="n">
        <v>46253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44236-2025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46253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46253</v>
      </c>
      <c r="F347" t="inlineStr">
        <is>
          <t>SÖDERMANLANDS LÄN</t>
        </is>
      </c>
      <c r="G347" t="inlineStr">
        <is>
          <t>NYKÖPING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56228-2024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45624</v>
      </c>
      <c r="E348" s="1" t="n">
        <v>46253</v>
      </c>
      <c r="F348" t="inlineStr">
        <is>
          <t>SÖDERMANLANDS LÄN</t>
        </is>
      </c>
      <c r="G348" t="inlineStr">
        <is>
          <t>NYKÖPING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46253</v>
      </c>
      <c r="F349" t="inlineStr">
        <is>
          <t>SÖDERMANLANDS LÄN</t>
        </is>
      </c>
      <c r="G349" t="inlineStr">
        <is>
          <t>NYKÖPING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46253</v>
      </c>
      <c r="F350" t="inlineStr">
        <is>
          <t>SÖDERMANLANDS LÄN</t>
        </is>
      </c>
      <c r="G350" t="inlineStr">
        <is>
          <t>NYKÖPING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46253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49494-2021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44454</v>
      </c>
      <c r="E352" s="1" t="n">
        <v>46253</v>
      </c>
      <c r="F352" t="inlineStr">
        <is>
          <t>SÖDERMANLANDS LÄN</t>
        </is>
      </c>
      <c r="G352" t="inlineStr">
        <is>
          <t>NYKÖPING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46253</v>
      </c>
      <c r="F353" t="inlineStr">
        <is>
          <t>SÖDERMANLANDS LÄN</t>
        </is>
      </c>
      <c r="G353" t="inlineStr">
        <is>
          <t>NYKÖPING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6392-2023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44965</v>
      </c>
      <c r="E354" s="1" t="n">
        <v>46253</v>
      </c>
      <c r="F354" t="inlineStr">
        <is>
          <t>SÖDERMANLANDS LÄN</t>
        </is>
      </c>
      <c r="G354" t="inlineStr">
        <is>
          <t>NYKÖPING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45037</v>
      </c>
      <c r="E355" s="1" t="n">
        <v>46253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Sveaskog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6519-2023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44965</v>
      </c>
      <c r="E356" s="1" t="n">
        <v>46253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Kyrkan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10687-2023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44988</v>
      </c>
      <c r="E357" s="1" t="n">
        <v>46253</v>
      </c>
      <c r="F357" t="inlineStr">
        <is>
          <t>SÖDERMANLANDS LÄN</t>
        </is>
      </c>
      <c r="G357" t="inlineStr">
        <is>
          <t>NYKÖPING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46253</v>
      </c>
      <c r="F358" t="inlineStr">
        <is>
          <t>SÖDERMANLANDS LÄN</t>
        </is>
      </c>
      <c r="G358" t="inlineStr">
        <is>
          <t>NYKÖPING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46253</v>
      </c>
      <c r="F359" t="inlineStr">
        <is>
          <t>SÖDERMANLANDS LÄN</t>
        </is>
      </c>
      <c r="G359" t="inlineStr">
        <is>
          <t>NYKÖPING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17315-2024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45414</v>
      </c>
      <c r="E360" s="1" t="n">
        <v>46253</v>
      </c>
      <c r="F360" t="inlineStr">
        <is>
          <t>SÖDERMANLANDS LÄN</t>
        </is>
      </c>
      <c r="G360" t="inlineStr">
        <is>
          <t>NYKÖPING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35019-2023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45143</v>
      </c>
      <c r="E361" s="1" t="n">
        <v>46253</v>
      </c>
      <c r="F361" t="inlineStr">
        <is>
          <t>SÖDERMANLANDS LÄN</t>
        </is>
      </c>
      <c r="G361" t="inlineStr">
        <is>
          <t>NYKÖPING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45842</v>
      </c>
      <c r="E362" s="1" t="n">
        <v>46253</v>
      </c>
      <c r="F362" t="inlineStr">
        <is>
          <t>SÖDERMANLANDS LÄN</t>
        </is>
      </c>
      <c r="G362" t="inlineStr">
        <is>
          <t>NYKÖPING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46253</v>
      </c>
      <c r="F363" t="inlineStr">
        <is>
          <t>SÖDERMANLANDS LÄN</t>
        </is>
      </c>
      <c r="G363" t="inlineStr">
        <is>
          <t>NYKÖPING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45842</v>
      </c>
      <c r="E364" s="1" t="n">
        <v>46253</v>
      </c>
      <c r="F364" t="inlineStr">
        <is>
          <t>SÖDERMANLANDS LÄN</t>
        </is>
      </c>
      <c r="G364" t="inlineStr">
        <is>
          <t>NYKÖPING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45112</v>
      </c>
      <c r="E365" s="1" t="n">
        <v>46253</v>
      </c>
      <c r="F365" t="inlineStr">
        <is>
          <t>SÖDERMANLANDS LÄN</t>
        </is>
      </c>
      <c r="G365" t="inlineStr">
        <is>
          <t>NYKÖPING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46253</v>
      </c>
      <c r="F366" t="inlineStr">
        <is>
          <t>SÖDERMANLANDS LÄN</t>
        </is>
      </c>
      <c r="G366" t="inlineStr">
        <is>
          <t>NYKÖPING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46253</v>
      </c>
      <c r="F367" t="inlineStr">
        <is>
          <t>SÖDERMANLANDS LÄN</t>
        </is>
      </c>
      <c r="G367" t="inlineStr">
        <is>
          <t>NYKÖPING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46253</v>
      </c>
      <c r="F368" t="inlineStr">
        <is>
          <t>SÖDERMANLANDS LÄN</t>
        </is>
      </c>
      <c r="G368" t="inlineStr">
        <is>
          <t>NYKÖPING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17234-2022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44678</v>
      </c>
      <c r="E369" s="1" t="n">
        <v>46253</v>
      </c>
      <c r="F369" t="inlineStr">
        <is>
          <t>SÖDERMANLANDS LÄN</t>
        </is>
      </c>
      <c r="G369" t="inlineStr">
        <is>
          <t>NYKÖPING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45033</v>
      </c>
      <c r="E370" s="1" t="n">
        <v>46253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Holmen skog AB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46253</v>
      </c>
      <c r="F371" t="inlineStr">
        <is>
          <t>SÖDERMANLANDS LÄN</t>
        </is>
      </c>
      <c r="G371" t="inlineStr">
        <is>
          <t>NYKÖPING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59613-2021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44491</v>
      </c>
      <c r="E372" s="1" t="n">
        <v>46253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Övriga Aktiebolag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46253</v>
      </c>
      <c r="F373" t="inlineStr">
        <is>
          <t>SÖDERMANLANDS LÄN</t>
        </is>
      </c>
      <c r="G373" t="inlineStr">
        <is>
          <t>NYKÖPING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46253</v>
      </c>
      <c r="F374" t="inlineStr">
        <is>
          <t>SÖDERMANLANDS LÄN</t>
        </is>
      </c>
      <c r="G374" t="inlineStr">
        <is>
          <t>NYKÖPING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45844</v>
      </c>
      <c r="E375" s="1" t="n">
        <v>46253</v>
      </c>
      <c r="F375" t="inlineStr">
        <is>
          <t>SÖDERMANLANDS LÄN</t>
        </is>
      </c>
      <c r="G375" t="inlineStr">
        <is>
          <t>NYKÖPING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21987-2024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45443</v>
      </c>
      <c r="E376" s="1" t="n">
        <v>46253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44733</v>
      </c>
      <c r="E377" s="1" t="n">
        <v>46253</v>
      </c>
      <c r="F377" t="inlineStr">
        <is>
          <t>SÖDERMANLANDS LÄN</t>
        </is>
      </c>
      <c r="G377" t="inlineStr">
        <is>
          <t>NYKÖPING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45210</v>
      </c>
      <c r="E378" s="1" t="n">
        <v>46253</v>
      </c>
      <c r="F378" t="inlineStr">
        <is>
          <t>SÖDERMANLANDS LÄN</t>
        </is>
      </c>
      <c r="G378" t="inlineStr">
        <is>
          <t>NYKÖPING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45855</v>
      </c>
      <c r="E379" s="1" t="n">
        <v>46253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35415-2025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45855</v>
      </c>
      <c r="E380" s="1" t="n">
        <v>46253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24631-2022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44727</v>
      </c>
      <c r="E381" s="1" t="n">
        <v>46253</v>
      </c>
      <c r="F381" t="inlineStr">
        <is>
          <t>SÖDERMANLANDS LÄN</t>
        </is>
      </c>
      <c r="G381" t="inlineStr">
        <is>
          <t>NYKÖPING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46253</v>
      </c>
      <c r="F382" t="inlineStr">
        <is>
          <t>SÖDERMANLANDS LÄN</t>
        </is>
      </c>
      <c r="G382" t="inlineStr">
        <is>
          <t>NYKÖPING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46253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46253</v>
      </c>
      <c r="F384" t="inlineStr">
        <is>
          <t>SÖDERMANLANDS LÄN</t>
        </is>
      </c>
      <c r="G384" t="inlineStr">
        <is>
          <t>NYKÖPING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46100</v>
      </c>
      <c r="E385" s="1" t="n">
        <v>46253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Holmen skog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44740</v>
      </c>
      <c r="E386" s="1" t="n">
        <v>46253</v>
      </c>
      <c r="F386" t="inlineStr">
        <is>
          <t>SÖDERMANLANDS LÄN</t>
        </is>
      </c>
      <c r="G386" t="inlineStr">
        <is>
          <t>NYKÖPING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35467-2025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46253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45855</v>
      </c>
      <c r="E388" s="1" t="n">
        <v>46253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44977</v>
      </c>
      <c r="E389" s="1" t="n">
        <v>46253</v>
      </c>
      <c r="F389" t="inlineStr">
        <is>
          <t>SÖDERMANLANDS LÄN</t>
        </is>
      </c>
      <c r="G389" t="inlineStr">
        <is>
          <t>NYKÖPING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44676</v>
      </c>
      <c r="E390" s="1" t="n">
        <v>46253</v>
      </c>
      <c r="F390" t="inlineStr">
        <is>
          <t>SÖDERMANLANDS LÄN</t>
        </is>
      </c>
      <c r="G390" t="inlineStr">
        <is>
          <t>NYKÖPING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45737</v>
      </c>
      <c r="E391" s="1" t="n">
        <v>46253</v>
      </c>
      <c r="F391" t="inlineStr">
        <is>
          <t>SÖDERMANLANDS LÄN</t>
        </is>
      </c>
      <c r="G391" t="inlineStr">
        <is>
          <t>NYKÖPING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46253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3187-2022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44582</v>
      </c>
      <c r="E393" s="1" t="n">
        <v>46253</v>
      </c>
      <c r="F393" t="inlineStr">
        <is>
          <t>SÖDERMANLANDS LÄN</t>
        </is>
      </c>
      <c r="G393" t="inlineStr">
        <is>
          <t>NYKÖPING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52068-2023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45216</v>
      </c>
      <c r="E394" s="1" t="n">
        <v>46253</v>
      </c>
      <c r="F394" t="inlineStr">
        <is>
          <t>SÖDERMANLANDS LÄN</t>
        </is>
      </c>
      <c r="G394" t="inlineStr">
        <is>
          <t>NYKÖPING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38149-2024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45545</v>
      </c>
      <c r="E395" s="1" t="n">
        <v>46253</v>
      </c>
      <c r="F395" t="inlineStr">
        <is>
          <t>SÖDERMANLANDS LÄN</t>
        </is>
      </c>
      <c r="G395" t="inlineStr">
        <is>
          <t>NYKÖPING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46253</v>
      </c>
      <c r="F396" t="inlineStr">
        <is>
          <t>SÖDERMANLANDS LÄN</t>
        </is>
      </c>
      <c r="G396" t="inlineStr">
        <is>
          <t>NYKÖPING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48484-2022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46253</v>
      </c>
      <c r="F397" t="inlineStr">
        <is>
          <t>SÖDERMANLANDS LÄN</t>
        </is>
      </c>
      <c r="G397" t="inlineStr">
        <is>
          <t>NYKÖPING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49613-2025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46253</v>
      </c>
      <c r="F398" t="inlineStr">
        <is>
          <t>SÖDERMANLANDS LÄN</t>
        </is>
      </c>
      <c r="G398" t="inlineStr">
        <is>
          <t>NYKÖPING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30198-2022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44757</v>
      </c>
      <c r="E399" s="1" t="n">
        <v>46253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45945</v>
      </c>
      <c r="E400" s="1" t="n">
        <v>46253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Kyrkan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46022-2025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46253</v>
      </c>
      <c r="F401" t="inlineStr">
        <is>
          <t>SÖDERMANLANDS LÄN</t>
        </is>
      </c>
      <c r="G401" t="inlineStr">
        <is>
          <t>NYKÖPING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50691-2025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46253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Kyrkan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45224</v>
      </c>
      <c r="E403" s="1" t="n">
        <v>46253</v>
      </c>
      <c r="F403" t="inlineStr">
        <is>
          <t>SÖDERMANLANDS LÄN</t>
        </is>
      </c>
      <c r="G403" t="inlineStr">
        <is>
          <t>NYKÖPING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46253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46114</v>
      </c>
      <c r="E405" s="1" t="n">
        <v>46253</v>
      </c>
      <c r="F405" t="inlineStr">
        <is>
          <t>SÖDERMANLANDS LÄN</t>
        </is>
      </c>
      <c r="G405" t="inlineStr">
        <is>
          <t>NYKÖPING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45860</v>
      </c>
      <c r="E406" s="1" t="n">
        <v>46253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45729</v>
      </c>
      <c r="E407" s="1" t="n">
        <v>46253</v>
      </c>
      <c r="F407" t="inlineStr">
        <is>
          <t>SÖDERMANLANDS LÄN</t>
        </is>
      </c>
      <c r="G407" t="inlineStr">
        <is>
          <t>NYKÖPING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44473-2021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44435</v>
      </c>
      <c r="E408" s="1" t="n">
        <v>46253</v>
      </c>
      <c r="F408" t="inlineStr">
        <is>
          <t>SÖDERMANLANDS LÄN</t>
        </is>
      </c>
      <c r="G408" t="inlineStr">
        <is>
          <t>NYKÖPING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1915-2022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44575</v>
      </c>
      <c r="E409" s="1" t="n">
        <v>46253</v>
      </c>
      <c r="F409" t="inlineStr">
        <is>
          <t>SÖDERMANLANDS LÄN</t>
        </is>
      </c>
      <c r="G409" t="inlineStr">
        <is>
          <t>NYKÖPING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46253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9.4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45729</v>
      </c>
      <c r="E411" s="1" t="n">
        <v>46253</v>
      </c>
      <c r="F411" t="inlineStr">
        <is>
          <t>SÖDERMANLANDS LÄN</t>
        </is>
      </c>
      <c r="G411" t="inlineStr">
        <is>
          <t>NYKÖPING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45210</v>
      </c>
      <c r="E412" s="1" t="n">
        <v>46253</v>
      </c>
      <c r="F412" t="inlineStr">
        <is>
          <t>SÖDERMANLANDS LÄN</t>
        </is>
      </c>
      <c r="G412" t="inlineStr">
        <is>
          <t>NYKÖPING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18204-2025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45761</v>
      </c>
      <c r="E413" s="1" t="n">
        <v>46253</v>
      </c>
      <c r="F413" t="inlineStr">
        <is>
          <t>SÖDERMANLANDS LÄN</t>
        </is>
      </c>
      <c r="G413" t="inlineStr">
        <is>
          <t>NYKÖPING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30855-2023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45110</v>
      </c>
      <c r="E414" s="1" t="n">
        <v>46253</v>
      </c>
      <c r="F414" t="inlineStr">
        <is>
          <t>SÖDERMANLANDS LÄN</t>
        </is>
      </c>
      <c r="G414" t="inlineStr">
        <is>
          <t>NYKÖPING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46125</v>
      </c>
      <c r="E415" s="1" t="n">
        <v>46253</v>
      </c>
      <c r="F415" t="inlineStr">
        <is>
          <t>SÖDERMANLANDS LÄN</t>
        </is>
      </c>
      <c r="G415" t="inlineStr">
        <is>
          <t>NYKÖPING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47260-2023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45202</v>
      </c>
      <c r="E416" s="1" t="n">
        <v>46253</v>
      </c>
      <c r="F416" t="inlineStr">
        <is>
          <t>SÖDERMANLANDS LÄN</t>
        </is>
      </c>
      <c r="G416" t="inlineStr">
        <is>
          <t>NYKÖPING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46253</v>
      </c>
      <c r="F417" t="inlineStr">
        <is>
          <t>SÖDERMANLANDS LÄN</t>
        </is>
      </c>
      <c r="G417" t="inlineStr">
        <is>
          <t>NYKÖPING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45900</v>
      </c>
      <c r="E418" s="1" t="n">
        <v>46253</v>
      </c>
      <c r="F418" t="inlineStr">
        <is>
          <t>SÖDERMANLANDS LÄN</t>
        </is>
      </c>
      <c r="G418" t="inlineStr">
        <is>
          <t>NYKÖPING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50156-2021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44456</v>
      </c>
      <c r="E419" s="1" t="n">
        <v>46253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45954</v>
      </c>
      <c r="E420" s="1" t="n">
        <v>46253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44944</v>
      </c>
      <c r="E421" s="1" t="n">
        <v>46253</v>
      </c>
      <c r="F421" t="inlineStr">
        <is>
          <t>SÖDERMANLANDS LÄN</t>
        </is>
      </c>
      <c r="G421" t="inlineStr">
        <is>
          <t>NYKÖPING</t>
        </is>
      </c>
      <c r="I421" t="n">
        <v>14.9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52585-2025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45954</v>
      </c>
      <c r="E422" s="1" t="n">
        <v>46253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45820</v>
      </c>
      <c r="E423" s="1" t="n">
        <v>46253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43306-2023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45183</v>
      </c>
      <c r="E424" s="1" t="n">
        <v>46253</v>
      </c>
      <c r="F424" t="inlineStr">
        <is>
          <t>SÖDERMANLANDS LÄN</t>
        </is>
      </c>
      <c r="G424" t="inlineStr">
        <is>
          <t>NYKÖPING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46253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46253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60210-2022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44910</v>
      </c>
      <c r="E427" s="1" t="n">
        <v>46253</v>
      </c>
      <c r="F427" t="inlineStr">
        <is>
          <t>SÖDERMANLANDS LÄN</t>
        </is>
      </c>
      <c r="G427" t="inlineStr">
        <is>
          <t>NYKÖPING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45733</v>
      </c>
      <c r="E428" s="1" t="n">
        <v>46253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44825</v>
      </c>
      <c r="E429" s="1" t="n">
        <v>46253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46253</v>
      </c>
      <c r="F430" t="inlineStr">
        <is>
          <t>SÖDERMANLANDS LÄN</t>
        </is>
      </c>
      <c r="G430" t="inlineStr">
        <is>
          <t>NYKÖPING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44943</v>
      </c>
      <c r="E431" s="1" t="n">
        <v>46253</v>
      </c>
      <c r="F431" t="inlineStr">
        <is>
          <t>SÖDERMANLANDS LÄN</t>
        </is>
      </c>
      <c r="G431" t="inlineStr">
        <is>
          <t>NYKÖPING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46253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Övriga Aktiebolag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46253</v>
      </c>
      <c r="F433" t="inlineStr">
        <is>
          <t>SÖDERMANLANDS LÄN</t>
        </is>
      </c>
      <c r="G433" t="inlineStr">
        <is>
          <t>NYKÖPING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45819</v>
      </c>
      <c r="E434" s="1" t="n">
        <v>46253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41165-2024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45559</v>
      </c>
      <c r="E435" s="1" t="n">
        <v>46253</v>
      </c>
      <c r="F435" t="inlineStr">
        <is>
          <t>SÖDERMANLANDS LÄN</t>
        </is>
      </c>
      <c r="G435" t="inlineStr">
        <is>
          <t>NYKÖPING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46253</v>
      </c>
      <c r="F436" t="inlineStr">
        <is>
          <t>SÖDERMANLANDS LÄN</t>
        </is>
      </c>
      <c r="G436" t="inlineStr">
        <is>
          <t>NYKÖPING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54065-2025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46253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53335-2023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45229</v>
      </c>
      <c r="E438" s="1" t="n">
        <v>46253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52045-2021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44463</v>
      </c>
      <c r="E439" s="1" t="n">
        <v>46253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Sveaskog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52055-2021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44462</v>
      </c>
      <c r="E440" s="1" t="n">
        <v>46253</v>
      </c>
      <c r="F440" t="inlineStr">
        <is>
          <t>SÖDERMANLANDS LÄN</t>
        </is>
      </c>
      <c r="G440" t="inlineStr">
        <is>
          <t>NYKÖPING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41132-2024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45559</v>
      </c>
      <c r="E441" s="1" t="n">
        <v>46253</v>
      </c>
      <c r="F441" t="inlineStr">
        <is>
          <t>SÖDERMANLANDS LÄN</t>
        </is>
      </c>
      <c r="G441" t="inlineStr">
        <is>
          <t>NYKÖPING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55311-2025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45970</v>
      </c>
      <c r="E442" s="1" t="n">
        <v>46253</v>
      </c>
      <c r="F442" t="inlineStr">
        <is>
          <t>SÖDERMANLANDS LÄN</t>
        </is>
      </c>
      <c r="G442" t="inlineStr">
        <is>
          <t>NYKÖPING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47390-2025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45930</v>
      </c>
      <c r="E443" s="1" t="n">
        <v>46253</v>
      </c>
      <c r="F443" t="inlineStr">
        <is>
          <t>SÖDERMANLANDS LÄN</t>
        </is>
      </c>
      <c r="G443" t="inlineStr">
        <is>
          <t>NYKÖPING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45819</v>
      </c>
      <c r="E444" s="1" t="n">
        <v>46253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Sveaskog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56128-2025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46253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45826</v>
      </c>
      <c r="E446" s="1" t="n">
        <v>46253</v>
      </c>
      <c r="F446" t="inlineStr">
        <is>
          <t>SÖDERMANLANDS LÄN</t>
        </is>
      </c>
      <c r="G446" t="inlineStr">
        <is>
          <t>NYKÖPING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45706</v>
      </c>
      <c r="E447" s="1" t="n">
        <v>46253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Kyrkan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46253</v>
      </c>
      <c r="F448" t="inlineStr">
        <is>
          <t>SÖDERMANLANDS LÄN</t>
        </is>
      </c>
      <c r="G448" t="inlineStr">
        <is>
          <t>NYKÖPING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51725-2021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44462</v>
      </c>
      <c r="E449" s="1" t="n">
        <v>46253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56342-2025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46253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18551-2024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45425</v>
      </c>
      <c r="E451" s="1" t="n">
        <v>46253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Kommuner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45686</v>
      </c>
      <c r="E452" s="1" t="n">
        <v>46253</v>
      </c>
      <c r="F452" t="inlineStr">
        <is>
          <t>SÖDERMANLANDS LÄN</t>
        </is>
      </c>
      <c r="G452" t="inlineStr">
        <is>
          <t>NYKÖPING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20798-2023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45058</v>
      </c>
      <c r="E453" s="1" t="n">
        <v>46253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21917-2022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44711</v>
      </c>
      <c r="E454" s="1" t="n">
        <v>46253</v>
      </c>
      <c r="F454" t="inlineStr">
        <is>
          <t>SÖDERMANLANDS LÄN</t>
        </is>
      </c>
      <c r="G454" t="inlineStr">
        <is>
          <t>NYKÖPING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45733</v>
      </c>
      <c r="E455" s="1" t="n">
        <v>46253</v>
      </c>
      <c r="F455" t="inlineStr">
        <is>
          <t>SÖDERMANLANDS LÄN</t>
        </is>
      </c>
      <c r="G455" t="inlineStr">
        <is>
          <t>NYKÖPING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45980</v>
      </c>
      <c r="E456" s="1" t="n">
        <v>46253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Holmen skog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45979</v>
      </c>
      <c r="E457" s="1" t="n">
        <v>46253</v>
      </c>
      <c r="F457" t="inlineStr">
        <is>
          <t>SÖDERMANLANDS LÄN</t>
        </is>
      </c>
      <c r="G457" t="inlineStr">
        <is>
          <t>NYKÖPING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45170</v>
      </c>
      <c r="E458" s="1" t="n">
        <v>46253</v>
      </c>
      <c r="F458" t="inlineStr">
        <is>
          <t>SÖDERMANLANDS LÄN</t>
        </is>
      </c>
      <c r="G458" t="inlineStr">
        <is>
          <t>NYKÖPING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45982</v>
      </c>
      <c r="E459" s="1" t="n">
        <v>46253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38607-2023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45162</v>
      </c>
      <c r="E460" s="1" t="n">
        <v>46253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Kommuner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58281-2022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44901</v>
      </c>
      <c r="E461" s="1" t="n">
        <v>46253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8710-2024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46253</v>
      </c>
      <c r="F462" t="inlineStr">
        <is>
          <t>SÖDERMANLANDS LÄN</t>
        </is>
      </c>
      <c r="G462" t="inlineStr">
        <is>
          <t>NYKÖPING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45307</v>
      </c>
      <c r="E463" s="1" t="n">
        <v>46253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Kommuner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31868-2023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46253</v>
      </c>
      <c r="F464" t="inlineStr">
        <is>
          <t>SÖDERMANLANDS LÄN</t>
        </is>
      </c>
      <c r="G464" t="inlineStr">
        <is>
          <t>NYKÖPING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45379</v>
      </c>
      <c r="E465" s="1" t="n">
        <v>46253</v>
      </c>
      <c r="F465" t="inlineStr">
        <is>
          <t>SÖDERMANLANDS LÄN</t>
        </is>
      </c>
      <c r="G465" t="inlineStr">
        <is>
          <t>NYKÖPING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44960</v>
      </c>
      <c r="E466" s="1" t="n">
        <v>46253</v>
      </c>
      <c r="F466" t="inlineStr">
        <is>
          <t>SÖDERMANLANDS LÄN</t>
        </is>
      </c>
      <c r="G466" t="inlineStr">
        <is>
          <t>NYKÖPING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17247-2025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45756</v>
      </c>
      <c r="E467" s="1" t="n">
        <v>46253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46253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24447-2023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45082</v>
      </c>
      <c r="E469" s="1" t="n">
        <v>46253</v>
      </c>
      <c r="F469" t="inlineStr">
        <is>
          <t>SÖDERMANLANDS LÄN</t>
        </is>
      </c>
      <c r="G469" t="inlineStr">
        <is>
          <t>NYKÖPING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46253</v>
      </c>
      <c r="F470" t="inlineStr">
        <is>
          <t>SÖDERMANLANDS LÄN</t>
        </is>
      </c>
      <c r="G470" t="inlineStr">
        <is>
          <t>NYKÖPING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18123-2023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45040</v>
      </c>
      <c r="E471" s="1" t="n">
        <v>46253</v>
      </c>
      <c r="F471" t="inlineStr">
        <is>
          <t>SÖDERMANLANDS LÄN</t>
        </is>
      </c>
      <c r="G471" t="inlineStr">
        <is>
          <t>NYKÖPING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68401-2021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44529</v>
      </c>
      <c r="E472" s="1" t="n">
        <v>46253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Övriga Aktiebolag</t>
        </is>
      </c>
      <c r="I472" t="n">
        <v>16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8299-2024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45350</v>
      </c>
      <c r="E473" s="1" t="n">
        <v>46253</v>
      </c>
      <c r="F473" t="inlineStr">
        <is>
          <t>SÖDERMANLANDS LÄN</t>
        </is>
      </c>
      <c r="G473" t="inlineStr">
        <is>
          <t>NYKÖPING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69244-2021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44530</v>
      </c>
      <c r="E474" s="1" t="n">
        <v>46253</v>
      </c>
      <c r="F474" t="inlineStr">
        <is>
          <t>SÖDERMANLANDS LÄN</t>
        </is>
      </c>
      <c r="G474" t="inlineStr">
        <is>
          <t>NYKÖPING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18827-2022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44690</v>
      </c>
      <c r="E475" s="1" t="n">
        <v>46253</v>
      </c>
      <c r="F475" t="inlineStr">
        <is>
          <t>SÖDERMANLANDS LÄN</t>
        </is>
      </c>
      <c r="G475" t="inlineStr">
        <is>
          <t>NYKÖPING</t>
        </is>
      </c>
      <c r="I475" t="n">
        <v>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33683-2023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45132</v>
      </c>
      <c r="E476" s="1" t="n">
        <v>46253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60512-2021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44496</v>
      </c>
      <c r="E477" s="1" t="n">
        <v>46253</v>
      </c>
      <c r="F477" t="inlineStr">
        <is>
          <t>SÖDERMANLANDS LÄN</t>
        </is>
      </c>
      <c r="G477" t="inlineStr">
        <is>
          <t>NYKÖPING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10435-2022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44623</v>
      </c>
      <c r="E478" s="1" t="n">
        <v>46253</v>
      </c>
      <c r="F478" t="inlineStr">
        <is>
          <t>SÖDERMANLANDS LÄN</t>
        </is>
      </c>
      <c r="G478" t="inlineStr">
        <is>
          <t>NYKÖPING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59906-2025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45993</v>
      </c>
      <c r="E479" s="1" t="n">
        <v>46253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45993</v>
      </c>
      <c r="E480" s="1" t="n">
        <v>46253</v>
      </c>
      <c r="F480" t="inlineStr">
        <is>
          <t>SÖDERMANLANDS LÄN</t>
        </is>
      </c>
      <c r="G480" t="inlineStr">
        <is>
          <t>NYKÖPING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59991-2025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45993</v>
      </c>
      <c r="E481" s="1" t="n">
        <v>46253</v>
      </c>
      <c r="F481" t="inlineStr">
        <is>
          <t>SÖDERMANLANDS LÄN</t>
        </is>
      </c>
      <c r="G481" t="inlineStr">
        <is>
          <t>NYKÖPING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59992-2025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46253</v>
      </c>
      <c r="F482" t="inlineStr">
        <is>
          <t>SÖDERMANLANDS LÄN</t>
        </is>
      </c>
      <c r="G482" t="inlineStr">
        <is>
          <t>NYKÖPING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45993</v>
      </c>
      <c r="E483" s="1" t="n">
        <v>46253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59917-2025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45993</v>
      </c>
      <c r="E484" s="1" t="n">
        <v>46253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Holmen skog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46253</v>
      </c>
      <c r="F485" t="inlineStr">
        <is>
          <t>SÖDERMANLANDS LÄN</t>
        </is>
      </c>
      <c r="G485" t="inlineStr">
        <is>
          <t>NYKÖPING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44579</v>
      </c>
      <c r="E486" s="1" t="n">
        <v>46253</v>
      </c>
      <c r="F486" t="inlineStr">
        <is>
          <t>SÖDERMANLANDS LÄN</t>
        </is>
      </c>
      <c r="G486" t="inlineStr">
        <is>
          <t>NYKÖPING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46253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64081-2023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45279</v>
      </c>
      <c r="E488" s="1" t="n">
        <v>46253</v>
      </c>
      <c r="F488" t="inlineStr">
        <is>
          <t>SÖDERMANLANDS LÄN</t>
        </is>
      </c>
      <c r="G488" t="inlineStr">
        <is>
          <t>NYKÖPING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45419</v>
      </c>
      <c r="E489" s="1" t="n">
        <v>46253</v>
      </c>
      <c r="F489" t="inlineStr">
        <is>
          <t>SÖDERMANLANDS LÄN</t>
        </is>
      </c>
      <c r="G489" t="inlineStr">
        <is>
          <t>NYKÖPING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45419</v>
      </c>
      <c r="E490" s="1" t="n">
        <v>46253</v>
      </c>
      <c r="F490" t="inlineStr">
        <is>
          <t>SÖDERMANLANDS LÄN</t>
        </is>
      </c>
      <c r="G490" t="inlineStr">
        <is>
          <t>NYKÖPING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45159</v>
      </c>
      <c r="E491" s="1" t="n">
        <v>46253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61253-2025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45999</v>
      </c>
      <c r="E492" s="1" t="n">
        <v>46253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Allmännings- och besparingsskogar</t>
        </is>
      </c>
      <c r="I492" t="n">
        <v>13.5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61254-2025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46253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Allmännings- och besparingsskogar</t>
        </is>
      </c>
      <c r="I493" t="n">
        <v>10.6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73877-2021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44553</v>
      </c>
      <c r="E494" s="1" t="n">
        <v>46253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9167-2023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44980</v>
      </c>
      <c r="E495" s="1" t="n">
        <v>46253</v>
      </c>
      <c r="F495" t="inlineStr">
        <is>
          <t>SÖDERMANLANDS LÄN</t>
        </is>
      </c>
      <c r="G495" t="inlineStr">
        <is>
          <t>NYKÖPING</t>
        </is>
      </c>
      <c r="I495" t="n">
        <v>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44995</v>
      </c>
      <c r="E496" s="1" t="n">
        <v>46253</v>
      </c>
      <c r="F496" t="inlineStr">
        <is>
          <t>SÖDERMANLANDS LÄN</t>
        </is>
      </c>
      <c r="G496" t="inlineStr">
        <is>
          <t>NYKÖPING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9200-2023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44976</v>
      </c>
      <c r="E497" s="1" t="n">
        <v>46253</v>
      </c>
      <c r="F497" t="inlineStr">
        <is>
          <t>SÖDERMANLANDS LÄN</t>
        </is>
      </c>
      <c r="G497" t="inlineStr">
        <is>
          <t>NYKÖPING</t>
        </is>
      </c>
      <c r="I497" t="n">
        <v>11.1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61357-2025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46253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47138-2023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45201</v>
      </c>
      <c r="E499" s="1" t="n">
        <v>46253</v>
      </c>
      <c r="F499" t="inlineStr">
        <is>
          <t>SÖDERMANLANDS LÄN</t>
        </is>
      </c>
      <c r="G499" t="inlineStr">
        <is>
          <t>NYKÖPING</t>
        </is>
      </c>
      <c r="I499" t="n">
        <v>7.3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45029</v>
      </c>
      <c r="E500" s="1" t="n">
        <v>46253</v>
      </c>
      <c r="F500" t="inlineStr">
        <is>
          <t>SÖDERMANLANDS LÄN</t>
        </is>
      </c>
      <c r="G500" t="inlineStr">
        <is>
          <t>NYKÖPING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44579</v>
      </c>
      <c r="E501" s="1" t="n">
        <v>46253</v>
      </c>
      <c r="F501" t="inlineStr">
        <is>
          <t>SÖDERMANLANDS LÄN</t>
        </is>
      </c>
      <c r="G501" t="inlineStr">
        <is>
          <t>NYKÖPING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67857-2021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44525</v>
      </c>
      <c r="E502" s="1" t="n">
        <v>46253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46058</v>
      </c>
      <c r="E503" s="1" t="n">
        <v>46253</v>
      </c>
      <c r="F503" t="inlineStr">
        <is>
          <t>SÖDERMANLANDS LÄN</t>
        </is>
      </c>
      <c r="G503" t="inlineStr">
        <is>
          <t>NYKÖPING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17832-2024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45418</v>
      </c>
      <c r="E504" s="1" t="n">
        <v>46253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Kommuner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62323-2025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46003</v>
      </c>
      <c r="E505" s="1" t="n">
        <v>46253</v>
      </c>
      <c r="F505" t="inlineStr">
        <is>
          <t>SÖDERMANLANDS LÄN</t>
        </is>
      </c>
      <c r="G505" t="inlineStr">
        <is>
          <t>NYKÖPING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44938</v>
      </c>
      <c r="E506" s="1" t="n">
        <v>46253</v>
      </c>
      <c r="F506" t="inlineStr">
        <is>
          <t>SÖDERMANLANDS LÄN</t>
        </is>
      </c>
      <c r="G506" t="inlineStr">
        <is>
          <t>NYKÖPING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44575</v>
      </c>
      <c r="E507" s="1" t="n">
        <v>46253</v>
      </c>
      <c r="F507" t="inlineStr">
        <is>
          <t>SÖDERMANLANDS LÄN</t>
        </is>
      </c>
      <c r="G507" t="inlineStr">
        <is>
          <t>NYKÖPING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46006</v>
      </c>
      <c r="E508" s="1" t="n">
        <v>46253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36015-2023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45148</v>
      </c>
      <c r="E509" s="1" t="n">
        <v>46253</v>
      </c>
      <c r="F509" t="inlineStr">
        <is>
          <t>SÖDERMANLANDS LÄN</t>
        </is>
      </c>
      <c r="G509" t="inlineStr">
        <is>
          <t>NYKÖPING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62113-2025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46006</v>
      </c>
      <c r="E510" s="1" t="n">
        <v>46253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Holmen skog AB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46007</v>
      </c>
      <c r="E511" s="1" t="n">
        <v>46253</v>
      </c>
      <c r="F511" t="inlineStr">
        <is>
          <t>SÖDERMANLANDS LÄN</t>
        </is>
      </c>
      <c r="G511" t="inlineStr">
        <is>
          <t>NYKÖPING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72679-2021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44546</v>
      </c>
      <c r="E512" s="1" t="n">
        <v>46253</v>
      </c>
      <c r="F512" t="inlineStr">
        <is>
          <t>SÖDERMANLANDS LÄN</t>
        </is>
      </c>
      <c r="G512" t="inlineStr">
        <is>
          <t>NYKÖPING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62492-2025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46007</v>
      </c>
      <c r="E513" s="1" t="n">
        <v>46253</v>
      </c>
      <c r="F513" t="inlineStr">
        <is>
          <t>SÖDERMANLANDS LÄN</t>
        </is>
      </c>
      <c r="G513" t="inlineStr">
        <is>
          <t>NYKÖPING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46253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Övriga Aktiebolag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57633-2024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45630</v>
      </c>
      <c r="E515" s="1" t="n">
        <v>46253</v>
      </c>
      <c r="F515" t="inlineStr">
        <is>
          <t>SÖDERMANLANDS LÄN</t>
        </is>
      </c>
      <c r="G515" t="inlineStr">
        <is>
          <t>NYKÖPING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45306</v>
      </c>
      <c r="E516" s="1" t="n">
        <v>46253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Kommuner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21022-2026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46145</v>
      </c>
      <c r="E517" s="1" t="n">
        <v>46253</v>
      </c>
      <c r="F517" t="inlineStr">
        <is>
          <t>SÖDERMANLANDS LÄN</t>
        </is>
      </c>
      <c r="G517" t="inlineStr">
        <is>
          <t>NYKÖPING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63293-2025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46010</v>
      </c>
      <c r="E518" s="1" t="n">
        <v>46253</v>
      </c>
      <c r="F518" t="inlineStr">
        <is>
          <t>SÖDERMANLANDS LÄN</t>
        </is>
      </c>
      <c r="G518" t="inlineStr">
        <is>
          <t>NYKÖPING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21020-2026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46145</v>
      </c>
      <c r="E519" s="1" t="n">
        <v>46253</v>
      </c>
      <c r="F519" t="inlineStr">
        <is>
          <t>SÖDERMANLANDS LÄN</t>
        </is>
      </c>
      <c r="G519" t="inlineStr">
        <is>
          <t>NYKÖPING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63246-2025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46253</v>
      </c>
      <c r="F520" t="inlineStr">
        <is>
          <t>SÖDERMANLANDS LÄN</t>
        </is>
      </c>
      <c r="G520" t="inlineStr">
        <is>
          <t>NYKÖPING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62917-2025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46253</v>
      </c>
      <c r="F521" t="inlineStr">
        <is>
          <t>SÖDERMANLANDS LÄN</t>
        </is>
      </c>
      <c r="G521" t="inlineStr">
        <is>
          <t>NYKÖPING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45452</v>
      </c>
      <c r="E522" s="1" t="n">
        <v>46253</v>
      </c>
      <c r="F522" t="inlineStr">
        <is>
          <t>SÖDERMANLANDS LÄN</t>
        </is>
      </c>
      <c r="G522" t="inlineStr">
        <is>
          <t>NYKÖPING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46010</v>
      </c>
      <c r="E523" s="1" t="n">
        <v>46253</v>
      </c>
      <c r="F523" t="inlineStr">
        <is>
          <t>SÖDERMANLANDS LÄN</t>
        </is>
      </c>
      <c r="G523" t="inlineStr">
        <is>
          <t>NYKÖPING</t>
        </is>
      </c>
      <c r="I523" t="n">
        <v>21.2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45149</v>
      </c>
      <c r="E524" s="1" t="n">
        <v>46253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45173</v>
      </c>
      <c r="E525" s="1" t="n">
        <v>46253</v>
      </c>
      <c r="F525" t="inlineStr">
        <is>
          <t>SÖDERMANLANDS LÄN</t>
        </is>
      </c>
      <c r="G525" t="inlineStr">
        <is>
          <t>NYKÖPING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70092-2021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44536</v>
      </c>
      <c r="E526" s="1" t="n">
        <v>46253</v>
      </c>
      <c r="F526" t="inlineStr">
        <is>
          <t>SÖDERMANLANDS LÄN</t>
        </is>
      </c>
      <c r="G526" t="inlineStr">
        <is>
          <t>NYKÖPING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33669-2023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45132</v>
      </c>
      <c r="E527" s="1" t="n">
        <v>46253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33670-2023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45132</v>
      </c>
      <c r="E528" s="1" t="n">
        <v>46253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35951-2023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45148</v>
      </c>
      <c r="E529" s="1" t="n">
        <v>46253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Kommuner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38472-2023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45162</v>
      </c>
      <c r="E530" s="1" t="n">
        <v>46253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Kommuner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38512-2023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45162</v>
      </c>
      <c r="E531" s="1" t="n">
        <v>46253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Kommuner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56322-2023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45243</v>
      </c>
      <c r="E532" s="1" t="n">
        <v>46253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Kommuner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21672-2026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46253</v>
      </c>
      <c r="F533" t="inlineStr">
        <is>
          <t>SÖDERMANLANDS LÄN</t>
        </is>
      </c>
      <c r="G533" t="inlineStr">
        <is>
          <t>NYKÖPING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21676-2026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46149</v>
      </c>
      <c r="E534" s="1" t="n">
        <v>46253</v>
      </c>
      <c r="F534" t="inlineStr">
        <is>
          <t>SÖDERMANLANDS LÄN</t>
        </is>
      </c>
      <c r="G534" t="inlineStr">
        <is>
          <t>NYKÖPING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46069</v>
      </c>
      <c r="E535" s="1" t="n">
        <v>46253</v>
      </c>
      <c r="F535" t="inlineStr">
        <is>
          <t>SÖDERMANLANDS LÄN</t>
        </is>
      </c>
      <c r="G535" t="inlineStr">
        <is>
          <t>NYKÖPING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46027</v>
      </c>
      <c r="E536" s="1" t="n">
        <v>46253</v>
      </c>
      <c r="F536" t="inlineStr">
        <is>
          <t>SÖDERMANLANDS LÄN</t>
        </is>
      </c>
      <c r="G536" t="inlineStr">
        <is>
          <t>NYKÖPING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44575</v>
      </c>
      <c r="E537" s="1" t="n">
        <v>46253</v>
      </c>
      <c r="F537" t="inlineStr">
        <is>
          <t>SÖDERMANLANDS LÄN</t>
        </is>
      </c>
      <c r="G537" t="inlineStr">
        <is>
          <t>NYKÖPING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46253</v>
      </c>
      <c r="F538" t="inlineStr">
        <is>
          <t>SÖDERMANLANDS LÄN</t>
        </is>
      </c>
      <c r="G538" t="inlineStr">
        <is>
          <t>NYKÖPING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42525-2023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45181</v>
      </c>
      <c r="E539" s="1" t="n">
        <v>46253</v>
      </c>
      <c r="F539" t="inlineStr">
        <is>
          <t>SÖDERMANLANDS LÄN</t>
        </is>
      </c>
      <c r="G539" t="inlineStr">
        <is>
          <t>NYKÖPING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44581</v>
      </c>
      <c r="E540" s="1" t="n">
        <v>46253</v>
      </c>
      <c r="F540" t="inlineStr">
        <is>
          <t>SÖDERMANLANDS LÄN</t>
        </is>
      </c>
      <c r="G540" t="inlineStr">
        <is>
          <t>NYKÖPING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46253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35469-2023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45146</v>
      </c>
      <c r="E542" s="1" t="n">
        <v>46253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38034-2023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45160</v>
      </c>
      <c r="E543" s="1" t="n">
        <v>46253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11908-2023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46253</v>
      </c>
      <c r="F544" t="inlineStr">
        <is>
          <t>SÖDERMANLANDS LÄN</t>
        </is>
      </c>
      <c r="G544" t="inlineStr">
        <is>
          <t>NYKÖPING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65109-2021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44515</v>
      </c>
      <c r="E545" s="1" t="n">
        <v>46253</v>
      </c>
      <c r="F545" t="inlineStr">
        <is>
          <t>SÖDERMANLANDS LÄN</t>
        </is>
      </c>
      <c r="G545" t="inlineStr">
        <is>
          <t>NYKÖPING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22475-2026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46155</v>
      </c>
      <c r="E546" s="1" t="n">
        <v>46253</v>
      </c>
      <c r="F546" t="inlineStr">
        <is>
          <t>SÖDERMANLANDS LÄN</t>
        </is>
      </c>
      <c r="G546" t="inlineStr">
        <is>
          <t>NYKÖPING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49902-2025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45940</v>
      </c>
      <c r="E547" s="1" t="n">
        <v>46253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Sveaskog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1686-2026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46253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46253</v>
      </c>
      <c r="F549" t="inlineStr">
        <is>
          <t>SÖDERMANLANDS LÄN</t>
        </is>
      </c>
      <c r="G549" t="inlineStr">
        <is>
          <t>NYKÖPING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8378-2024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45351</v>
      </c>
      <c r="E550" s="1" t="n">
        <v>46253</v>
      </c>
      <c r="F550" t="inlineStr">
        <is>
          <t>SÖDERMANLANDS LÄN</t>
        </is>
      </c>
      <c r="G550" t="inlineStr">
        <is>
          <t>NYKÖPING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46253</v>
      </c>
      <c r="F551" t="inlineStr">
        <is>
          <t>SÖDERMANLANDS LÄN</t>
        </is>
      </c>
      <c r="G551" t="inlineStr">
        <is>
          <t>NYKÖPING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46253</v>
      </c>
      <c r="F552" t="inlineStr">
        <is>
          <t>SÖDERMANLANDS LÄN</t>
        </is>
      </c>
      <c r="G552" t="inlineStr">
        <is>
          <t>NYKÖPING</t>
        </is>
      </c>
      <c r="I552" t="n">
        <v>11.7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46253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46253</v>
      </c>
      <c r="F554" t="inlineStr">
        <is>
          <t>SÖDERMANLANDS LÄN</t>
        </is>
      </c>
      <c r="G554" t="inlineStr">
        <is>
          <t>NYKÖPING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45329</v>
      </c>
      <c r="E555" s="1" t="n">
        <v>46253</v>
      </c>
      <c r="F555" t="inlineStr">
        <is>
          <t>SÖDERMANLANDS LÄN</t>
        </is>
      </c>
      <c r="G555" t="inlineStr">
        <is>
          <t>NYKÖPING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45329</v>
      </c>
      <c r="E556" s="1" t="n">
        <v>46253</v>
      </c>
      <c r="F556" t="inlineStr">
        <is>
          <t>SÖDERMANLANDS LÄN</t>
        </is>
      </c>
      <c r="G556" t="inlineStr">
        <is>
          <t>NYKÖPING</t>
        </is>
      </c>
      <c r="I556" t="n">
        <v>17.8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44585</v>
      </c>
      <c r="E557" s="1" t="n">
        <v>46253</v>
      </c>
      <c r="F557" t="inlineStr">
        <is>
          <t>SÖDERMANLANDS LÄN</t>
        </is>
      </c>
      <c r="G557" t="inlineStr">
        <is>
          <t>NYKÖPING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45114</v>
      </c>
      <c r="E558" s="1" t="n">
        <v>46253</v>
      </c>
      <c r="F558" t="inlineStr">
        <is>
          <t>SÖDERMANLANDS LÄN</t>
        </is>
      </c>
      <c r="G558" t="inlineStr">
        <is>
          <t>NYKÖPING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13863-2022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44649</v>
      </c>
      <c r="E559" s="1" t="n">
        <v>46253</v>
      </c>
      <c r="F559" t="inlineStr">
        <is>
          <t>SÖDERMANLANDS LÄN</t>
        </is>
      </c>
      <c r="G559" t="inlineStr">
        <is>
          <t>NYKÖPING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46253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56845-2025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45978</v>
      </c>
      <c r="E561" s="1" t="n">
        <v>46253</v>
      </c>
      <c r="F561" t="inlineStr">
        <is>
          <t>SÖDERMANLANDS LÄN</t>
        </is>
      </c>
      <c r="G561" t="inlineStr">
        <is>
          <t>NYKÖPING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46084</v>
      </c>
      <c r="E562" s="1" t="n">
        <v>46253</v>
      </c>
      <c r="F562" t="inlineStr">
        <is>
          <t>SÖDERMANLANDS LÄN</t>
        </is>
      </c>
      <c r="G562" t="inlineStr">
        <is>
          <t>NYKÖPING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40635-2023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45170</v>
      </c>
      <c r="E563" s="1" t="n">
        <v>46253</v>
      </c>
      <c r="F563" t="inlineStr">
        <is>
          <t>SÖDERMANLANDS LÄN</t>
        </is>
      </c>
      <c r="G563" t="inlineStr">
        <is>
          <t>NYKÖPING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11757-2026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46253</v>
      </c>
      <c r="F564" t="inlineStr">
        <is>
          <t>SÖDERMANLANDS LÄN</t>
        </is>
      </c>
      <c r="G564" t="inlineStr">
        <is>
          <t>NYKÖPING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23063-2026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46253</v>
      </c>
      <c r="F565" t="inlineStr">
        <is>
          <t>SÖDERMANLANDS LÄN</t>
        </is>
      </c>
      <c r="G565" t="inlineStr">
        <is>
          <t>NYKÖPING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56851-2025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45978</v>
      </c>
      <c r="E566" s="1" t="n">
        <v>46253</v>
      </c>
      <c r="F566" t="inlineStr">
        <is>
          <t>SÖDERMANLANDS LÄN</t>
        </is>
      </c>
      <c r="G566" t="inlineStr">
        <is>
          <t>NYKÖPING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9836-2026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46253</v>
      </c>
      <c r="F567" t="inlineStr">
        <is>
          <t>SÖDERMANLANDS LÄN</t>
        </is>
      </c>
      <c r="G567" t="inlineStr">
        <is>
          <t>NYKÖPING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23637-2026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46163</v>
      </c>
      <c r="E568" s="1" t="n">
        <v>46253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Kyrkan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51241-2024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45603</v>
      </c>
      <c r="E569" s="1" t="n">
        <v>46253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7253-2022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44606</v>
      </c>
      <c r="E570" s="1" t="n">
        <v>46253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Allmännings- och besparingsskogar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10689-2023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44988</v>
      </c>
      <c r="E571" s="1" t="n">
        <v>46253</v>
      </c>
      <c r="F571" t="inlineStr">
        <is>
          <t>SÖDERMANLANDS LÄN</t>
        </is>
      </c>
      <c r="G571" t="inlineStr">
        <is>
          <t>NYKÖPING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52551-2023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45218</v>
      </c>
      <c r="E572" s="1" t="n">
        <v>46253</v>
      </c>
      <c r="F572" t="inlineStr">
        <is>
          <t>SÖDERMANLANDS LÄN</t>
        </is>
      </c>
      <c r="G572" t="inlineStr">
        <is>
          <t>NYKÖPING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12111-2026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46086</v>
      </c>
      <c r="E573" s="1" t="n">
        <v>46253</v>
      </c>
      <c r="F573" t="inlineStr">
        <is>
          <t>SÖDERMANLANDS LÄN</t>
        </is>
      </c>
      <c r="G573" t="inlineStr">
        <is>
          <t>NYKÖPING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44820-2022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44839</v>
      </c>
      <c r="E574" s="1" t="n">
        <v>46253</v>
      </c>
      <c r="F574" t="inlineStr">
        <is>
          <t>SÖDERMANLANDS LÄN</t>
        </is>
      </c>
      <c r="G574" t="inlineStr">
        <is>
          <t>NYKÖPING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44908-2022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44840</v>
      </c>
      <c r="E575" s="1" t="n">
        <v>46253</v>
      </c>
      <c r="F575" t="inlineStr">
        <is>
          <t>SÖDERMANLANDS LÄN</t>
        </is>
      </c>
      <c r="G575" t="inlineStr">
        <is>
          <t>NYKÖPING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39149-2023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45166</v>
      </c>
      <c r="E576" s="1" t="n">
        <v>46253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46253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Kyrkan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46253</v>
      </c>
      <c r="F578" t="inlineStr">
        <is>
          <t>SÖDERMANLANDS LÄN</t>
        </is>
      </c>
      <c r="G578" t="inlineStr">
        <is>
          <t>NYKÖPING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24285-2026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46169</v>
      </c>
      <c r="E579" s="1" t="n">
        <v>46253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Kyrkan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8006-2024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45350</v>
      </c>
      <c r="E580" s="1" t="n">
        <v>46253</v>
      </c>
      <c r="F580" t="inlineStr">
        <is>
          <t>SÖDERMANLANDS LÄN</t>
        </is>
      </c>
      <c r="G580" t="inlineStr">
        <is>
          <t>NYKÖPING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10622-2025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45721</v>
      </c>
      <c r="E581" s="1" t="n">
        <v>46253</v>
      </c>
      <c r="F581" t="inlineStr">
        <is>
          <t>SÖDERMANLANDS LÄN</t>
        </is>
      </c>
      <c r="G581" t="inlineStr">
        <is>
          <t>NYKÖPING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30695-2026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46211</v>
      </c>
      <c r="E582" s="1" t="n">
        <v>46253</v>
      </c>
      <c r="F582" t="inlineStr">
        <is>
          <t>SÖDERMANLANDS LÄN</t>
        </is>
      </c>
      <c r="G582" t="inlineStr">
        <is>
          <t>NYKÖPING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36714-2023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45153</v>
      </c>
      <c r="E583" s="1" t="n">
        <v>46253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Kommuner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14370-2022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44652</v>
      </c>
      <c r="E584" s="1" t="n">
        <v>46253</v>
      </c>
      <c r="F584" t="inlineStr">
        <is>
          <t>SÖDERMANLANDS LÄN</t>
        </is>
      </c>
      <c r="G584" t="inlineStr">
        <is>
          <t>NYKÖPING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18918-2023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46253</v>
      </c>
      <c r="F585" t="inlineStr">
        <is>
          <t>SÖDERMANLANDS LÄN</t>
        </is>
      </c>
      <c r="G585" t="inlineStr">
        <is>
          <t>NYKÖPING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45044</v>
      </c>
      <c r="E586" s="1" t="n">
        <v>46253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12538-2025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45730</v>
      </c>
      <c r="E587" s="1" t="n">
        <v>46253</v>
      </c>
      <c r="F587" t="inlineStr">
        <is>
          <t>SÖDERMANLANDS LÄN</t>
        </is>
      </c>
      <c r="G587" t="inlineStr">
        <is>
          <t>NYKÖPING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30720-2026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46211</v>
      </c>
      <c r="E588" s="1" t="n">
        <v>46253</v>
      </c>
      <c r="F588" t="inlineStr">
        <is>
          <t>SÖDERMANLANDS LÄN</t>
        </is>
      </c>
      <c r="G588" t="inlineStr">
        <is>
          <t>NYKÖPING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11728-2022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44634</v>
      </c>
      <c r="E589" s="1" t="n">
        <v>46253</v>
      </c>
      <c r="F589" t="inlineStr">
        <is>
          <t>SÖDERMANLANDS LÄN</t>
        </is>
      </c>
      <c r="G589" t="inlineStr">
        <is>
          <t>NYKÖPING</t>
        </is>
      </c>
      <c r="I589" t="n">
        <v>11.4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21062-2023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45061</v>
      </c>
      <c r="E590" s="1" t="n">
        <v>46253</v>
      </c>
      <c r="F590" t="inlineStr">
        <is>
          <t>SÖDERMANLANDS LÄN</t>
        </is>
      </c>
      <c r="G590" t="inlineStr">
        <is>
          <t>NYKÖPING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43880-2023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45187</v>
      </c>
      <c r="E591" s="1" t="n">
        <v>46253</v>
      </c>
      <c r="F591" t="inlineStr">
        <is>
          <t>SÖDERMANLANDS LÄN</t>
        </is>
      </c>
      <c r="G591" t="inlineStr">
        <is>
          <t>NYKÖPING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2598-2025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45674</v>
      </c>
      <c r="E592" s="1" t="n">
        <v>46253</v>
      </c>
      <c r="F592" t="inlineStr">
        <is>
          <t>SÖDERMANLANDS LÄN</t>
        </is>
      </c>
      <c r="G592" t="inlineStr">
        <is>
          <t>NYKÖPING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58496-2025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45985</v>
      </c>
      <c r="E593" s="1" t="n">
        <v>46253</v>
      </c>
      <c r="F593" t="inlineStr">
        <is>
          <t>SÖDERMANLANDS LÄN</t>
        </is>
      </c>
      <c r="G593" t="inlineStr">
        <is>
          <t>NYKÖPING</t>
        </is>
      </c>
      <c r="I593" t="n">
        <v>9.699999999999999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35463-2025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45855</v>
      </c>
      <c r="E594" s="1" t="n">
        <v>46253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38745-2023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45161</v>
      </c>
      <c r="E595" s="1" t="n">
        <v>46253</v>
      </c>
      <c r="F595" t="inlineStr">
        <is>
          <t>SÖDERMANLANDS LÄN</t>
        </is>
      </c>
      <c r="G595" t="inlineStr">
        <is>
          <t>NYKÖPING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46253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13967-2026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46253</v>
      </c>
      <c r="F597" t="inlineStr">
        <is>
          <t>SÖDERMANLANDS LÄN</t>
        </is>
      </c>
      <c r="G597" t="inlineStr">
        <is>
          <t>NYKÖPING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46176</v>
      </c>
      <c r="E598" s="1" t="n">
        <v>46253</v>
      </c>
      <c r="F598" t="inlineStr">
        <is>
          <t>SÖDERMANLANDS LÄN</t>
        </is>
      </c>
      <c r="G598" t="inlineStr">
        <is>
          <t>NYKÖPING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39356-2023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46253</v>
      </c>
      <c r="F599" t="inlineStr">
        <is>
          <t>SÖDERMANLANDS LÄN</t>
        </is>
      </c>
      <c r="G599" t="inlineStr">
        <is>
          <t>NYKÖPING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25336-2026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46176</v>
      </c>
      <c r="E600" s="1" t="n">
        <v>46253</v>
      </c>
      <c r="F600" t="inlineStr">
        <is>
          <t>SÖDERMANLANDS LÄN</t>
        </is>
      </c>
      <c r="G600" t="inlineStr">
        <is>
          <t>NYKÖPING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21925-2022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44711</v>
      </c>
      <c r="E601" s="1" t="n">
        <v>46253</v>
      </c>
      <c r="F601" t="inlineStr">
        <is>
          <t>SÖDERMANLANDS LÄN</t>
        </is>
      </c>
      <c r="G601" t="inlineStr">
        <is>
          <t>NYKÖPING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25403-2026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46176</v>
      </c>
      <c r="E602" s="1" t="n">
        <v>46253</v>
      </c>
      <c r="F602" t="inlineStr">
        <is>
          <t>SÖDERMANLANDS LÄN</t>
        </is>
      </c>
      <c r="G602" t="inlineStr">
        <is>
          <t>NYKÖPING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3193-2022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44582</v>
      </c>
      <c r="E603" s="1" t="n">
        <v>46253</v>
      </c>
      <c r="F603" t="inlineStr">
        <is>
          <t>SÖDERMANLANDS LÄN</t>
        </is>
      </c>
      <c r="G603" t="inlineStr">
        <is>
          <t>NYKÖPING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13858-2022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44649</v>
      </c>
      <c r="E604" s="1" t="n">
        <v>46253</v>
      </c>
      <c r="F604" t="inlineStr">
        <is>
          <t>SÖDERMANLANDS LÄN</t>
        </is>
      </c>
      <c r="G604" t="inlineStr">
        <is>
          <t>NYKÖPING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37907-2022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44811</v>
      </c>
      <c r="E605" s="1" t="n">
        <v>46253</v>
      </c>
      <c r="F605" t="inlineStr">
        <is>
          <t>SÖDERMANLANDS LÄN</t>
        </is>
      </c>
      <c r="G605" t="inlineStr">
        <is>
          <t>NYKÖPING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37911-2022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44810</v>
      </c>
      <c r="E606" s="1" t="n">
        <v>46253</v>
      </c>
      <c r="F606" t="inlineStr">
        <is>
          <t>SÖDERMANLANDS LÄN</t>
        </is>
      </c>
      <c r="G606" t="inlineStr">
        <is>
          <t>NYKÖPING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43952-2022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44838</v>
      </c>
      <c r="E607" s="1" t="n">
        <v>46253</v>
      </c>
      <c r="F607" t="inlineStr">
        <is>
          <t>SÖDERMANLANDS LÄN</t>
        </is>
      </c>
      <c r="G607" t="inlineStr">
        <is>
          <t>NYKÖPING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44191-2022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44839</v>
      </c>
      <c r="E608" s="1" t="n">
        <v>46253</v>
      </c>
      <c r="F608" t="inlineStr">
        <is>
          <t>SÖDERMANLANDS LÄN</t>
        </is>
      </c>
      <c r="G608" t="inlineStr">
        <is>
          <t>NYKÖPING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31469-2026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46222</v>
      </c>
      <c r="E609" s="1" t="n">
        <v>46253</v>
      </c>
      <c r="F609" t="inlineStr">
        <is>
          <t>SÖDERMANLANDS LÄN</t>
        </is>
      </c>
      <c r="G609" t="inlineStr">
        <is>
          <t>NYKÖPING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24798-2022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44728</v>
      </c>
      <c r="E610" s="1" t="n">
        <v>46253</v>
      </c>
      <c r="F610" t="inlineStr">
        <is>
          <t>SÖDERMANLANDS LÄN</t>
        </is>
      </c>
      <c r="G610" t="inlineStr">
        <is>
          <t>NYKÖPING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39321-2023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45166</v>
      </c>
      <c r="E611" s="1" t="n">
        <v>46253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45685</v>
      </c>
      <c r="E612" s="1" t="n">
        <v>46253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4182-2025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46253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19027-2026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46131</v>
      </c>
      <c r="E614" s="1" t="n">
        <v>46253</v>
      </c>
      <c r="F614" t="inlineStr">
        <is>
          <t>SÖDERMANLANDS LÄN</t>
        </is>
      </c>
      <c r="G614" t="inlineStr">
        <is>
          <t>NYKÖPING</t>
        </is>
      </c>
      <c r="I614" t="n">
        <v>12.4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46253</v>
      </c>
      <c r="F615" t="inlineStr">
        <is>
          <t>SÖDERMANLANDS LÄN</t>
        </is>
      </c>
      <c r="G615" t="inlineStr">
        <is>
          <t>NYKÖPING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46253</v>
      </c>
      <c r="F616" t="inlineStr">
        <is>
          <t>SÖDERMANLANDS LÄN</t>
        </is>
      </c>
      <c r="G616" t="inlineStr">
        <is>
          <t>NYKÖPING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24280-2022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44725</v>
      </c>
      <c r="E617" s="1" t="n">
        <v>46253</v>
      </c>
      <c r="F617" t="inlineStr">
        <is>
          <t>SÖDERMANLANDS LÄN</t>
        </is>
      </c>
      <c r="G617" t="inlineStr">
        <is>
          <t>NYKÖPING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31424-2022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44774</v>
      </c>
      <c r="E618" s="1" t="n">
        <v>46253</v>
      </c>
      <c r="F618" t="inlineStr">
        <is>
          <t>SÖDERMANLANDS LÄN</t>
        </is>
      </c>
      <c r="G618" t="inlineStr">
        <is>
          <t>NYKÖPING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46253</v>
      </c>
      <c r="F619" t="inlineStr">
        <is>
          <t>SÖDERMANLANDS LÄN</t>
        </is>
      </c>
      <c r="G619" t="inlineStr">
        <is>
          <t>NYKÖPING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47370-2022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44853</v>
      </c>
      <c r="E620" s="1" t="n">
        <v>46253</v>
      </c>
      <c r="F620" t="inlineStr">
        <is>
          <t>SÖDERMANLANDS LÄN</t>
        </is>
      </c>
      <c r="G620" t="inlineStr">
        <is>
          <t>NYKÖPING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46253</v>
      </c>
      <c r="F621" t="inlineStr">
        <is>
          <t>SÖDERMANLANDS LÄN</t>
        </is>
      </c>
      <c r="G621" t="inlineStr">
        <is>
          <t>NYKÖPING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46253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Sveaskog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38508-2023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45162</v>
      </c>
      <c r="E623" s="1" t="n">
        <v>46253</v>
      </c>
      <c r="F623" t="inlineStr">
        <is>
          <t>SÖDERMANLANDS LÄN</t>
        </is>
      </c>
      <c r="G623" t="inlineStr">
        <is>
          <t>NYKÖPING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46253</v>
      </c>
      <c r="F624" t="inlineStr">
        <is>
          <t>SÖDERMANLANDS LÄN</t>
        </is>
      </c>
      <c r="G624" t="inlineStr">
        <is>
          <t>NYKÖPING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46253</v>
      </c>
      <c r="F625" t="inlineStr">
        <is>
          <t>SÖDERMANLANDS LÄN</t>
        </is>
      </c>
      <c r="G625" t="inlineStr">
        <is>
          <t>NYKÖPING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26839-2026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46253</v>
      </c>
      <c r="F626" t="inlineStr">
        <is>
          <t>SÖDERMANLANDS LÄN</t>
        </is>
      </c>
      <c r="G626" t="inlineStr">
        <is>
          <t>NYKÖPING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13455-2022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44645</v>
      </c>
      <c r="E627" s="1" t="n">
        <v>46253</v>
      </c>
      <c r="F627" t="inlineStr">
        <is>
          <t>SÖDERMANLANDS LÄN</t>
        </is>
      </c>
      <c r="G627" t="inlineStr">
        <is>
          <t>NYKÖPING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46253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49223-2022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44858</v>
      </c>
      <c r="E629" s="1" t="n">
        <v>46253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Övriga statliga verk och myndigheter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31760-2026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46228</v>
      </c>
      <c r="E630" s="1" t="n">
        <v>46253</v>
      </c>
      <c r="F630" t="inlineStr">
        <is>
          <t>SÖDERMANLANDS LÄN</t>
        </is>
      </c>
      <c r="G630" t="inlineStr">
        <is>
          <t>NYKÖPING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51699-2023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45222</v>
      </c>
      <c r="E631" s="1" t="n">
        <v>46253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45461</v>
      </c>
      <c r="E632" s="1" t="n">
        <v>46253</v>
      </c>
      <c r="F632" t="inlineStr">
        <is>
          <t>SÖDERMANLANDS LÄN</t>
        </is>
      </c>
      <c r="G632" t="inlineStr">
        <is>
          <t>NYKÖPING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35532-2022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44799</v>
      </c>
      <c r="E633" s="1" t="n">
        <v>46253</v>
      </c>
      <c r="F633" t="inlineStr">
        <is>
          <t>SÖDERMANLANDS LÄN</t>
        </is>
      </c>
      <c r="G633" t="inlineStr">
        <is>
          <t>NYKÖPING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7428-2025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45705</v>
      </c>
      <c r="E634" s="1" t="n">
        <v>46253</v>
      </c>
      <c r="F634" t="inlineStr">
        <is>
          <t>SÖDERMANLANDS LÄN</t>
        </is>
      </c>
      <c r="G634" t="inlineStr">
        <is>
          <t>NYKÖPING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8787-2025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45712</v>
      </c>
      <c r="E635" s="1" t="n">
        <v>46253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24197-2022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44725</v>
      </c>
      <c r="E636" s="1" t="n">
        <v>46253</v>
      </c>
      <c r="F636" t="inlineStr">
        <is>
          <t>SÖDERMANLANDS LÄN</t>
        </is>
      </c>
      <c r="G636" t="inlineStr">
        <is>
          <t>NYKÖPING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65231-2023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45289</v>
      </c>
      <c r="E637" s="1" t="n">
        <v>46253</v>
      </c>
      <c r="F637" t="inlineStr">
        <is>
          <t>SÖDERMANLANDS LÄN</t>
        </is>
      </c>
      <c r="G637" t="inlineStr">
        <is>
          <t>NYKÖPING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35252-2022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44798</v>
      </c>
      <c r="E638" s="1" t="n">
        <v>46253</v>
      </c>
      <c r="F638" t="inlineStr">
        <is>
          <t>SÖDERMANLANDS LÄN</t>
        </is>
      </c>
      <c r="G638" t="inlineStr">
        <is>
          <t>NYKÖPING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30907-2022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44767</v>
      </c>
      <c r="E639" s="1" t="n">
        <v>46253</v>
      </c>
      <c r="F639" t="inlineStr">
        <is>
          <t>SÖDERMANLANDS LÄN</t>
        </is>
      </c>
      <c r="G639" t="inlineStr">
        <is>
          <t>NYKÖPING</t>
        </is>
      </c>
      <c r="I639" t="n">
        <v>9.1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46234</v>
      </c>
      <c r="E640" s="1" t="n">
        <v>46253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45926-2022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44846</v>
      </c>
      <c r="E641" s="1" t="n">
        <v>46253</v>
      </c>
      <c r="F641" t="inlineStr">
        <is>
          <t>SÖDERMANLANDS LÄN</t>
        </is>
      </c>
      <c r="G641" t="inlineStr">
        <is>
          <t>NYKÖPING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7756-2024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45348</v>
      </c>
      <c r="E642" s="1" t="n">
        <v>46253</v>
      </c>
      <c r="F642" t="inlineStr">
        <is>
          <t>SÖDERMANLANDS LÄN</t>
        </is>
      </c>
      <c r="G642" t="inlineStr">
        <is>
          <t>NYKÖPING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7824-2024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45349</v>
      </c>
      <c r="E643" s="1" t="n">
        <v>46253</v>
      </c>
      <c r="F643" t="inlineStr">
        <is>
          <t>SÖDERMANLANDS LÄN</t>
        </is>
      </c>
      <c r="G643" t="inlineStr">
        <is>
          <t>NYKÖPING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7496-2022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44607</v>
      </c>
      <c r="E644" s="1" t="n">
        <v>46253</v>
      </c>
      <c r="F644" t="inlineStr">
        <is>
          <t>SÖDERMANLANDS LÄN</t>
        </is>
      </c>
      <c r="G644" t="inlineStr">
        <is>
          <t>NYKÖPING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37941-2022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44810</v>
      </c>
      <c r="E645" s="1" t="n">
        <v>46253</v>
      </c>
      <c r="F645" t="inlineStr">
        <is>
          <t>SÖDERMANLANDS LÄN</t>
        </is>
      </c>
      <c r="G645" t="inlineStr">
        <is>
          <t>NYKÖPING</t>
        </is>
      </c>
      <c r="I645" t="n">
        <v>13.5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28137-2026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46253</v>
      </c>
      <c r="F646" t="inlineStr">
        <is>
          <t>SÖDERMANLANDS LÄN</t>
        </is>
      </c>
      <c r="G646" t="inlineStr">
        <is>
          <t>NYKÖPING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32295-2026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46237</v>
      </c>
      <c r="E647" s="1" t="n">
        <v>46253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Sveaskog</t>
        </is>
      </c>
      <c r="I647" t="n">
        <v>5.2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46253</v>
      </c>
      <c r="F648" t="inlineStr">
        <is>
          <t>SÖDERMANLANDS LÄN</t>
        </is>
      </c>
      <c r="G648" t="inlineStr">
        <is>
          <t>NYKÖPING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29487-2026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46253</v>
      </c>
      <c r="F649" t="inlineStr">
        <is>
          <t>SÖDERMANLANDS LÄN</t>
        </is>
      </c>
      <c r="G649" t="inlineStr">
        <is>
          <t>NYKÖPING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48459-2021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44452</v>
      </c>
      <c r="E650" s="1" t="n">
        <v>46253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24497-2025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45798</v>
      </c>
      <c r="E651" s="1" t="n">
        <v>46253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8140-2023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44974</v>
      </c>
      <c r="E652" s="1" t="n">
        <v>46253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26561-2023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45092</v>
      </c>
      <c r="E653" s="1" t="n">
        <v>46253</v>
      </c>
      <c r="F653" t="inlineStr">
        <is>
          <t>SÖDERMANLANDS LÄN</t>
        </is>
      </c>
      <c r="G653" t="inlineStr">
        <is>
          <t>NYKÖPING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32584-2026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46240</v>
      </c>
      <c r="E654" s="1" t="n">
        <v>46253</v>
      </c>
      <c r="F654" t="inlineStr">
        <is>
          <t>SÖDERMANLANDS LÄN</t>
        </is>
      </c>
      <c r="G654" t="inlineStr">
        <is>
          <t>NYKÖPING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32499-2026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46253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Sveaskog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1930-2022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44575</v>
      </c>
      <c r="E656" s="1" t="n">
        <v>46253</v>
      </c>
      <c r="F656" t="inlineStr">
        <is>
          <t>SÖDERMANLANDS LÄN</t>
        </is>
      </c>
      <c r="G656" t="inlineStr">
        <is>
          <t>NYKÖPING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46253</v>
      </c>
      <c r="F657" t="inlineStr">
        <is>
          <t>SÖDERMANLANDS LÄN</t>
        </is>
      </c>
      <c r="G657" t="inlineStr">
        <is>
          <t>NYKÖPING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62948-2023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45271</v>
      </c>
      <c r="E658" s="1" t="n">
        <v>46253</v>
      </c>
      <c r="F658" t="inlineStr">
        <is>
          <t>SÖDERMANLANDS LÄN</t>
        </is>
      </c>
      <c r="G658" t="inlineStr">
        <is>
          <t>NYKÖPING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15047-2025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46253</v>
      </c>
      <c r="F659" t="inlineStr">
        <is>
          <t>SÖDERMANLANDS LÄN</t>
        </is>
      </c>
      <c r="G659" t="inlineStr">
        <is>
          <t>NYKÖPING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32594-2022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44783</v>
      </c>
      <c r="E660" s="1" t="n">
        <v>46253</v>
      </c>
      <c r="F660" t="inlineStr">
        <is>
          <t>SÖDERMANLANDS LÄN</t>
        </is>
      </c>
      <c r="G660" t="inlineStr">
        <is>
          <t>NYKÖPING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63882-2023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45278</v>
      </c>
      <c r="E661" s="1" t="n">
        <v>46253</v>
      </c>
      <c r="F661" t="inlineStr">
        <is>
          <t>SÖDERMANLANDS LÄN</t>
        </is>
      </c>
      <c r="G661" t="inlineStr">
        <is>
          <t>NYKÖPING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58685-2025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45986</v>
      </c>
      <c r="E662" s="1" t="n">
        <v>46253</v>
      </c>
      <c r="F662" t="inlineStr">
        <is>
          <t>SÖDERMANLANDS LÄN</t>
        </is>
      </c>
      <c r="G662" t="inlineStr">
        <is>
          <t>NYKÖPING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9913-2022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44620</v>
      </c>
      <c r="E663" s="1" t="n">
        <v>46253</v>
      </c>
      <c r="F663" t="inlineStr">
        <is>
          <t>SÖDERMANLANDS LÄN</t>
        </is>
      </c>
      <c r="G663" t="inlineStr">
        <is>
          <t>NYKÖPING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46253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Övriga Aktiebolag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57028-2024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45628</v>
      </c>
      <c r="E665" s="1" t="n">
        <v>46253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20131-2022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44698</v>
      </c>
      <c r="E666" s="1" t="n">
        <v>46253</v>
      </c>
      <c r="F666" t="inlineStr">
        <is>
          <t>SÖDERMANLANDS LÄN</t>
        </is>
      </c>
      <c r="G666" t="inlineStr">
        <is>
          <t>NYKÖPING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33020-2026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46244</v>
      </c>
      <c r="E667" s="1" t="n">
        <v>46253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71555-2021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44540</v>
      </c>
      <c r="E668" s="1" t="n">
        <v>46253</v>
      </c>
      <c r="F668" t="inlineStr">
        <is>
          <t>SÖDERMANLANDS LÄN</t>
        </is>
      </c>
      <c r="G668" t="inlineStr">
        <is>
          <t>NYKÖPING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6976-2023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44967</v>
      </c>
      <c r="E669" s="1" t="n">
        <v>46253</v>
      </c>
      <c r="F669" t="inlineStr">
        <is>
          <t>SÖDERMANLANDS LÄN</t>
        </is>
      </c>
      <c r="G669" t="inlineStr">
        <is>
          <t>NYKÖPING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42246-2022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44830</v>
      </c>
      <c r="E670" s="1" t="n">
        <v>46253</v>
      </c>
      <c r="F670" t="inlineStr">
        <is>
          <t>SÖDERMANLANDS LÄN</t>
        </is>
      </c>
      <c r="G670" t="inlineStr">
        <is>
          <t>NYKÖPING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33095-2026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46253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34218-2024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45524</v>
      </c>
      <c r="E672" s="1" t="n">
        <v>46253</v>
      </c>
      <c r="F672" t="inlineStr">
        <is>
          <t>SÖDERMANLANDS LÄN</t>
        </is>
      </c>
      <c r="G672" t="inlineStr">
        <is>
          <t>NYKÖPING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55506-2021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44475</v>
      </c>
      <c r="E673" s="1" t="n">
        <v>46253</v>
      </c>
      <c r="F673" t="inlineStr">
        <is>
          <t>SÖDERMANLANDS LÄN</t>
        </is>
      </c>
      <c r="G673" t="inlineStr">
        <is>
          <t>NYKÖPING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46253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4406-2024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45327</v>
      </c>
      <c r="E675" s="1" t="n">
        <v>46253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33091-2026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46245</v>
      </c>
      <c r="E676" s="1" t="n">
        <v>46253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5521-2023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44960</v>
      </c>
      <c r="E677" s="1" t="n">
        <v>46253</v>
      </c>
      <c r="F677" t="inlineStr">
        <is>
          <t>SÖDERMANLANDS LÄN</t>
        </is>
      </c>
      <c r="G677" t="inlineStr">
        <is>
          <t>NYKÖPING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46253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44970</v>
      </c>
      <c r="E679" s="1" t="n">
        <v>46253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33366-2026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46247</v>
      </c>
      <c r="E680" s="1" t="n">
        <v>46253</v>
      </c>
      <c r="F680" t="inlineStr">
        <is>
          <t>SÖDERMANLANDS LÄN</t>
        </is>
      </c>
      <c r="G680" t="inlineStr">
        <is>
          <t>NYKÖPING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33863-2022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44790</v>
      </c>
      <c r="E681" s="1" t="n">
        <v>46253</v>
      </c>
      <c r="F681" t="inlineStr">
        <is>
          <t>SÖDERMANLANDS LÄN</t>
        </is>
      </c>
      <c r="G681" t="inlineStr">
        <is>
          <t>NYKÖPING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53738-2022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44880</v>
      </c>
      <c r="E682" s="1" t="n">
        <v>46253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Övriga Aktiebolag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13963-2022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44650</v>
      </c>
      <c r="E683" s="1" t="n">
        <v>46253</v>
      </c>
      <c r="F683" t="inlineStr">
        <is>
          <t>SÖDERMANLANDS LÄN</t>
        </is>
      </c>
      <c r="G683" t="inlineStr">
        <is>
          <t>NYKÖPING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43581-2022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44837</v>
      </c>
      <c r="E684" s="1" t="n">
        <v>46253</v>
      </c>
      <c r="F684" t="inlineStr">
        <is>
          <t>SÖDERMANLANDS LÄN</t>
        </is>
      </c>
      <c r="G684" t="inlineStr">
        <is>
          <t>NYKÖPING</t>
        </is>
      </c>
      <c r="I684" t="n">
        <v>7.8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53569-2022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44879</v>
      </c>
      <c r="E685" s="1" t="n">
        <v>46253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Övriga Aktiebolag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53413-2022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44879</v>
      </c>
      <c r="E686" s="1" t="n">
        <v>46253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Övriga Aktiebolag</t>
        </is>
      </c>
      <c r="I686" t="n">
        <v>8.800000000000001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45001</v>
      </c>
      <c r="E687" s="1" t="n">
        <v>46253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Kyrkan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30212-2026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46206</v>
      </c>
      <c r="E688" s="1" t="n">
        <v>46253</v>
      </c>
      <c r="F688" t="inlineStr">
        <is>
          <t>SÖDERMANLANDS LÄN</t>
        </is>
      </c>
      <c r="G688" t="inlineStr">
        <is>
          <t>NYKÖPING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1707-2023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44938</v>
      </c>
      <c r="E689" s="1" t="n">
        <v>46253</v>
      </c>
      <c r="F689" t="inlineStr">
        <is>
          <t>SÖDERMANLANDS LÄN</t>
        </is>
      </c>
      <c r="G689" t="inlineStr">
        <is>
          <t>NYKÖPING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61618-2022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44916</v>
      </c>
      <c r="E690" s="1" t="n">
        <v>46253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34049-2026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46252</v>
      </c>
      <c r="E691" s="1" t="n">
        <v>46253</v>
      </c>
      <c r="F691" t="inlineStr">
        <is>
          <t>SÖDERMANLANDS LÄN</t>
        </is>
      </c>
      <c r="G691" t="inlineStr">
        <is>
          <t>NYKÖPING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45019</v>
      </c>
      <c r="E692" s="1" t="n">
        <v>46253</v>
      </c>
      <c r="F692" t="inlineStr">
        <is>
          <t>SÖDERMANLANDS LÄN</t>
        </is>
      </c>
      <c r="G692" t="inlineStr">
        <is>
          <t>NYKÖPING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44812</v>
      </c>
      <c r="E693" s="1" t="n">
        <v>46253</v>
      </c>
      <c r="F693" t="inlineStr">
        <is>
          <t>SÖDERMANLANDS LÄN</t>
        </is>
      </c>
      <c r="G693" t="inlineStr">
        <is>
          <t>NYKÖPING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5642-2023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44960</v>
      </c>
      <c r="E694" s="1" t="n">
        <v>46253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1739-2023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44938</v>
      </c>
      <c r="E695" s="1" t="n">
        <v>46253</v>
      </c>
      <c r="F695" t="inlineStr">
        <is>
          <t>SÖDERMANLANDS LÄN</t>
        </is>
      </c>
      <c r="G695" t="inlineStr">
        <is>
          <t>NYKÖPING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23114-2023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45075</v>
      </c>
      <c r="E696" s="1" t="n">
        <v>46253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72985-2021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44549</v>
      </c>
      <c r="E697" s="1" t="n">
        <v>46253</v>
      </c>
      <c r="F697" t="inlineStr">
        <is>
          <t>SÖDERMANLANDS LÄN</t>
        </is>
      </c>
      <c r="G697" t="inlineStr">
        <is>
          <t>NYKÖPING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8407-2023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44977</v>
      </c>
      <c r="E698" s="1" t="n">
        <v>46253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Övriga Aktiebolag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51530-2022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44869</v>
      </c>
      <c r="E699" s="1" t="n">
        <v>46253</v>
      </c>
      <c r="F699" t="inlineStr">
        <is>
          <t>SÖDERMANLANDS LÄN</t>
        </is>
      </c>
      <c r="G699" t="inlineStr">
        <is>
          <t>NYKÖPING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39310-2023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45166</v>
      </c>
      <c r="E700" s="1" t="n">
        <v>46253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4854-2023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44957</v>
      </c>
      <c r="E701" s="1" t="n">
        <v>46253</v>
      </c>
      <c r="F701" t="inlineStr">
        <is>
          <t>SÖDERMANLANDS LÄN</t>
        </is>
      </c>
      <c r="G701" t="inlineStr">
        <is>
          <t>NYKÖPING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21257-2023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45062</v>
      </c>
      <c r="E702" s="1" t="n">
        <v>46253</v>
      </c>
      <c r="F702" t="inlineStr">
        <is>
          <t>SÖDERMANLANDS LÄN</t>
        </is>
      </c>
      <c r="G702" t="inlineStr">
        <is>
          <t>NYKÖPING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11068-2024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45370</v>
      </c>
      <c r="E703" s="1" t="n">
        <v>46253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Kommuner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46575-2021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44445</v>
      </c>
      <c r="E704" s="1" t="n">
        <v>46253</v>
      </c>
      <c r="F704" t="inlineStr">
        <is>
          <t>SÖDERMANLANDS LÄN</t>
        </is>
      </c>
      <c r="G704" t="inlineStr">
        <is>
          <t>NYKÖPING</t>
        </is>
      </c>
      <c r="I704" t="n">
        <v>19.1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51556-2024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45604</v>
      </c>
      <c r="E705" s="1" t="n">
        <v>46253</v>
      </c>
      <c r="F705" t="inlineStr">
        <is>
          <t>SÖDERMANLANDS LÄN</t>
        </is>
      </c>
      <c r="G705" t="inlineStr">
        <is>
          <t>NYKÖPING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44946</v>
      </c>
      <c r="E706" s="1" t="n">
        <v>46253</v>
      </c>
      <c r="F706" t="inlineStr">
        <is>
          <t>SÖDERMANLANDS LÄN</t>
        </is>
      </c>
      <c r="G706" t="inlineStr">
        <is>
          <t>NYKÖPING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18510-2024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45424</v>
      </c>
      <c r="E707" s="1" t="n">
        <v>46253</v>
      </c>
      <c r="F707" t="inlineStr">
        <is>
          <t>SÖDERMANLANDS LÄN</t>
        </is>
      </c>
      <c r="G707" t="inlineStr">
        <is>
          <t>NYKÖPING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5291-2023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44959</v>
      </c>
      <c r="E708" s="1" t="n">
        <v>46253</v>
      </c>
      <c r="F708" t="inlineStr">
        <is>
          <t>SÖDERMANLANDS LÄN</t>
        </is>
      </c>
      <c r="G708" t="inlineStr">
        <is>
          <t>NYKÖPING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42858-2021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44430</v>
      </c>
      <c r="E709" s="1" t="n">
        <v>46253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49942-2022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44865</v>
      </c>
      <c r="E710" s="1" t="n">
        <v>46253</v>
      </c>
      <c r="F710" t="inlineStr">
        <is>
          <t>SÖDERMANLANDS LÄN</t>
        </is>
      </c>
      <c r="G710" t="inlineStr">
        <is>
          <t>NYKÖPING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51880-2023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45216</v>
      </c>
      <c r="E711" s="1" t="n">
        <v>46253</v>
      </c>
      <c r="F711" t="inlineStr">
        <is>
          <t>SÖDERMANLANDS LÄN</t>
        </is>
      </c>
      <c r="G711" t="inlineStr">
        <is>
          <t>NYKÖPING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53374-2021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44468</v>
      </c>
      <c r="E712" s="1" t="n">
        <v>46253</v>
      </c>
      <c r="F712" t="inlineStr">
        <is>
          <t>SÖDERMANLANDS LÄN</t>
        </is>
      </c>
      <c r="G712" t="inlineStr">
        <is>
          <t>NYKÖPING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72666-2021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44546</v>
      </c>
      <c r="E713" s="1" t="n">
        <v>46253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7043-2023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44968</v>
      </c>
      <c r="E714" s="1" t="n">
        <v>46253</v>
      </c>
      <c r="F714" t="inlineStr">
        <is>
          <t>SÖDERMANLANDS LÄN</t>
        </is>
      </c>
      <c r="G714" t="inlineStr">
        <is>
          <t>NYKÖPING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44960</v>
      </c>
      <c r="E715" s="1" t="n">
        <v>46253</v>
      </c>
      <c r="F715" t="inlineStr">
        <is>
          <t>SÖDERMANLANDS LÄN</t>
        </is>
      </c>
      <c r="G715" t="inlineStr">
        <is>
          <t>NYKÖPING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6129-2023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44964</v>
      </c>
      <c r="E716" s="1" t="n">
        <v>46253</v>
      </c>
      <c r="F716" t="inlineStr">
        <is>
          <t>SÖDERMANLANDS LÄN</t>
        </is>
      </c>
      <c r="G716" t="inlineStr">
        <is>
          <t>NYKÖPING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39253-2023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45166</v>
      </c>
      <c r="E717" s="1" t="n">
        <v>46253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27563-2024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45474</v>
      </c>
      <c r="E718" s="1" t="n">
        <v>46253</v>
      </c>
      <c r="F718" t="inlineStr">
        <is>
          <t>SÖDERMANLANDS LÄN</t>
        </is>
      </c>
      <c r="G718" t="inlineStr">
        <is>
          <t>NYKÖPING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72117-2021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44543</v>
      </c>
      <c r="E719" s="1" t="n">
        <v>46253</v>
      </c>
      <c r="F719" t="inlineStr">
        <is>
          <t>SÖDERMANLANDS LÄN</t>
        </is>
      </c>
      <c r="G719" t="inlineStr">
        <is>
          <t>NYKÖPING</t>
        </is>
      </c>
      <c r="I719" t="n">
        <v>14.9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50776-2022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44867</v>
      </c>
      <c r="E720" s="1" t="n">
        <v>46253</v>
      </c>
      <c r="F720" t="inlineStr">
        <is>
          <t>SÖDERMANLANDS LÄN</t>
        </is>
      </c>
      <c r="G720" t="inlineStr">
        <is>
          <t>NYKÖPING</t>
        </is>
      </c>
      <c r="I720" t="n">
        <v>13.4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9469-2022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44616</v>
      </c>
      <c r="E721" s="1" t="n">
        <v>46253</v>
      </c>
      <c r="F721" t="inlineStr">
        <is>
          <t>SÖDERMANLANDS LÄN</t>
        </is>
      </c>
      <c r="G721" t="inlineStr">
        <is>
          <t>NYKÖPING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28973-2023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45096</v>
      </c>
      <c r="E722" s="1" t="n">
        <v>46253</v>
      </c>
      <c r="F722" t="inlineStr">
        <is>
          <t>SÖDERMANLANDS LÄN</t>
        </is>
      </c>
      <c r="G722" t="inlineStr">
        <is>
          <t>NYKÖPING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27915-2023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45098</v>
      </c>
      <c r="E723" s="1" t="n">
        <v>46253</v>
      </c>
      <c r="F723" t="inlineStr">
        <is>
          <t>SÖDERMANLANDS LÄN</t>
        </is>
      </c>
      <c r="G723" t="inlineStr">
        <is>
          <t>NYKÖPING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27933-2023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45098</v>
      </c>
      <c r="E724" s="1" t="n">
        <v>46253</v>
      </c>
      <c r="F724" t="inlineStr">
        <is>
          <t>SÖDERMANLANDS LÄN</t>
        </is>
      </c>
      <c r="G724" t="inlineStr">
        <is>
          <t>NYKÖPING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27944-2023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45098</v>
      </c>
      <c r="E725" s="1" t="n">
        <v>46253</v>
      </c>
      <c r="F725" t="inlineStr">
        <is>
          <t>SÖDERMANLANDS LÄN</t>
        </is>
      </c>
      <c r="G725" t="inlineStr">
        <is>
          <t>NYKÖPING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16457-2023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45029</v>
      </c>
      <c r="E726" s="1" t="n">
        <v>46253</v>
      </c>
      <c r="F726" t="inlineStr">
        <is>
          <t>SÖDERMANLANDS LÄN</t>
        </is>
      </c>
      <c r="G726" t="inlineStr">
        <is>
          <t>NYKÖPING</t>
        </is>
      </c>
      <c r="I726" t="n">
        <v>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67736-2021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44525</v>
      </c>
      <c r="E727" s="1" t="n">
        <v>46253</v>
      </c>
      <c r="F727" t="inlineStr">
        <is>
          <t>SÖDERMANLANDS LÄN</t>
        </is>
      </c>
      <c r="G727" t="inlineStr">
        <is>
          <t>NYKÖPING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51410-2022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44869</v>
      </c>
      <c r="E728" s="1" t="n">
        <v>46253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17372-2023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45034</v>
      </c>
      <c r="E729" s="1" t="n">
        <v>46253</v>
      </c>
      <c r="F729" t="inlineStr">
        <is>
          <t>SÖDERMANLANDS LÄN</t>
        </is>
      </c>
      <c r="G729" t="inlineStr">
        <is>
          <t>NYKÖPING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8340-2023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44976</v>
      </c>
      <c r="E730" s="1" t="n">
        <v>46253</v>
      </c>
      <c r="F730" t="inlineStr">
        <is>
          <t>SÖDERMANLANDS LÄN</t>
        </is>
      </c>
      <c r="G730" t="inlineStr">
        <is>
          <t>NYKÖPING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6125-2023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44964</v>
      </c>
      <c r="E731" s="1" t="n">
        <v>46253</v>
      </c>
      <c r="F731" t="inlineStr">
        <is>
          <t>SÖDERMANLANDS LÄN</t>
        </is>
      </c>
      <c r="G731" t="inlineStr">
        <is>
          <t>NYKÖPING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64159-2021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44510</v>
      </c>
      <c r="E732" s="1" t="n">
        <v>46253</v>
      </c>
      <c r="F732" t="inlineStr">
        <is>
          <t>SÖDERMANLANDS LÄN</t>
        </is>
      </c>
      <c r="G732" t="inlineStr">
        <is>
          <t>NYKÖPING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38054-2023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45160</v>
      </c>
      <c r="E733" s="1" t="n">
        <v>46253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Kommuner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38063-2023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45160</v>
      </c>
      <c r="E734" s="1" t="n">
        <v>46253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43657-2022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44837</v>
      </c>
      <c r="E735" s="1" t="n">
        <v>46253</v>
      </c>
      <c r="F735" t="inlineStr">
        <is>
          <t>SÖDERMANLANDS LÄN</t>
        </is>
      </c>
      <c r="G735" t="inlineStr">
        <is>
          <t>NYKÖPING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42368-2024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45564</v>
      </c>
      <c r="E736" s="1" t="n">
        <v>46253</v>
      </c>
      <c r="F736" t="inlineStr">
        <is>
          <t>SÖDERMANLANDS LÄN</t>
        </is>
      </c>
      <c r="G736" t="inlineStr">
        <is>
          <t>NYKÖPING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12153-2025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45729</v>
      </c>
      <c r="E737" s="1" t="n">
        <v>46253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44938</v>
      </c>
      <c r="E738" s="1" t="n">
        <v>46253</v>
      </c>
      <c r="F738" t="inlineStr">
        <is>
          <t>SÖDERMANLANDS LÄN</t>
        </is>
      </c>
      <c r="G738" t="inlineStr">
        <is>
          <t>NYKÖPING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8573-2023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44977</v>
      </c>
      <c r="E739" s="1" t="n">
        <v>46253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64099-2021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44509</v>
      </c>
      <c r="E740" s="1" t="n">
        <v>46253</v>
      </c>
      <c r="F740" t="inlineStr">
        <is>
          <t>SÖDERMANLANDS LÄN</t>
        </is>
      </c>
      <c r="G740" t="inlineStr">
        <is>
          <t>NYKÖPING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57836-2023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45247</v>
      </c>
      <c r="E741" s="1" t="n">
        <v>46253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Övriga Aktiebolag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20985-2023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45061</v>
      </c>
      <c r="E742" s="1" t="n">
        <v>46253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Holmen skog AB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2428-2022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44579</v>
      </c>
      <c r="E743" s="1" t="n">
        <v>46253</v>
      </c>
      <c r="F743" t="inlineStr">
        <is>
          <t>SÖDERMANLANDS LÄN</t>
        </is>
      </c>
      <c r="G743" t="inlineStr">
        <is>
          <t>NYKÖPING</t>
        </is>
      </c>
      <c r="I743" t="n">
        <v>10.8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44579</v>
      </c>
      <c r="E744" s="1" t="n">
        <v>46253</v>
      </c>
      <c r="F744" t="inlineStr">
        <is>
          <t>SÖDERMANLANDS LÄN</t>
        </is>
      </c>
      <c r="G744" t="inlineStr">
        <is>
          <t>NYKÖPING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10981-2024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45370</v>
      </c>
      <c r="E745" s="1" t="n">
        <v>46253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Kommuner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2517-2022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44579</v>
      </c>
      <c r="E746" s="1" t="n">
        <v>46253</v>
      </c>
      <c r="F746" t="inlineStr">
        <is>
          <t>SÖDERMANLANDS LÄN</t>
        </is>
      </c>
      <c r="G746" t="inlineStr">
        <is>
          <t>NYKÖPING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38846-2023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45163</v>
      </c>
      <c r="E747" s="1" t="n">
        <v>46253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44578</v>
      </c>
      <c r="E748" s="1" t="n">
        <v>46253</v>
      </c>
      <c r="F748" t="inlineStr">
        <is>
          <t>SÖDERMANLANDS LÄN</t>
        </is>
      </c>
      <c r="G748" t="inlineStr">
        <is>
          <t>NYKÖPING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33653-2024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45520</v>
      </c>
      <c r="E749" s="1" t="n">
        <v>46253</v>
      </c>
      <c r="F749" t="inlineStr">
        <is>
          <t>SÖDERMANLANDS LÄN</t>
        </is>
      </c>
      <c r="G749" t="inlineStr">
        <is>
          <t>NYKÖPING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21249-2023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45062</v>
      </c>
      <c r="E750" s="1" t="n">
        <v>46253</v>
      </c>
      <c r="F750" t="inlineStr">
        <is>
          <t>SÖDERMANLANDS LÄN</t>
        </is>
      </c>
      <c r="G750" t="inlineStr">
        <is>
          <t>NYKÖPING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45282-2022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44844</v>
      </c>
      <c r="E751" s="1" t="n">
        <v>46253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35020-2023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45143</v>
      </c>
      <c r="E752" s="1" t="n">
        <v>46253</v>
      </c>
      <c r="F752" t="inlineStr">
        <is>
          <t>SÖDERMANLANDS LÄN</t>
        </is>
      </c>
      <c r="G752" t="inlineStr">
        <is>
          <t>NYKÖPING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24285-2022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44725</v>
      </c>
      <c r="E753" s="1" t="n">
        <v>46253</v>
      </c>
      <c r="F753" t="inlineStr">
        <is>
          <t>SÖDERMANLANDS LÄN</t>
        </is>
      </c>
      <c r="G753" t="inlineStr">
        <is>
          <t>NYKÖPING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14848-2024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45398</v>
      </c>
      <c r="E754" s="1" t="n">
        <v>46253</v>
      </c>
      <c r="F754" t="inlineStr">
        <is>
          <t>SÖDERMANLANDS LÄN</t>
        </is>
      </c>
      <c r="G754" t="inlineStr">
        <is>
          <t>NYKÖPING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1407-2025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45667</v>
      </c>
      <c r="E755" s="1" t="n">
        <v>46253</v>
      </c>
      <c r="F755" t="inlineStr">
        <is>
          <t>SÖDERMANLANDS LÄN</t>
        </is>
      </c>
      <c r="G755" t="inlineStr">
        <is>
          <t>NYKÖPING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16881-2024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45410</v>
      </c>
      <c r="E756" s="1" t="n">
        <v>46253</v>
      </c>
      <c r="F756" t="inlineStr">
        <is>
          <t>SÖDERMANLANDS LÄN</t>
        </is>
      </c>
      <c r="G756" t="inlineStr">
        <is>
          <t>NYKÖPING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57621-2024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45630</v>
      </c>
      <c r="E757" s="1" t="n">
        <v>46253</v>
      </c>
      <c r="F757" t="inlineStr">
        <is>
          <t>SÖDERMANLANDS LÄN</t>
        </is>
      </c>
      <c r="G757" t="inlineStr">
        <is>
          <t>NYKÖPING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2255-2024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45310</v>
      </c>
      <c r="E758" s="1" t="n">
        <v>46253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31401-2022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44774</v>
      </c>
      <c r="E759" s="1" t="n">
        <v>46253</v>
      </c>
      <c r="F759" t="inlineStr">
        <is>
          <t>SÖDERMANLANDS LÄN</t>
        </is>
      </c>
      <c r="G759" t="inlineStr">
        <is>
          <t>NYKÖPING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7036-2023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44968</v>
      </c>
      <c r="E760" s="1" t="n">
        <v>46253</v>
      </c>
      <c r="F760" t="inlineStr">
        <is>
          <t>SÖDERMANLANDS LÄN</t>
        </is>
      </c>
      <c r="G760" t="inlineStr">
        <is>
          <t>NYKÖPING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18604-2023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45043</v>
      </c>
      <c r="E761" s="1" t="n">
        <v>46253</v>
      </c>
      <c r="F761" t="inlineStr">
        <is>
          <t>SÖDERMANLANDS LÄN</t>
        </is>
      </c>
      <c r="G761" t="inlineStr">
        <is>
          <t>NYKÖPING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53800-2022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44880</v>
      </c>
      <c r="E762" s="1" t="n">
        <v>46253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Övriga Aktiebolag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10211-2024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45364</v>
      </c>
      <c r="E763" s="1" t="n">
        <v>46253</v>
      </c>
      <c r="F763" t="inlineStr">
        <is>
          <t>SÖDERMANLANDS LÄN</t>
        </is>
      </c>
      <c r="G763" t="inlineStr">
        <is>
          <t>NYKÖPING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54183-2022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44881</v>
      </c>
      <c r="E764" s="1" t="n">
        <v>46253</v>
      </c>
      <c r="F764" t="inlineStr">
        <is>
          <t>SÖDERMANLANDS LÄN</t>
        </is>
      </c>
      <c r="G764" t="inlineStr">
        <is>
          <t>NYKÖPING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18478-2025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45762</v>
      </c>
      <c r="E765" s="1" t="n">
        <v>46253</v>
      </c>
      <c r="F765" t="inlineStr">
        <is>
          <t>SÖDERMANLANDS LÄN</t>
        </is>
      </c>
      <c r="G765" t="inlineStr">
        <is>
          <t>NYKÖPING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36000-2023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45148</v>
      </c>
      <c r="E766" s="1" t="n">
        <v>46253</v>
      </c>
      <c r="F766" t="inlineStr">
        <is>
          <t>SÖDERMANLANDS LÄN</t>
        </is>
      </c>
      <c r="G766" t="inlineStr">
        <is>
          <t>NYKÖPING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32875-2022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44784</v>
      </c>
      <c r="E767" s="1" t="n">
        <v>46253</v>
      </c>
      <c r="F767" t="inlineStr">
        <is>
          <t>SÖDERMANLANDS LÄN</t>
        </is>
      </c>
      <c r="G767" t="inlineStr">
        <is>
          <t>NYKÖPING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21137-2023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45062</v>
      </c>
      <c r="E768" s="1" t="n">
        <v>46253</v>
      </c>
      <c r="F768" t="inlineStr">
        <is>
          <t>SÖDERMANLANDS LÄN</t>
        </is>
      </c>
      <c r="G768" t="inlineStr">
        <is>
          <t>NYKÖPING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10639-2025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45721</v>
      </c>
      <c r="E769" s="1" t="n">
        <v>46253</v>
      </c>
      <c r="F769" t="inlineStr">
        <is>
          <t>SÖDERMANLANDS LÄN</t>
        </is>
      </c>
      <c r="G769" t="inlineStr">
        <is>
          <t>NYKÖPING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44932</v>
      </c>
      <c r="E770" s="1" t="n">
        <v>46253</v>
      </c>
      <c r="F770" t="inlineStr">
        <is>
          <t>SÖDERMANLANDS LÄN</t>
        </is>
      </c>
      <c r="G770" t="inlineStr">
        <is>
          <t>NYKÖPING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929-2023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44932</v>
      </c>
      <c r="E771" s="1" t="n">
        <v>46253</v>
      </c>
      <c r="F771" t="inlineStr">
        <is>
          <t>SÖDERMANLANDS LÄN</t>
        </is>
      </c>
      <c r="G771" t="inlineStr">
        <is>
          <t>NYKÖPING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44942</v>
      </c>
      <c r="E772" s="1" t="n">
        <v>46253</v>
      </c>
      <c r="F772" t="inlineStr">
        <is>
          <t>SÖDERMANLANDS LÄN</t>
        </is>
      </c>
      <c r="G772" t="inlineStr">
        <is>
          <t>NYKÖPING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41288-2023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45174</v>
      </c>
      <c r="E773" s="1" t="n">
        <v>46253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31392-2022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44774</v>
      </c>
      <c r="E774" s="1" t="n">
        <v>46253</v>
      </c>
      <c r="F774" t="inlineStr">
        <is>
          <t>SÖDERMANLANDS LÄN</t>
        </is>
      </c>
      <c r="G774" t="inlineStr">
        <is>
          <t>NYKÖPING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42251-2022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44830</v>
      </c>
      <c r="E775" s="1" t="n">
        <v>46253</v>
      </c>
      <c r="F775" t="inlineStr">
        <is>
          <t>SÖDERMANLANDS LÄN</t>
        </is>
      </c>
      <c r="G775" t="inlineStr">
        <is>
          <t>NYKÖPING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6348-2023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44965</v>
      </c>
      <c r="E776" s="1" t="n">
        <v>46253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Kyrkan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37361-2024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45540</v>
      </c>
      <c r="E777" s="1" t="n">
        <v>46253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12139-2025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45729</v>
      </c>
      <c r="E778" s="1" t="n">
        <v>46253</v>
      </c>
      <c r="F778" t="inlineStr">
        <is>
          <t>SÖDERMANLANDS LÄN</t>
        </is>
      </c>
      <c r="G778" t="inlineStr">
        <is>
          <t>NYKÖPING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12140-2025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45729</v>
      </c>
      <c r="E779" s="1" t="n">
        <v>46253</v>
      </c>
      <c r="F779" t="inlineStr">
        <is>
          <t>SÖDERMANLANDS LÄN</t>
        </is>
      </c>
      <c r="G779" t="inlineStr">
        <is>
          <t>NYKÖPING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62432-2023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45268</v>
      </c>
      <c r="E780" s="1" t="n">
        <v>46253</v>
      </c>
      <c r="F780" t="inlineStr">
        <is>
          <t>SÖDERMANLANDS LÄN</t>
        </is>
      </c>
      <c r="G780" t="inlineStr">
        <is>
          <t>NYKÖPING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65174-2023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45288</v>
      </c>
      <c r="E781" s="1" t="n">
        <v>46253</v>
      </c>
      <c r="F781" t="inlineStr">
        <is>
          <t>SÖDERMANLANDS LÄN</t>
        </is>
      </c>
      <c r="G781" t="inlineStr">
        <is>
          <t>NYKÖPING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68500-2021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44529</v>
      </c>
      <c r="E782" s="1" t="n">
        <v>46253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Övriga Aktiebolag</t>
        </is>
      </c>
      <c r="I782" t="n">
        <v>13.1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42856-2021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44430</v>
      </c>
      <c r="E783" s="1" t="n">
        <v>46253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12826-2024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45384</v>
      </c>
      <c r="E784" s="1" t="n">
        <v>46253</v>
      </c>
      <c r="F784" t="inlineStr">
        <is>
          <t>SÖDERMANLANDS LÄN</t>
        </is>
      </c>
      <c r="G784" t="inlineStr">
        <is>
          <t>NYKÖPING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29551-2023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45106</v>
      </c>
      <c r="E785" s="1" t="n">
        <v>46253</v>
      </c>
      <c r="F785" t="inlineStr">
        <is>
          <t>SÖDERMANLANDS LÄN</t>
        </is>
      </c>
      <c r="G785" t="inlineStr">
        <is>
          <t>NYKÖPING</t>
        </is>
      </c>
      <c r="I785" t="n">
        <v>5.1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1558-2024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45306</v>
      </c>
      <c r="E786" s="1" t="n">
        <v>46253</v>
      </c>
      <c r="F786" t="inlineStr">
        <is>
          <t>SÖDERMANLANDS LÄN</t>
        </is>
      </c>
      <c r="G786" t="inlineStr">
        <is>
          <t>NYKÖPING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51259-2024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45603</v>
      </c>
      <c r="E787" s="1" t="n">
        <v>46253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21984-2024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45443</v>
      </c>
      <c r="E788" s="1" t="n">
        <v>46253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18525-2024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45424</v>
      </c>
      <c r="E789" s="1" t="n">
        <v>46253</v>
      </c>
      <c r="F789" t="inlineStr">
        <is>
          <t>SÖDERMANLANDS LÄN</t>
        </is>
      </c>
      <c r="G789" t="inlineStr">
        <is>
          <t>NYKÖPING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3571-2023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44950</v>
      </c>
      <c r="E790" s="1" t="n">
        <v>46253</v>
      </c>
      <c r="F790" t="inlineStr">
        <is>
          <t>SÖDERMANLANDS LÄN</t>
        </is>
      </c>
      <c r="G790" t="inlineStr">
        <is>
          <t>NYKÖPING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8324-2024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45350</v>
      </c>
      <c r="E791" s="1" t="n">
        <v>46253</v>
      </c>
      <c r="F791" t="inlineStr">
        <is>
          <t>SÖDERMANLANDS LÄN</t>
        </is>
      </c>
      <c r="G791" t="inlineStr">
        <is>
          <t>NYKÖPING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2900-2024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45315</v>
      </c>
      <c r="E792" s="1" t="n">
        <v>46253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Kyrkan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44824-2023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45190</v>
      </c>
      <c r="E793" s="1" t="n">
        <v>46253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7045-2023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44968</v>
      </c>
      <c r="E794" s="1" t="n">
        <v>46253</v>
      </c>
      <c r="F794" t="inlineStr">
        <is>
          <t>SÖDERMANLANDS LÄN</t>
        </is>
      </c>
      <c r="G794" t="inlineStr">
        <is>
          <t>NYKÖPING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20482-2025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45775</v>
      </c>
      <c r="E795" s="1" t="n">
        <v>46253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Kommuner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58553-2024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45635</v>
      </c>
      <c r="E796" s="1" t="n">
        <v>46253</v>
      </c>
      <c r="F796" t="inlineStr">
        <is>
          <t>SÖDERMANLANDS LÄN</t>
        </is>
      </c>
      <c r="G796" t="inlineStr">
        <is>
          <t>NYKÖPING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34203-2024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45524</v>
      </c>
      <c r="E797" s="1" t="n">
        <v>46253</v>
      </c>
      <c r="F797" t="inlineStr">
        <is>
          <t>SÖDERMANLANDS LÄN</t>
        </is>
      </c>
      <c r="G797" t="inlineStr">
        <is>
          <t>NYKÖPING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59148-2024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45637</v>
      </c>
      <c r="E798" s="1" t="n">
        <v>46253</v>
      </c>
      <c r="F798" t="inlineStr">
        <is>
          <t>SÖDERMANLANDS LÄN</t>
        </is>
      </c>
      <c r="G798" t="inlineStr">
        <is>
          <t>NYKÖPING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42977-2021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44430</v>
      </c>
      <c r="E799" s="1" t="n">
        <v>46253</v>
      </c>
      <c r="F799" t="inlineStr">
        <is>
          <t>SÖDERMANLANDS LÄN</t>
        </is>
      </c>
      <c r="G799" t="inlineStr">
        <is>
          <t>NYKÖPING</t>
        </is>
      </c>
      <c r="I799" t="n">
        <v>25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53071-2024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46253</v>
      </c>
      <c r="F800" t="inlineStr">
        <is>
          <t>SÖDERMANLANDS LÄN</t>
        </is>
      </c>
      <c r="G800" t="inlineStr">
        <is>
          <t>NYKÖPING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55865-2023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45239</v>
      </c>
      <c r="E801" s="1" t="n">
        <v>46253</v>
      </c>
      <c r="F801" t="inlineStr">
        <is>
          <t>SÖDERMANLANDS LÄN</t>
        </is>
      </c>
      <c r="G801" t="inlineStr">
        <is>
          <t>NYKÖPING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1999-2020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44092</v>
      </c>
      <c r="E802" s="1" t="n">
        <v>46253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Kommuner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1573-2020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44013</v>
      </c>
      <c r="E803" s="1" t="n">
        <v>46253</v>
      </c>
      <c r="F803" t="inlineStr">
        <is>
          <t>SÖDERMANLANDS LÄN</t>
        </is>
      </c>
      <c r="G803" t="inlineStr">
        <is>
          <t>NYKÖPING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2311-2022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44684</v>
      </c>
      <c r="E804" s="1" t="n">
        <v>46253</v>
      </c>
      <c r="F804" t="inlineStr">
        <is>
          <t>SÖDERMANLANDS LÄN</t>
        </is>
      </c>
      <c r="G804" t="inlineStr">
        <is>
          <t>NYKÖPING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3579-2022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44735</v>
      </c>
      <c r="E805" s="1" t="n">
        <v>46253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Sveaskog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3783-2023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45223</v>
      </c>
      <c r="E806" s="1" t="n">
        <v>46253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Sveaskog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220-2023</t>
        </is>
      </c>
      <c r="B807" t="inlineStr">
        <is>
          <t>samrådsanmälan</t>
        </is>
      </c>
      <c r="C807" t="inlineStr">
        <is>
          <t>Stubbskörd</t>
        </is>
      </c>
      <c r="D807" s="1" t="n">
        <v>44949</v>
      </c>
      <c r="E807" s="1" t="n">
        <v>46253</v>
      </c>
      <c r="F807" t="inlineStr">
        <is>
          <t>SÖDERMANLANDS LÄN</t>
        </is>
      </c>
      <c r="G807" t="inlineStr">
        <is>
          <t>NYKÖPING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1224-2023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45029</v>
      </c>
      <c r="E808" s="1" t="n">
        <v>46253</v>
      </c>
      <c r="F808" t="inlineStr">
        <is>
          <t>SÖDERMANLANDS LÄN</t>
        </is>
      </c>
      <c r="G808" t="inlineStr">
        <is>
          <t>NYKÖPING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633-2025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45714</v>
      </c>
      <c r="E809" s="1" t="n">
        <v>46253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39.6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3071-2024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45517</v>
      </c>
      <c r="E810" s="1" t="n">
        <v>46253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Sveaskog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2818-2025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45939</v>
      </c>
      <c r="E811" s="1" t="n">
        <v>46253</v>
      </c>
      <c r="F811" t="inlineStr">
        <is>
          <t>SÖDERMANLANDS LÄN</t>
        </is>
      </c>
      <c r="G811" t="inlineStr">
        <is>
          <t>NYKÖPING</t>
        </is>
      </c>
      <c r="H811" t="inlineStr">
        <is>
          <t>Sveaskog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46050</v>
      </c>
      <c r="E812" s="1" t="n">
        <v>46253</v>
      </c>
      <c r="F812" t="inlineStr">
        <is>
          <t>SÖDERMANLANDS LÄN</t>
        </is>
      </c>
      <c r="G812" t="inlineStr">
        <is>
          <t>NYKÖPING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641-2026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46090</v>
      </c>
      <c r="E813" s="1" t="n">
        <v>46253</v>
      </c>
      <c r="F813" t="inlineStr">
        <is>
          <t>SÖDERMANLANDS LÄN</t>
        </is>
      </c>
      <c r="G813" t="inlineStr">
        <is>
          <t>NYKÖPING</t>
        </is>
      </c>
      <c r="I813" t="n">
        <v>46.2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2026-08-19T01:44:42Z</dcterms:created>
  <dcterms:modified xmlns:dcterms="http://purl.org/dc/terms/" xmlns:xsi="http://www.w3.org/2001/XMLSchema-instance" xsi:type="dcterms:W3CDTF">2026-08-19T01:44:43Z</dcterms:modified>
</cp:coreProperties>
</file>